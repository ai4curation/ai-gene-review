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defaultThemeVersion="124226"/>
  <mc:AlternateContent xmlns:mc="http://schemas.openxmlformats.org/markup-compatibility/2006">
    <mc:Choice Requires="x15">
      <x15ac:absPath xmlns:x15ac="http://schemas.microsoft.com/office/spreadsheetml/2010/11/ac" url="/Users/petsalaki/Dropbox/GEFGAP paper/NCB Final Work/"/>
    </mc:Choice>
  </mc:AlternateContent>
  <xr:revisionPtr revIDLastSave="0" documentId="13_ncr:1_{0958E2CB-FBCF-794B-82E3-168333F2CDD1}" xr6:coauthVersionLast="45" xr6:coauthVersionMax="45" xr10:uidLastSave="{00000000-0000-0000-0000-000000000000}"/>
  <bookViews>
    <workbookView xWindow="0" yWindow="460" windowWidth="28060" windowHeight="17540" activeTab="2" xr2:uid="{00000000-000D-0000-FFFF-FFFF00000000}"/>
  </bookViews>
  <sheets>
    <sheet name="Supplementary Table 1" sheetId="1" r:id="rId1"/>
    <sheet name="Supplementary Table 2" sheetId="5" r:id="rId2"/>
    <sheet name="Supplementary Table 3" sheetId="3" r:id="rId3"/>
    <sheet name="Supplementary Table 4" sheetId="4" r:id="rId4"/>
    <sheet name="Supplementary Table  5"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3" i="2" l="1"/>
  <c r="O23" i="2"/>
  <c r="N23" i="2"/>
  <c r="M23" i="2"/>
  <c r="L23" i="2"/>
  <c r="K23" i="2"/>
  <c r="J23" i="2"/>
  <c r="P22" i="2"/>
  <c r="O22" i="2"/>
  <c r="N22" i="2"/>
  <c r="M22" i="2"/>
  <c r="L22" i="2"/>
  <c r="K22" i="2"/>
  <c r="J22" i="2"/>
  <c r="P21" i="2"/>
  <c r="O21" i="2"/>
  <c r="N21" i="2"/>
  <c r="M21" i="2"/>
  <c r="L21" i="2"/>
  <c r="K21" i="2"/>
  <c r="J21" i="2"/>
  <c r="P20" i="2"/>
  <c r="O20" i="2"/>
  <c r="N20" i="2"/>
  <c r="M20" i="2"/>
  <c r="L20" i="2"/>
  <c r="K20" i="2"/>
  <c r="J20" i="2"/>
  <c r="P19" i="2"/>
  <c r="O19" i="2"/>
  <c r="N19" i="2"/>
  <c r="M19" i="2"/>
  <c r="L19" i="2"/>
  <c r="K19" i="2"/>
  <c r="J19" i="2"/>
  <c r="P18" i="2"/>
  <c r="O18" i="2"/>
  <c r="N18" i="2"/>
  <c r="M18" i="2"/>
  <c r="L18" i="2"/>
  <c r="K18" i="2"/>
  <c r="J18" i="2"/>
  <c r="P17" i="2"/>
  <c r="O17" i="2"/>
  <c r="N17" i="2"/>
  <c r="M17" i="2"/>
  <c r="L17" i="2"/>
  <c r="K17" i="2"/>
  <c r="J17" i="2"/>
  <c r="P16" i="2"/>
  <c r="O16" i="2"/>
  <c r="N16" i="2"/>
  <c r="M16" i="2"/>
  <c r="L16" i="2"/>
  <c r="K16" i="2"/>
  <c r="J16" i="2"/>
  <c r="P15" i="2"/>
  <c r="O15" i="2"/>
  <c r="N15" i="2"/>
  <c r="M15" i="2"/>
  <c r="L15" i="2"/>
  <c r="K15" i="2"/>
  <c r="J15" i="2"/>
  <c r="P14" i="2"/>
  <c r="O14" i="2"/>
  <c r="N14" i="2"/>
  <c r="M14" i="2"/>
  <c r="L14" i="2"/>
  <c r="K14" i="2"/>
  <c r="J14" i="2"/>
  <c r="P13" i="2"/>
  <c r="O13" i="2"/>
  <c r="N13" i="2"/>
  <c r="M13" i="2"/>
  <c r="L13" i="2"/>
  <c r="K13" i="2"/>
  <c r="J13" i="2"/>
  <c r="P12" i="2"/>
  <c r="O12" i="2"/>
  <c r="N12" i="2"/>
  <c r="M12" i="2"/>
  <c r="L12" i="2"/>
  <c r="K12" i="2"/>
  <c r="J12" i="2"/>
  <c r="P11" i="2"/>
  <c r="O11" i="2"/>
  <c r="N11" i="2"/>
  <c r="M11" i="2"/>
  <c r="L11" i="2"/>
  <c r="K11" i="2"/>
  <c r="J11" i="2"/>
  <c r="P10" i="2"/>
  <c r="O10" i="2"/>
  <c r="N10" i="2"/>
  <c r="M10" i="2"/>
  <c r="L10" i="2"/>
  <c r="K10" i="2"/>
  <c r="J10" i="2"/>
  <c r="P9" i="2"/>
  <c r="O9" i="2"/>
  <c r="N9" i="2"/>
  <c r="M9" i="2"/>
  <c r="L9" i="2"/>
  <c r="K9" i="2"/>
  <c r="J9" i="2"/>
  <c r="P8" i="2"/>
  <c r="O8" i="2"/>
  <c r="N8" i="2"/>
  <c r="M8" i="2"/>
  <c r="L8" i="2"/>
  <c r="K8" i="2"/>
  <c r="J8" i="2"/>
  <c r="P7" i="2"/>
  <c r="O7" i="2"/>
  <c r="N7" i="2"/>
  <c r="M7" i="2"/>
  <c r="L7" i="2"/>
  <c r="K7" i="2"/>
  <c r="J7" i="2"/>
  <c r="P6" i="2"/>
  <c r="O6" i="2"/>
  <c r="N6" i="2"/>
  <c r="M6" i="2"/>
  <c r="L6" i="2"/>
  <c r="K6" i="2"/>
  <c r="J6" i="2"/>
  <c r="P5" i="2"/>
  <c r="O5" i="2"/>
  <c r="N5" i="2"/>
  <c r="M5" i="2"/>
  <c r="L5" i="2"/>
  <c r="K5" i="2"/>
  <c r="J5" i="2"/>
  <c r="AE151" i="5" l="1"/>
  <c r="AD151" i="5"/>
  <c r="AC151" i="5"/>
  <c r="AB151" i="5"/>
  <c r="AA151" i="5"/>
  <c r="Z151" i="5"/>
  <c r="Y151" i="5"/>
  <c r="L151" i="5"/>
  <c r="K151" i="5"/>
  <c r="J151" i="5"/>
  <c r="I151" i="5"/>
  <c r="H151" i="5"/>
  <c r="G151" i="5"/>
  <c r="F151" i="5"/>
  <c r="AE150" i="5"/>
  <c r="AD150" i="5"/>
  <c r="AC150" i="5"/>
  <c r="AB150" i="5"/>
  <c r="AA150" i="5"/>
  <c r="Z150" i="5"/>
  <c r="Y150" i="5"/>
  <c r="L150" i="5"/>
  <c r="K150" i="5"/>
  <c r="J150" i="5"/>
  <c r="I150" i="5"/>
  <c r="H150" i="5"/>
  <c r="G150" i="5"/>
  <c r="F150" i="5"/>
  <c r="AE149" i="5"/>
  <c r="AD149" i="5"/>
  <c r="AC149" i="5"/>
  <c r="AB149" i="5"/>
  <c r="AA149" i="5"/>
  <c r="Z149" i="5"/>
  <c r="Y149" i="5"/>
  <c r="L149" i="5"/>
  <c r="K149" i="5"/>
  <c r="J149" i="5"/>
  <c r="I149" i="5"/>
  <c r="H149" i="5"/>
  <c r="G149" i="5"/>
  <c r="F149" i="5"/>
  <c r="AE148" i="5"/>
  <c r="AD148" i="5"/>
  <c r="AC148" i="5"/>
  <c r="AB148" i="5"/>
  <c r="AA148" i="5"/>
  <c r="Z148" i="5"/>
  <c r="Y148" i="5"/>
  <c r="L148" i="5"/>
  <c r="K148" i="5"/>
  <c r="J148" i="5"/>
  <c r="I148" i="5"/>
  <c r="H148" i="5"/>
  <c r="G148" i="5"/>
  <c r="F148" i="5"/>
  <c r="AE147" i="5"/>
  <c r="AD147" i="5"/>
  <c r="AC147" i="5"/>
  <c r="AB147" i="5"/>
  <c r="AA147" i="5"/>
  <c r="Z147" i="5"/>
  <c r="Y147" i="5"/>
  <c r="L147" i="5"/>
  <c r="K147" i="5"/>
  <c r="J147" i="5"/>
  <c r="I147" i="5"/>
  <c r="H147" i="5"/>
  <c r="G147" i="5"/>
  <c r="F147" i="5"/>
  <c r="AE146" i="5"/>
  <c r="AD146" i="5"/>
  <c r="AC146" i="5"/>
  <c r="AB146" i="5"/>
  <c r="AA146" i="5"/>
  <c r="Z146" i="5"/>
  <c r="Y146" i="5"/>
  <c r="L146" i="5"/>
  <c r="K146" i="5"/>
  <c r="J146" i="5"/>
  <c r="I146" i="5"/>
  <c r="H146" i="5"/>
  <c r="G146" i="5"/>
  <c r="F146" i="5"/>
  <c r="AE145" i="5"/>
  <c r="AD145" i="5"/>
  <c r="AC145" i="5"/>
  <c r="AB145" i="5"/>
  <c r="AA145" i="5"/>
  <c r="Z145" i="5"/>
  <c r="Y145" i="5"/>
  <c r="L145" i="5"/>
  <c r="K145" i="5"/>
  <c r="J145" i="5"/>
  <c r="I145" i="5"/>
  <c r="H145" i="5"/>
  <c r="G145" i="5"/>
  <c r="F145" i="5"/>
  <c r="AE144" i="5"/>
  <c r="AD144" i="5"/>
  <c r="AC144" i="5"/>
  <c r="AB144" i="5"/>
  <c r="AA144" i="5"/>
  <c r="Z144" i="5"/>
  <c r="Y144" i="5"/>
  <c r="L144" i="5"/>
  <c r="K144" i="5"/>
  <c r="J144" i="5"/>
  <c r="I144" i="5"/>
  <c r="H144" i="5"/>
  <c r="G144" i="5"/>
  <c r="F144" i="5"/>
  <c r="AE143" i="5"/>
  <c r="AD143" i="5"/>
  <c r="AC143" i="5"/>
  <c r="AB143" i="5"/>
  <c r="AA143" i="5"/>
  <c r="Z143" i="5"/>
  <c r="Y143" i="5"/>
  <c r="L143" i="5"/>
  <c r="K143" i="5"/>
  <c r="J143" i="5"/>
  <c r="I143" i="5"/>
  <c r="H143" i="5"/>
  <c r="G143" i="5"/>
  <c r="F143" i="5"/>
  <c r="AE142" i="5"/>
  <c r="AD142" i="5"/>
  <c r="AC142" i="5"/>
  <c r="AB142" i="5"/>
  <c r="AA142" i="5"/>
  <c r="Z142" i="5"/>
  <c r="Y142" i="5"/>
  <c r="L142" i="5"/>
  <c r="K142" i="5"/>
  <c r="J142" i="5"/>
  <c r="I142" i="5"/>
  <c r="H142" i="5"/>
  <c r="G142" i="5"/>
  <c r="F142" i="5"/>
  <c r="AE141" i="5"/>
  <c r="AD141" i="5"/>
  <c r="AC141" i="5"/>
  <c r="AB141" i="5"/>
  <c r="AA141" i="5"/>
  <c r="Z141" i="5"/>
  <c r="Y141" i="5"/>
  <c r="L141" i="5"/>
  <c r="K141" i="5"/>
  <c r="J141" i="5"/>
  <c r="I141" i="5"/>
  <c r="H141" i="5"/>
  <c r="G141" i="5"/>
  <c r="F141" i="5"/>
  <c r="AE140" i="5"/>
  <c r="AD140" i="5"/>
  <c r="AC140" i="5"/>
  <c r="AB140" i="5"/>
  <c r="AA140" i="5"/>
  <c r="Z140" i="5"/>
  <c r="Y140" i="5"/>
  <c r="L140" i="5"/>
  <c r="K140" i="5"/>
  <c r="J140" i="5"/>
  <c r="I140" i="5"/>
  <c r="H140" i="5"/>
  <c r="G140" i="5"/>
  <c r="F140" i="5"/>
  <c r="AE139" i="5"/>
  <c r="AD139" i="5"/>
  <c r="AC139" i="5"/>
  <c r="AB139" i="5"/>
  <c r="AA139" i="5"/>
  <c r="Z139" i="5"/>
  <c r="Y139" i="5"/>
  <c r="L139" i="5"/>
  <c r="K139" i="5"/>
  <c r="J139" i="5"/>
  <c r="I139" i="5"/>
  <c r="H139" i="5"/>
  <c r="G139" i="5"/>
  <c r="F139" i="5"/>
  <c r="AE138" i="5"/>
  <c r="AD138" i="5"/>
  <c r="AC138" i="5"/>
  <c r="AB138" i="5"/>
  <c r="AA138" i="5"/>
  <c r="Z138" i="5"/>
  <c r="Y138" i="5"/>
  <c r="L138" i="5"/>
  <c r="K138" i="5"/>
  <c r="J138" i="5"/>
  <c r="I138" i="5"/>
  <c r="H138" i="5"/>
  <c r="G138" i="5"/>
  <c r="F138" i="5"/>
  <c r="AE137" i="5"/>
  <c r="AD137" i="5"/>
  <c r="AC137" i="5"/>
  <c r="AB137" i="5"/>
  <c r="AA137" i="5"/>
  <c r="Z137" i="5"/>
  <c r="Y137" i="5"/>
  <c r="L137" i="5"/>
  <c r="K137" i="5"/>
  <c r="J137" i="5"/>
  <c r="I137" i="5"/>
  <c r="H137" i="5"/>
  <c r="G137" i="5"/>
  <c r="F137" i="5"/>
  <c r="AE136" i="5"/>
  <c r="AD136" i="5"/>
  <c r="AC136" i="5"/>
  <c r="AB136" i="5"/>
  <c r="AA136" i="5"/>
  <c r="Z136" i="5"/>
  <c r="Y136" i="5"/>
  <c r="L136" i="5"/>
  <c r="K136" i="5"/>
  <c r="J136" i="5"/>
  <c r="I136" i="5"/>
  <c r="H136" i="5"/>
  <c r="G136" i="5"/>
  <c r="F136" i="5"/>
  <c r="AE135" i="5"/>
  <c r="AD135" i="5"/>
  <c r="AC135" i="5"/>
  <c r="AB135" i="5"/>
  <c r="AA135" i="5"/>
  <c r="Z135" i="5"/>
  <c r="Y135" i="5"/>
  <c r="L135" i="5"/>
  <c r="K135" i="5"/>
  <c r="J135" i="5"/>
  <c r="I135" i="5"/>
  <c r="H135" i="5"/>
  <c r="G135" i="5"/>
  <c r="F135" i="5"/>
  <c r="AE134" i="5"/>
  <c r="AD134" i="5"/>
  <c r="AC134" i="5"/>
  <c r="AB134" i="5"/>
  <c r="AA134" i="5"/>
  <c r="Z134" i="5"/>
  <c r="Y134" i="5"/>
  <c r="L134" i="5"/>
  <c r="K134" i="5"/>
  <c r="J134" i="5"/>
  <c r="I134" i="5"/>
  <c r="H134" i="5"/>
  <c r="G134" i="5"/>
  <c r="F134" i="5"/>
  <c r="AE133" i="5"/>
  <c r="AD133" i="5"/>
  <c r="AC133" i="5"/>
  <c r="AB133" i="5"/>
  <c r="AA133" i="5"/>
  <c r="Z133" i="5"/>
  <c r="Y133" i="5"/>
  <c r="L133" i="5"/>
  <c r="K133" i="5"/>
  <c r="J133" i="5"/>
  <c r="I133" i="5"/>
  <c r="H133" i="5"/>
  <c r="G133" i="5"/>
  <c r="F133" i="5"/>
  <c r="AE132" i="5"/>
  <c r="AD132" i="5"/>
  <c r="AC132" i="5"/>
  <c r="AB132" i="5"/>
  <c r="AA132" i="5"/>
  <c r="Z132" i="5"/>
  <c r="Y132" i="5"/>
  <c r="L132" i="5"/>
  <c r="K132" i="5"/>
  <c r="J132" i="5"/>
  <c r="I132" i="5"/>
  <c r="H132" i="5"/>
  <c r="G132" i="5"/>
  <c r="F132" i="5"/>
  <c r="AE131" i="5"/>
  <c r="AD131" i="5"/>
  <c r="AC131" i="5"/>
  <c r="AB131" i="5"/>
  <c r="AA131" i="5"/>
  <c r="Z131" i="5"/>
  <c r="Y131" i="5"/>
  <c r="L131" i="5"/>
  <c r="K131" i="5"/>
  <c r="J131" i="5"/>
  <c r="I131" i="5"/>
  <c r="H131" i="5"/>
  <c r="G131" i="5"/>
  <c r="F131" i="5"/>
  <c r="AE130" i="5"/>
  <c r="AD130" i="5"/>
  <c r="AC130" i="5"/>
  <c r="AB130" i="5"/>
  <c r="AA130" i="5"/>
  <c r="Z130" i="5"/>
  <c r="Y130" i="5"/>
  <c r="L130" i="5"/>
  <c r="K130" i="5"/>
  <c r="J130" i="5"/>
  <c r="I130" i="5"/>
  <c r="H130" i="5"/>
  <c r="G130" i="5"/>
  <c r="F130" i="5"/>
  <c r="AE129" i="5"/>
  <c r="AD129" i="5"/>
  <c r="AC129" i="5"/>
  <c r="AB129" i="5"/>
  <c r="AA129" i="5"/>
  <c r="Z129" i="5"/>
  <c r="Y129" i="5"/>
  <c r="L129" i="5"/>
  <c r="K129" i="5"/>
  <c r="J129" i="5"/>
  <c r="I129" i="5"/>
  <c r="H129" i="5"/>
  <c r="G129" i="5"/>
  <c r="F129" i="5"/>
  <c r="AE128" i="5"/>
  <c r="AD128" i="5"/>
  <c r="AC128" i="5"/>
  <c r="AB128" i="5"/>
  <c r="AA128" i="5"/>
  <c r="Z128" i="5"/>
  <c r="Y128" i="5"/>
  <c r="L128" i="5"/>
  <c r="K128" i="5"/>
  <c r="J128" i="5"/>
  <c r="I128" i="5"/>
  <c r="H128" i="5"/>
  <c r="G128" i="5"/>
  <c r="F128" i="5"/>
  <c r="AE127" i="5"/>
  <c r="AD127" i="5"/>
  <c r="AC127" i="5"/>
  <c r="AB127" i="5"/>
  <c r="AA127" i="5"/>
  <c r="Z127" i="5"/>
  <c r="Y127" i="5"/>
  <c r="L127" i="5"/>
  <c r="K127" i="5"/>
  <c r="J127" i="5"/>
  <c r="I127" i="5"/>
  <c r="H127" i="5"/>
  <c r="G127" i="5"/>
  <c r="F127" i="5"/>
  <c r="AE126" i="5"/>
  <c r="AD126" i="5"/>
  <c r="AC126" i="5"/>
  <c r="AB126" i="5"/>
  <c r="AA126" i="5"/>
  <c r="Z126" i="5"/>
  <c r="Y126" i="5"/>
  <c r="L126" i="5"/>
  <c r="K126" i="5"/>
  <c r="J126" i="5"/>
  <c r="I126" i="5"/>
  <c r="H126" i="5"/>
  <c r="G126" i="5"/>
  <c r="F126" i="5"/>
  <c r="AE125" i="5"/>
  <c r="AD125" i="5"/>
  <c r="AC125" i="5"/>
  <c r="AB125" i="5"/>
  <c r="AA125" i="5"/>
  <c r="Z125" i="5"/>
  <c r="Y125" i="5"/>
  <c r="L125" i="5"/>
  <c r="K125" i="5"/>
  <c r="J125" i="5"/>
  <c r="I125" i="5"/>
  <c r="H125" i="5"/>
  <c r="G125" i="5"/>
  <c r="F125" i="5"/>
  <c r="AE124" i="5"/>
  <c r="AD124" i="5"/>
  <c r="AC124" i="5"/>
  <c r="AB124" i="5"/>
  <c r="AA124" i="5"/>
  <c r="Z124" i="5"/>
  <c r="Y124" i="5"/>
  <c r="L124" i="5"/>
  <c r="K124" i="5"/>
  <c r="J124" i="5"/>
  <c r="I124" i="5"/>
  <c r="H124" i="5"/>
  <c r="G124" i="5"/>
  <c r="F124" i="5"/>
  <c r="AE123" i="5"/>
  <c r="AD123" i="5"/>
  <c r="AC123" i="5"/>
  <c r="AB123" i="5"/>
  <c r="AA123" i="5"/>
  <c r="Z123" i="5"/>
  <c r="Y123" i="5"/>
  <c r="L123" i="5"/>
  <c r="K123" i="5"/>
  <c r="J123" i="5"/>
  <c r="I123" i="5"/>
  <c r="H123" i="5"/>
  <c r="G123" i="5"/>
  <c r="F123" i="5"/>
  <c r="AE122" i="5"/>
  <c r="AD122" i="5"/>
  <c r="AC122" i="5"/>
  <c r="AB122" i="5"/>
  <c r="AA122" i="5"/>
  <c r="Z122" i="5"/>
  <c r="Y122" i="5"/>
  <c r="L122" i="5"/>
  <c r="K122" i="5"/>
  <c r="J122" i="5"/>
  <c r="I122" i="5"/>
  <c r="H122" i="5"/>
  <c r="G122" i="5"/>
  <c r="F122" i="5"/>
  <c r="AE121" i="5"/>
  <c r="AD121" i="5"/>
  <c r="AC121" i="5"/>
  <c r="AB121" i="5"/>
  <c r="AA121" i="5"/>
  <c r="Z121" i="5"/>
  <c r="Y121" i="5"/>
  <c r="L121" i="5"/>
  <c r="K121" i="5"/>
  <c r="J121" i="5"/>
  <c r="I121" i="5"/>
  <c r="H121" i="5"/>
  <c r="G121" i="5"/>
  <c r="F121" i="5"/>
  <c r="AE120" i="5"/>
  <c r="AD120" i="5"/>
  <c r="AC120" i="5"/>
  <c r="AB120" i="5"/>
  <c r="AA120" i="5"/>
  <c r="Z120" i="5"/>
  <c r="Y120" i="5"/>
  <c r="L120" i="5"/>
  <c r="K120" i="5"/>
  <c r="J120" i="5"/>
  <c r="I120" i="5"/>
  <c r="H120" i="5"/>
  <c r="G120" i="5"/>
  <c r="F120" i="5"/>
  <c r="AE119" i="5"/>
  <c r="AD119" i="5"/>
  <c r="AC119" i="5"/>
  <c r="AB119" i="5"/>
  <c r="AA119" i="5"/>
  <c r="Z119" i="5"/>
  <c r="Y119" i="5"/>
  <c r="L119" i="5"/>
  <c r="K119" i="5"/>
  <c r="J119" i="5"/>
  <c r="I119" i="5"/>
  <c r="H119" i="5"/>
  <c r="G119" i="5"/>
  <c r="F119" i="5"/>
  <c r="AE118" i="5"/>
  <c r="AD118" i="5"/>
  <c r="AC118" i="5"/>
  <c r="AB118" i="5"/>
  <c r="AA118" i="5"/>
  <c r="Z118" i="5"/>
  <c r="Y118" i="5"/>
  <c r="L118" i="5"/>
  <c r="K118" i="5"/>
  <c r="J118" i="5"/>
  <c r="I118" i="5"/>
  <c r="H118" i="5"/>
  <c r="G118" i="5"/>
  <c r="F118" i="5"/>
  <c r="AE117" i="5"/>
  <c r="AD117" i="5"/>
  <c r="AC117" i="5"/>
  <c r="AB117" i="5"/>
  <c r="AA117" i="5"/>
  <c r="Z117" i="5"/>
  <c r="Y117" i="5"/>
  <c r="L117" i="5"/>
  <c r="K117" i="5"/>
  <c r="J117" i="5"/>
  <c r="I117" i="5"/>
  <c r="H117" i="5"/>
  <c r="G117" i="5"/>
  <c r="F117" i="5"/>
  <c r="AE116" i="5"/>
  <c r="AD116" i="5"/>
  <c r="AC116" i="5"/>
  <c r="AB116" i="5"/>
  <c r="AA116" i="5"/>
  <c r="Z116" i="5"/>
  <c r="Y116" i="5"/>
  <c r="L116" i="5"/>
  <c r="K116" i="5"/>
  <c r="J116" i="5"/>
  <c r="I116" i="5"/>
  <c r="H116" i="5"/>
  <c r="G116" i="5"/>
  <c r="F116" i="5"/>
  <c r="AE115" i="5"/>
  <c r="AD115" i="5"/>
  <c r="AC115" i="5"/>
  <c r="AB115" i="5"/>
  <c r="AA115" i="5"/>
  <c r="Z115" i="5"/>
  <c r="Y115" i="5"/>
  <c r="L115" i="5"/>
  <c r="K115" i="5"/>
  <c r="J115" i="5"/>
  <c r="I115" i="5"/>
  <c r="H115" i="5"/>
  <c r="G115" i="5"/>
  <c r="F115" i="5"/>
  <c r="AE114" i="5"/>
  <c r="AD114" i="5"/>
  <c r="AC114" i="5"/>
  <c r="AB114" i="5"/>
  <c r="AA114" i="5"/>
  <c r="Z114" i="5"/>
  <c r="Y114" i="5"/>
  <c r="L114" i="5"/>
  <c r="K114" i="5"/>
  <c r="J114" i="5"/>
  <c r="I114" i="5"/>
  <c r="H114" i="5"/>
  <c r="G114" i="5"/>
  <c r="F114" i="5"/>
  <c r="AE113" i="5"/>
  <c r="AD113" i="5"/>
  <c r="AC113" i="5"/>
  <c r="AB113" i="5"/>
  <c r="AA113" i="5"/>
  <c r="Z113" i="5"/>
  <c r="Y113" i="5"/>
  <c r="L113" i="5"/>
  <c r="K113" i="5"/>
  <c r="J113" i="5"/>
  <c r="I113" i="5"/>
  <c r="H113" i="5"/>
  <c r="G113" i="5"/>
  <c r="F113" i="5"/>
  <c r="AE112" i="5"/>
  <c r="AD112" i="5"/>
  <c r="AC112" i="5"/>
  <c r="AB112" i="5"/>
  <c r="AA112" i="5"/>
  <c r="Z112" i="5"/>
  <c r="Y112" i="5"/>
  <c r="L112" i="5"/>
  <c r="K112" i="5"/>
  <c r="J112" i="5"/>
  <c r="I112" i="5"/>
  <c r="H112" i="5"/>
  <c r="G112" i="5"/>
  <c r="F112" i="5"/>
  <c r="AE111" i="5"/>
  <c r="AD111" i="5"/>
  <c r="AC111" i="5"/>
  <c r="AB111" i="5"/>
  <c r="AA111" i="5"/>
  <c r="Z111" i="5"/>
  <c r="Y111" i="5"/>
  <c r="L111" i="5"/>
  <c r="K111" i="5"/>
  <c r="J111" i="5"/>
  <c r="I111" i="5"/>
  <c r="H111" i="5"/>
  <c r="G111" i="5"/>
  <c r="F111" i="5"/>
  <c r="AE110" i="5"/>
  <c r="AD110" i="5"/>
  <c r="AC110" i="5"/>
  <c r="AB110" i="5"/>
  <c r="AA110" i="5"/>
  <c r="Z110" i="5"/>
  <c r="Y110" i="5"/>
  <c r="L110" i="5"/>
  <c r="K110" i="5"/>
  <c r="J110" i="5"/>
  <c r="I110" i="5"/>
  <c r="H110" i="5"/>
  <c r="G110" i="5"/>
  <c r="F110" i="5"/>
  <c r="AE109" i="5"/>
  <c r="AD109" i="5"/>
  <c r="AC109" i="5"/>
  <c r="AB109" i="5"/>
  <c r="AA109" i="5"/>
  <c r="Z109" i="5"/>
  <c r="Y109" i="5"/>
  <c r="L109" i="5"/>
  <c r="K109" i="5"/>
  <c r="J109" i="5"/>
  <c r="I109" i="5"/>
  <c r="H109" i="5"/>
  <c r="G109" i="5"/>
  <c r="F109" i="5"/>
  <c r="AE108" i="5"/>
  <c r="AD108" i="5"/>
  <c r="AC108" i="5"/>
  <c r="AB108" i="5"/>
  <c r="AA108" i="5"/>
  <c r="Z108" i="5"/>
  <c r="Y108" i="5"/>
  <c r="L108" i="5"/>
  <c r="K108" i="5"/>
  <c r="J108" i="5"/>
  <c r="I108" i="5"/>
  <c r="H108" i="5"/>
  <c r="G108" i="5"/>
  <c r="F108" i="5"/>
  <c r="AE107" i="5"/>
  <c r="AD107" i="5"/>
  <c r="AC107" i="5"/>
  <c r="AB107" i="5"/>
  <c r="AA107" i="5"/>
  <c r="Z107" i="5"/>
  <c r="Y107" i="5"/>
  <c r="L107" i="5"/>
  <c r="K107" i="5"/>
  <c r="J107" i="5"/>
  <c r="I107" i="5"/>
  <c r="H107" i="5"/>
  <c r="G107" i="5"/>
  <c r="F107" i="5"/>
  <c r="AE106" i="5"/>
  <c r="AD106" i="5"/>
  <c r="AC106" i="5"/>
  <c r="AB106" i="5"/>
  <c r="AA106" i="5"/>
  <c r="Z106" i="5"/>
  <c r="Y106" i="5"/>
  <c r="L106" i="5"/>
  <c r="K106" i="5"/>
  <c r="J106" i="5"/>
  <c r="I106" i="5"/>
  <c r="H106" i="5"/>
  <c r="G106" i="5"/>
  <c r="F106" i="5"/>
  <c r="AE105" i="5"/>
  <c r="AD105" i="5"/>
  <c r="AC105" i="5"/>
  <c r="AB105" i="5"/>
  <c r="AA105" i="5"/>
  <c r="Z105" i="5"/>
  <c r="Y105" i="5"/>
  <c r="L105" i="5"/>
  <c r="K105" i="5"/>
  <c r="J105" i="5"/>
  <c r="I105" i="5"/>
  <c r="H105" i="5"/>
  <c r="G105" i="5"/>
  <c r="F105" i="5"/>
  <c r="AE104" i="5"/>
  <c r="AD104" i="5"/>
  <c r="AC104" i="5"/>
  <c r="AB104" i="5"/>
  <c r="AA104" i="5"/>
  <c r="Z104" i="5"/>
  <c r="Y104" i="5"/>
  <c r="L104" i="5"/>
  <c r="K104" i="5"/>
  <c r="J104" i="5"/>
  <c r="I104" i="5"/>
  <c r="H104" i="5"/>
  <c r="G104" i="5"/>
  <c r="F104" i="5"/>
  <c r="AE103" i="5"/>
  <c r="AD103" i="5"/>
  <c r="AC103" i="5"/>
  <c r="AB103" i="5"/>
  <c r="AA103" i="5"/>
  <c r="Z103" i="5"/>
  <c r="Y103" i="5"/>
  <c r="L103" i="5"/>
  <c r="K103" i="5"/>
  <c r="J103" i="5"/>
  <c r="I103" i="5"/>
  <c r="H103" i="5"/>
  <c r="G103" i="5"/>
  <c r="F103" i="5"/>
  <c r="AE102" i="5"/>
  <c r="AD102" i="5"/>
  <c r="AC102" i="5"/>
  <c r="AB102" i="5"/>
  <c r="AA102" i="5"/>
  <c r="Z102" i="5"/>
  <c r="Y102" i="5"/>
  <c r="L102" i="5"/>
  <c r="K102" i="5"/>
  <c r="J102" i="5"/>
  <c r="I102" i="5"/>
  <c r="H102" i="5"/>
  <c r="G102" i="5"/>
  <c r="F102" i="5"/>
  <c r="AE101" i="5"/>
  <c r="AD101" i="5"/>
  <c r="AC101" i="5"/>
  <c r="AB101" i="5"/>
  <c r="AA101" i="5"/>
  <c r="Z101" i="5"/>
  <c r="Y101" i="5"/>
  <c r="L101" i="5"/>
  <c r="K101" i="5"/>
  <c r="J101" i="5"/>
  <c r="I101" i="5"/>
  <c r="H101" i="5"/>
  <c r="G101" i="5"/>
  <c r="F101" i="5"/>
  <c r="AE100" i="5"/>
  <c r="AD100" i="5"/>
  <c r="AC100" i="5"/>
  <c r="AB100" i="5"/>
  <c r="AA100" i="5"/>
  <c r="Z100" i="5"/>
  <c r="Y100" i="5"/>
  <c r="L100" i="5"/>
  <c r="K100" i="5"/>
  <c r="J100" i="5"/>
  <c r="I100" i="5"/>
  <c r="H100" i="5"/>
  <c r="G100" i="5"/>
  <c r="F100" i="5"/>
  <c r="AE99" i="5"/>
  <c r="AD99" i="5"/>
  <c r="AC99" i="5"/>
  <c r="AB99" i="5"/>
  <c r="AA99" i="5"/>
  <c r="Z99" i="5"/>
  <c r="Y99" i="5"/>
  <c r="L99" i="5"/>
  <c r="K99" i="5"/>
  <c r="J99" i="5"/>
  <c r="I99" i="5"/>
  <c r="H99" i="5"/>
  <c r="G99" i="5"/>
  <c r="F99" i="5"/>
  <c r="AE98" i="5"/>
  <c r="AD98" i="5"/>
  <c r="AC98" i="5"/>
  <c r="AB98" i="5"/>
  <c r="AA98" i="5"/>
  <c r="Z98" i="5"/>
  <c r="Y98" i="5"/>
  <c r="L98" i="5"/>
  <c r="K98" i="5"/>
  <c r="J98" i="5"/>
  <c r="I98" i="5"/>
  <c r="H98" i="5"/>
  <c r="G98" i="5"/>
  <c r="F98" i="5"/>
  <c r="AE97" i="5"/>
  <c r="AD97" i="5"/>
  <c r="AC97" i="5"/>
  <c r="AB97" i="5"/>
  <c r="AA97" i="5"/>
  <c r="Z97" i="5"/>
  <c r="Y97" i="5"/>
  <c r="L97" i="5"/>
  <c r="K97" i="5"/>
  <c r="J97" i="5"/>
  <c r="I97" i="5"/>
  <c r="H97" i="5"/>
  <c r="G97" i="5"/>
  <c r="F97" i="5"/>
  <c r="AE96" i="5"/>
  <c r="AD96" i="5"/>
  <c r="AC96" i="5"/>
  <c r="AB96" i="5"/>
  <c r="AA96" i="5"/>
  <c r="Z96" i="5"/>
  <c r="Y96" i="5"/>
  <c r="L96" i="5"/>
  <c r="K96" i="5"/>
  <c r="J96" i="5"/>
  <c r="I96" i="5"/>
  <c r="H96" i="5"/>
  <c r="G96" i="5"/>
  <c r="F96" i="5"/>
  <c r="AE95" i="5"/>
  <c r="AD95" i="5"/>
  <c r="AC95" i="5"/>
  <c r="AB95" i="5"/>
  <c r="AA95" i="5"/>
  <c r="Z95" i="5"/>
  <c r="Y95" i="5"/>
  <c r="L95" i="5"/>
  <c r="K95" i="5"/>
  <c r="J95" i="5"/>
  <c r="I95" i="5"/>
  <c r="H95" i="5"/>
  <c r="G95" i="5"/>
  <c r="F95" i="5"/>
  <c r="AE94" i="5"/>
  <c r="AD94" i="5"/>
  <c r="AC94" i="5"/>
  <c r="AB94" i="5"/>
  <c r="AA94" i="5"/>
  <c r="Z94" i="5"/>
  <c r="Y94" i="5"/>
  <c r="L94" i="5"/>
  <c r="K94" i="5"/>
  <c r="J94" i="5"/>
  <c r="I94" i="5"/>
  <c r="H94" i="5"/>
  <c r="G94" i="5"/>
  <c r="F94" i="5"/>
  <c r="AE93" i="5"/>
  <c r="AD93" i="5"/>
  <c r="AC93" i="5"/>
  <c r="AB93" i="5"/>
  <c r="AA93" i="5"/>
  <c r="Z93" i="5"/>
  <c r="Y93" i="5"/>
  <c r="L93" i="5"/>
  <c r="K93" i="5"/>
  <c r="J93" i="5"/>
  <c r="I93" i="5"/>
  <c r="H93" i="5"/>
  <c r="G93" i="5"/>
  <c r="F93" i="5"/>
  <c r="AE92" i="5"/>
  <c r="AD92" i="5"/>
  <c r="AC92" i="5"/>
  <c r="AB92" i="5"/>
  <c r="AA92" i="5"/>
  <c r="Z92" i="5"/>
  <c r="Y92" i="5"/>
  <c r="L92" i="5"/>
  <c r="K92" i="5"/>
  <c r="J92" i="5"/>
  <c r="I92" i="5"/>
  <c r="H92" i="5"/>
  <c r="G92" i="5"/>
  <c r="F92" i="5"/>
  <c r="AE91" i="5"/>
  <c r="AD91" i="5"/>
  <c r="AC91" i="5"/>
  <c r="AB91" i="5"/>
  <c r="AA91" i="5"/>
  <c r="Z91" i="5"/>
  <c r="Y91" i="5"/>
  <c r="L91" i="5"/>
  <c r="K91" i="5"/>
  <c r="J91" i="5"/>
  <c r="I91" i="5"/>
  <c r="H91" i="5"/>
  <c r="G91" i="5"/>
  <c r="F91" i="5"/>
  <c r="AE90" i="5"/>
  <c r="AD90" i="5"/>
  <c r="AC90" i="5"/>
  <c r="AB90" i="5"/>
  <c r="AA90" i="5"/>
  <c r="Z90" i="5"/>
  <c r="Y90" i="5"/>
  <c r="L90" i="5"/>
  <c r="K90" i="5"/>
  <c r="J90" i="5"/>
  <c r="I90" i="5"/>
  <c r="H90" i="5"/>
  <c r="G90" i="5"/>
  <c r="F90" i="5"/>
  <c r="AE89" i="5"/>
  <c r="AD89" i="5"/>
  <c r="AC89" i="5"/>
  <c r="AB89" i="5"/>
  <c r="AA89" i="5"/>
  <c r="Z89" i="5"/>
  <c r="Y89" i="5"/>
  <c r="L89" i="5"/>
  <c r="K89" i="5"/>
  <c r="J89" i="5"/>
  <c r="I89" i="5"/>
  <c r="H89" i="5"/>
  <c r="G89" i="5"/>
  <c r="F89" i="5"/>
  <c r="AE88" i="5"/>
  <c r="AD88" i="5"/>
  <c r="AC88" i="5"/>
  <c r="AB88" i="5"/>
  <c r="AA88" i="5"/>
  <c r="Z88" i="5"/>
  <c r="Y88" i="5"/>
  <c r="L88" i="5"/>
  <c r="K88" i="5"/>
  <c r="J88" i="5"/>
  <c r="I88" i="5"/>
  <c r="H88" i="5"/>
  <c r="G88" i="5"/>
  <c r="F88" i="5"/>
  <c r="AE87" i="5"/>
  <c r="AD87" i="5"/>
  <c r="AC87" i="5"/>
  <c r="AB87" i="5"/>
  <c r="AA87" i="5"/>
  <c r="Z87" i="5"/>
  <c r="Y87" i="5"/>
  <c r="L87" i="5"/>
  <c r="K87" i="5"/>
  <c r="J87" i="5"/>
  <c r="I87" i="5"/>
  <c r="H87" i="5"/>
  <c r="G87" i="5"/>
  <c r="F87" i="5"/>
  <c r="AE86" i="5"/>
  <c r="AD86" i="5"/>
  <c r="AC86" i="5"/>
  <c r="AB86" i="5"/>
  <c r="AA86" i="5"/>
  <c r="Z86" i="5"/>
  <c r="Y86" i="5"/>
  <c r="L86" i="5"/>
  <c r="K86" i="5"/>
  <c r="J86" i="5"/>
  <c r="I86" i="5"/>
  <c r="H86" i="5"/>
  <c r="G86" i="5"/>
  <c r="F86" i="5"/>
  <c r="AE85" i="5"/>
  <c r="AD85" i="5"/>
  <c r="AC85" i="5"/>
  <c r="AB85" i="5"/>
  <c r="AA85" i="5"/>
  <c r="Z85" i="5"/>
  <c r="Y85" i="5"/>
  <c r="L85" i="5"/>
  <c r="K85" i="5"/>
  <c r="J85" i="5"/>
  <c r="I85" i="5"/>
  <c r="H85" i="5"/>
  <c r="G85" i="5"/>
  <c r="F85" i="5"/>
  <c r="AE84" i="5"/>
  <c r="AD84" i="5"/>
  <c r="AC84" i="5"/>
  <c r="AB84" i="5"/>
  <c r="AA84" i="5"/>
  <c r="Z84" i="5"/>
  <c r="Y84" i="5"/>
  <c r="L84" i="5"/>
  <c r="K84" i="5"/>
  <c r="J84" i="5"/>
  <c r="I84" i="5"/>
  <c r="H84" i="5"/>
  <c r="G84" i="5"/>
  <c r="F84" i="5"/>
  <c r="AE83" i="5"/>
  <c r="AD83" i="5"/>
  <c r="AC83" i="5"/>
  <c r="AB83" i="5"/>
  <c r="AA83" i="5"/>
  <c r="Z83" i="5"/>
  <c r="Y83" i="5"/>
  <c r="L83" i="5"/>
  <c r="K83" i="5"/>
  <c r="J83" i="5"/>
  <c r="I83" i="5"/>
  <c r="H83" i="5"/>
  <c r="G83" i="5"/>
  <c r="F83" i="5"/>
  <c r="AE82" i="5"/>
  <c r="AD82" i="5"/>
  <c r="AC82" i="5"/>
  <c r="AB82" i="5"/>
  <c r="AA82" i="5"/>
  <c r="Z82" i="5"/>
  <c r="Y82" i="5"/>
  <c r="L82" i="5"/>
  <c r="K82" i="5"/>
  <c r="J82" i="5"/>
  <c r="I82" i="5"/>
  <c r="H82" i="5"/>
  <c r="G82" i="5"/>
  <c r="F82" i="5"/>
  <c r="AE81" i="5"/>
  <c r="AD81" i="5"/>
  <c r="AC81" i="5"/>
  <c r="AB81" i="5"/>
  <c r="AA81" i="5"/>
  <c r="Z81" i="5"/>
  <c r="Y81" i="5"/>
  <c r="L81" i="5"/>
  <c r="K81" i="5"/>
  <c r="J81" i="5"/>
  <c r="I81" i="5"/>
  <c r="H81" i="5"/>
  <c r="G81" i="5"/>
  <c r="F81" i="5"/>
  <c r="AE80" i="5"/>
  <c r="AD80" i="5"/>
  <c r="AC80" i="5"/>
  <c r="AB80" i="5"/>
  <c r="AA80" i="5"/>
  <c r="Z80" i="5"/>
  <c r="Y80" i="5"/>
  <c r="L80" i="5"/>
  <c r="K80" i="5"/>
  <c r="J80" i="5"/>
  <c r="I80" i="5"/>
  <c r="H80" i="5"/>
  <c r="G80" i="5"/>
  <c r="F80" i="5"/>
  <c r="AE79" i="5"/>
  <c r="AD79" i="5"/>
  <c r="AC79" i="5"/>
  <c r="AB79" i="5"/>
  <c r="AA79" i="5"/>
  <c r="Z79" i="5"/>
  <c r="Y79" i="5"/>
  <c r="L79" i="5"/>
  <c r="K79" i="5"/>
  <c r="J79" i="5"/>
  <c r="I79" i="5"/>
  <c r="H79" i="5"/>
  <c r="G79" i="5"/>
  <c r="F79" i="5"/>
  <c r="AE78" i="5"/>
  <c r="AD78" i="5"/>
  <c r="AC78" i="5"/>
  <c r="AB78" i="5"/>
  <c r="AA78" i="5"/>
  <c r="Z78" i="5"/>
  <c r="Y78" i="5"/>
  <c r="L78" i="5"/>
  <c r="K78" i="5"/>
  <c r="J78" i="5"/>
  <c r="I78" i="5"/>
  <c r="H78" i="5"/>
  <c r="G78" i="5"/>
  <c r="F78" i="5"/>
  <c r="AE77" i="5"/>
  <c r="AD77" i="5"/>
  <c r="AC77" i="5"/>
  <c r="AB77" i="5"/>
  <c r="AA77" i="5"/>
  <c r="Z77" i="5"/>
  <c r="Y77" i="5"/>
  <c r="L77" i="5"/>
  <c r="K77" i="5"/>
  <c r="J77" i="5"/>
  <c r="I77" i="5"/>
  <c r="H77" i="5"/>
  <c r="G77" i="5"/>
  <c r="F77" i="5"/>
  <c r="AE76" i="5"/>
  <c r="AD76" i="5"/>
  <c r="AC76" i="5"/>
  <c r="AB76" i="5"/>
  <c r="AA76" i="5"/>
  <c r="Z76" i="5"/>
  <c r="Y76" i="5"/>
  <c r="L76" i="5"/>
  <c r="K76" i="5"/>
  <c r="J76" i="5"/>
  <c r="I76" i="5"/>
  <c r="H76" i="5"/>
  <c r="G76" i="5"/>
  <c r="F76" i="5"/>
  <c r="AE75" i="5"/>
  <c r="AD75" i="5"/>
  <c r="AC75" i="5"/>
  <c r="AB75" i="5"/>
  <c r="AA75" i="5"/>
  <c r="Z75" i="5"/>
  <c r="Y75" i="5"/>
  <c r="L75" i="5"/>
  <c r="K75" i="5"/>
  <c r="J75" i="5"/>
  <c r="I75" i="5"/>
  <c r="H75" i="5"/>
  <c r="G75" i="5"/>
  <c r="F75" i="5"/>
  <c r="AE74" i="5"/>
  <c r="AD74" i="5"/>
  <c r="AC74" i="5"/>
  <c r="AB74" i="5"/>
  <c r="AA74" i="5"/>
  <c r="Z74" i="5"/>
  <c r="Y74" i="5"/>
  <c r="L74" i="5"/>
  <c r="K74" i="5"/>
  <c r="J74" i="5"/>
  <c r="I74" i="5"/>
  <c r="H74" i="5"/>
  <c r="G74" i="5"/>
  <c r="F74" i="5"/>
  <c r="AE73" i="5"/>
  <c r="AD73" i="5"/>
  <c r="AC73" i="5"/>
  <c r="AB73" i="5"/>
  <c r="AA73" i="5"/>
  <c r="Z73" i="5"/>
  <c r="Y73" i="5"/>
  <c r="L73" i="5"/>
  <c r="K73" i="5"/>
  <c r="J73" i="5"/>
  <c r="I73" i="5"/>
  <c r="H73" i="5"/>
  <c r="G73" i="5"/>
  <c r="F73" i="5"/>
  <c r="AE72" i="5"/>
  <c r="AD72" i="5"/>
  <c r="AC72" i="5"/>
  <c r="AB72" i="5"/>
  <c r="AA72" i="5"/>
  <c r="Z72" i="5"/>
  <c r="Y72" i="5"/>
  <c r="L72" i="5"/>
  <c r="K72" i="5"/>
  <c r="J72" i="5"/>
  <c r="I72" i="5"/>
  <c r="H72" i="5"/>
  <c r="G72" i="5"/>
  <c r="F72" i="5"/>
  <c r="AE71" i="5"/>
  <c r="AD71" i="5"/>
  <c r="AC71" i="5"/>
  <c r="AB71" i="5"/>
  <c r="AA71" i="5"/>
  <c r="Z71" i="5"/>
  <c r="Y71" i="5"/>
  <c r="L71" i="5"/>
  <c r="K71" i="5"/>
  <c r="J71" i="5"/>
  <c r="I71" i="5"/>
  <c r="H71" i="5"/>
  <c r="G71" i="5"/>
  <c r="F71" i="5"/>
  <c r="AE70" i="5"/>
  <c r="AD70" i="5"/>
  <c r="AC70" i="5"/>
  <c r="AB70" i="5"/>
  <c r="AA70" i="5"/>
  <c r="Z70" i="5"/>
  <c r="Y70" i="5"/>
  <c r="L70" i="5"/>
  <c r="K70" i="5"/>
  <c r="J70" i="5"/>
  <c r="I70" i="5"/>
  <c r="H70" i="5"/>
  <c r="G70" i="5"/>
  <c r="F70" i="5"/>
  <c r="AE69" i="5"/>
  <c r="AD69" i="5"/>
  <c r="AC69" i="5"/>
  <c r="AB69" i="5"/>
  <c r="AA69" i="5"/>
  <c r="Z69" i="5"/>
  <c r="Y69" i="5"/>
  <c r="L69" i="5"/>
  <c r="K69" i="5"/>
  <c r="J69" i="5"/>
  <c r="I69" i="5"/>
  <c r="H69" i="5"/>
  <c r="G69" i="5"/>
  <c r="F69" i="5"/>
  <c r="AE68" i="5"/>
  <c r="AD68" i="5"/>
  <c r="AC68" i="5"/>
  <c r="AB68" i="5"/>
  <c r="AA68" i="5"/>
  <c r="Z68" i="5"/>
  <c r="Y68" i="5"/>
  <c r="L68" i="5"/>
  <c r="K68" i="5"/>
  <c r="J68" i="5"/>
  <c r="I68" i="5"/>
  <c r="H68" i="5"/>
  <c r="G68" i="5"/>
  <c r="F68" i="5"/>
  <c r="AE67" i="5"/>
  <c r="AD67" i="5"/>
  <c r="AC67" i="5"/>
  <c r="AB67" i="5"/>
  <c r="AA67" i="5"/>
  <c r="Z67" i="5"/>
  <c r="Y67" i="5"/>
  <c r="L67" i="5"/>
  <c r="K67" i="5"/>
  <c r="J67" i="5"/>
  <c r="I67" i="5"/>
  <c r="H67" i="5"/>
  <c r="G67" i="5"/>
  <c r="F67" i="5"/>
  <c r="AE66" i="5"/>
  <c r="AD66" i="5"/>
  <c r="AC66" i="5"/>
  <c r="AB66" i="5"/>
  <c r="AA66" i="5"/>
  <c r="Z66" i="5"/>
  <c r="Y66" i="5"/>
  <c r="L66" i="5"/>
  <c r="K66" i="5"/>
  <c r="J66" i="5"/>
  <c r="I66" i="5"/>
  <c r="H66" i="5"/>
  <c r="G66" i="5"/>
  <c r="F66" i="5"/>
  <c r="AE65" i="5"/>
  <c r="AD65" i="5"/>
  <c r="AC65" i="5"/>
  <c r="AB65" i="5"/>
  <c r="AA65" i="5"/>
  <c r="Z65" i="5"/>
  <c r="Y65" i="5"/>
  <c r="L65" i="5"/>
  <c r="K65" i="5"/>
  <c r="J65" i="5"/>
  <c r="I65" i="5"/>
  <c r="H65" i="5"/>
  <c r="G65" i="5"/>
  <c r="F65" i="5"/>
  <c r="AE64" i="5"/>
  <c r="AD64" i="5"/>
  <c r="AC64" i="5"/>
  <c r="AB64" i="5"/>
  <c r="AA64" i="5"/>
  <c r="Z64" i="5"/>
  <c r="Y64" i="5"/>
  <c r="L64" i="5"/>
  <c r="K64" i="5"/>
  <c r="J64" i="5"/>
  <c r="I64" i="5"/>
  <c r="H64" i="5"/>
  <c r="G64" i="5"/>
  <c r="F64" i="5"/>
  <c r="AE63" i="5"/>
  <c r="AD63" i="5"/>
  <c r="AC63" i="5"/>
  <c r="AB63" i="5"/>
  <c r="AA63" i="5"/>
  <c r="Z63" i="5"/>
  <c r="Y63" i="5"/>
  <c r="L63" i="5"/>
  <c r="K63" i="5"/>
  <c r="J63" i="5"/>
  <c r="I63" i="5"/>
  <c r="H63" i="5"/>
  <c r="G63" i="5"/>
  <c r="F63" i="5"/>
  <c r="AE62" i="5"/>
  <c r="AD62" i="5"/>
  <c r="AC62" i="5"/>
  <c r="AB62" i="5"/>
  <c r="AA62" i="5"/>
  <c r="Z62" i="5"/>
  <c r="Y62" i="5"/>
  <c r="L62" i="5"/>
  <c r="K62" i="5"/>
  <c r="J62" i="5"/>
  <c r="I62" i="5"/>
  <c r="H62" i="5"/>
  <c r="G62" i="5"/>
  <c r="F62" i="5"/>
  <c r="AE61" i="5"/>
  <c r="AD61" i="5"/>
  <c r="AC61" i="5"/>
  <c r="AB61" i="5"/>
  <c r="AA61" i="5"/>
  <c r="Z61" i="5"/>
  <c r="Y61" i="5"/>
  <c r="L61" i="5"/>
  <c r="K61" i="5"/>
  <c r="J61" i="5"/>
  <c r="I61" i="5"/>
  <c r="H61" i="5"/>
  <c r="G61" i="5"/>
  <c r="F61" i="5"/>
  <c r="AE60" i="5"/>
  <c r="AD60" i="5"/>
  <c r="AC60" i="5"/>
  <c r="AB60" i="5"/>
  <c r="AA60" i="5"/>
  <c r="Z60" i="5"/>
  <c r="Y60" i="5"/>
  <c r="L60" i="5"/>
  <c r="K60" i="5"/>
  <c r="J60" i="5"/>
  <c r="I60" i="5"/>
  <c r="H60" i="5"/>
  <c r="G60" i="5"/>
  <c r="F60" i="5"/>
  <c r="AE59" i="5"/>
  <c r="AD59" i="5"/>
  <c r="AC59" i="5"/>
  <c r="AB59" i="5"/>
  <c r="AA59" i="5"/>
  <c r="Z59" i="5"/>
  <c r="Y59" i="5"/>
  <c r="L59" i="5"/>
  <c r="K59" i="5"/>
  <c r="J59" i="5"/>
  <c r="I59" i="5"/>
  <c r="H59" i="5"/>
  <c r="G59" i="5"/>
  <c r="F59" i="5"/>
  <c r="AE58" i="5"/>
  <c r="AD58" i="5"/>
  <c r="AC58" i="5"/>
  <c r="AB58" i="5"/>
  <c r="AA58" i="5"/>
  <c r="Z58" i="5"/>
  <c r="Y58" i="5"/>
  <c r="L58" i="5"/>
  <c r="K58" i="5"/>
  <c r="J58" i="5"/>
  <c r="I58" i="5"/>
  <c r="H58" i="5"/>
  <c r="G58" i="5"/>
  <c r="F58" i="5"/>
  <c r="AE57" i="5"/>
  <c r="AD57" i="5"/>
  <c r="AC57" i="5"/>
  <c r="AB57" i="5"/>
  <c r="AA57" i="5"/>
  <c r="Z57" i="5"/>
  <c r="Y57" i="5"/>
  <c r="L57" i="5"/>
  <c r="K57" i="5"/>
  <c r="J57" i="5"/>
  <c r="I57" i="5"/>
  <c r="H57" i="5"/>
  <c r="G57" i="5"/>
  <c r="F57" i="5"/>
  <c r="AE56" i="5"/>
  <c r="AD56" i="5"/>
  <c r="AC56" i="5"/>
  <c r="AB56" i="5"/>
  <c r="AA56" i="5"/>
  <c r="Z56" i="5"/>
  <c r="Y56" i="5"/>
  <c r="L56" i="5"/>
  <c r="K56" i="5"/>
  <c r="J56" i="5"/>
  <c r="I56" i="5"/>
  <c r="H56" i="5"/>
  <c r="G56" i="5"/>
  <c r="F56" i="5"/>
  <c r="AE55" i="5"/>
  <c r="AD55" i="5"/>
  <c r="AC55" i="5"/>
  <c r="AB55" i="5"/>
  <c r="AA55" i="5"/>
  <c r="Z55" i="5"/>
  <c r="Y55" i="5"/>
  <c r="L55" i="5"/>
  <c r="K55" i="5"/>
  <c r="J55" i="5"/>
  <c r="I55" i="5"/>
  <c r="H55" i="5"/>
  <c r="G55" i="5"/>
  <c r="F55" i="5"/>
  <c r="AE54" i="5"/>
  <c r="AD54" i="5"/>
  <c r="AC54" i="5"/>
  <c r="AB54" i="5"/>
  <c r="AA54" i="5"/>
  <c r="Z54" i="5"/>
  <c r="Y54" i="5"/>
  <c r="L54" i="5"/>
  <c r="K54" i="5"/>
  <c r="J54" i="5"/>
  <c r="I54" i="5"/>
  <c r="H54" i="5"/>
  <c r="G54" i="5"/>
  <c r="F54" i="5"/>
  <c r="AE53" i="5"/>
  <c r="AD53" i="5"/>
  <c r="AC53" i="5"/>
  <c r="AB53" i="5"/>
  <c r="AA53" i="5"/>
  <c r="Z53" i="5"/>
  <c r="Y53" i="5"/>
  <c r="L53" i="5"/>
  <c r="K53" i="5"/>
  <c r="J53" i="5"/>
  <c r="I53" i="5"/>
  <c r="H53" i="5"/>
  <c r="G53" i="5"/>
  <c r="F53" i="5"/>
  <c r="AE52" i="5"/>
  <c r="AD52" i="5"/>
  <c r="AC52" i="5"/>
  <c r="AB52" i="5"/>
  <c r="AA52" i="5"/>
  <c r="Z52" i="5"/>
  <c r="Y52" i="5"/>
  <c r="L52" i="5"/>
  <c r="K52" i="5"/>
  <c r="J52" i="5"/>
  <c r="I52" i="5"/>
  <c r="H52" i="5"/>
  <c r="G52" i="5"/>
  <c r="F52" i="5"/>
  <c r="AE51" i="5"/>
  <c r="AD51" i="5"/>
  <c r="AC51" i="5"/>
  <c r="AB51" i="5"/>
  <c r="AA51" i="5"/>
  <c r="Z51" i="5"/>
  <c r="Y51" i="5"/>
  <c r="L51" i="5"/>
  <c r="K51" i="5"/>
  <c r="J51" i="5"/>
  <c r="I51" i="5"/>
  <c r="H51" i="5"/>
  <c r="G51" i="5"/>
  <c r="F51" i="5"/>
  <c r="AE50" i="5"/>
  <c r="AD50" i="5"/>
  <c r="AC50" i="5"/>
  <c r="AB50" i="5"/>
  <c r="AA50" i="5"/>
  <c r="Z50" i="5"/>
  <c r="Y50" i="5"/>
  <c r="L50" i="5"/>
  <c r="K50" i="5"/>
  <c r="J50" i="5"/>
  <c r="I50" i="5"/>
  <c r="H50" i="5"/>
  <c r="G50" i="5"/>
  <c r="F50" i="5"/>
  <c r="AE49" i="5"/>
  <c r="AD49" i="5"/>
  <c r="AC49" i="5"/>
  <c r="AB49" i="5"/>
  <c r="AA49" i="5"/>
  <c r="Z49" i="5"/>
  <c r="Y49" i="5"/>
  <c r="L49" i="5"/>
  <c r="K49" i="5"/>
  <c r="J49" i="5"/>
  <c r="I49" i="5"/>
  <c r="H49" i="5"/>
  <c r="G49" i="5"/>
  <c r="F49" i="5"/>
  <c r="AE48" i="5"/>
  <c r="AD48" i="5"/>
  <c r="AC48" i="5"/>
  <c r="AB48" i="5"/>
  <c r="AA48" i="5"/>
  <c r="Z48" i="5"/>
  <c r="Y48" i="5"/>
  <c r="L48" i="5"/>
  <c r="K48" i="5"/>
  <c r="J48" i="5"/>
  <c r="I48" i="5"/>
  <c r="H48" i="5"/>
  <c r="G48" i="5"/>
  <c r="F48" i="5"/>
  <c r="AE47" i="5"/>
  <c r="AD47" i="5"/>
  <c r="AC47" i="5"/>
  <c r="AB47" i="5"/>
  <c r="AA47" i="5"/>
  <c r="Z47" i="5"/>
  <c r="Y47" i="5"/>
  <c r="L47" i="5"/>
  <c r="K47" i="5"/>
  <c r="J47" i="5"/>
  <c r="I47" i="5"/>
  <c r="H47" i="5"/>
  <c r="G47" i="5"/>
  <c r="F47" i="5"/>
  <c r="AE46" i="5"/>
  <c r="AD46" i="5"/>
  <c r="AC46" i="5"/>
  <c r="AB46" i="5"/>
  <c r="AA46" i="5"/>
  <c r="Z46" i="5"/>
  <c r="Y46" i="5"/>
  <c r="L46" i="5"/>
  <c r="K46" i="5"/>
  <c r="J46" i="5"/>
  <c r="I46" i="5"/>
  <c r="H46" i="5"/>
  <c r="G46" i="5"/>
  <c r="F46" i="5"/>
  <c r="AE45" i="5"/>
  <c r="AD45" i="5"/>
  <c r="AC45" i="5"/>
  <c r="AB45" i="5"/>
  <c r="AA45" i="5"/>
  <c r="Z45" i="5"/>
  <c r="Y45" i="5"/>
  <c r="L45" i="5"/>
  <c r="K45" i="5"/>
  <c r="J45" i="5"/>
  <c r="I45" i="5"/>
  <c r="H45" i="5"/>
  <c r="G45" i="5"/>
  <c r="F45" i="5"/>
  <c r="AE44" i="5"/>
  <c r="AD44" i="5"/>
  <c r="AC44" i="5"/>
  <c r="AB44" i="5"/>
  <c r="AA44" i="5"/>
  <c r="Z44" i="5"/>
  <c r="Y44" i="5"/>
  <c r="L44" i="5"/>
  <c r="K44" i="5"/>
  <c r="J44" i="5"/>
  <c r="I44" i="5"/>
  <c r="H44" i="5"/>
  <c r="G44" i="5"/>
  <c r="F44" i="5"/>
  <c r="AE43" i="5"/>
  <c r="AD43" i="5"/>
  <c r="AC43" i="5"/>
  <c r="AB43" i="5"/>
  <c r="AA43" i="5"/>
  <c r="Z43" i="5"/>
  <c r="Y43" i="5"/>
  <c r="L43" i="5"/>
  <c r="K43" i="5"/>
  <c r="J43" i="5"/>
  <c r="I43" i="5"/>
  <c r="H43" i="5"/>
  <c r="G43" i="5"/>
  <c r="F43" i="5"/>
  <c r="AE42" i="5"/>
  <c r="AD42" i="5"/>
  <c r="AC42" i="5"/>
  <c r="AB42" i="5"/>
  <c r="AA42" i="5"/>
  <c r="Z42" i="5"/>
  <c r="Y42" i="5"/>
  <c r="L42" i="5"/>
  <c r="K42" i="5"/>
  <c r="J42" i="5"/>
  <c r="I42" i="5"/>
  <c r="H42" i="5"/>
  <c r="G42" i="5"/>
  <c r="F42" i="5"/>
  <c r="AE41" i="5"/>
  <c r="AD41" i="5"/>
  <c r="AC41" i="5"/>
  <c r="AB41" i="5"/>
  <c r="AA41" i="5"/>
  <c r="Z41" i="5"/>
  <c r="Y41" i="5"/>
  <c r="L41" i="5"/>
  <c r="K41" i="5"/>
  <c r="J41" i="5"/>
  <c r="I41" i="5"/>
  <c r="H41" i="5"/>
  <c r="G41" i="5"/>
  <c r="F41" i="5"/>
  <c r="AE40" i="5"/>
  <c r="AD40" i="5"/>
  <c r="AC40" i="5"/>
  <c r="AB40" i="5"/>
  <c r="AA40" i="5"/>
  <c r="Z40" i="5"/>
  <c r="Y40" i="5"/>
  <c r="L40" i="5"/>
  <c r="K40" i="5"/>
  <c r="J40" i="5"/>
  <c r="I40" i="5"/>
  <c r="H40" i="5"/>
  <c r="G40" i="5"/>
  <c r="F40" i="5"/>
  <c r="AE39" i="5"/>
  <c r="AD39" i="5"/>
  <c r="AC39" i="5"/>
  <c r="AB39" i="5"/>
  <c r="AA39" i="5"/>
  <c r="Z39" i="5"/>
  <c r="Y39" i="5"/>
  <c r="L39" i="5"/>
  <c r="K39" i="5"/>
  <c r="J39" i="5"/>
  <c r="I39" i="5"/>
  <c r="H39" i="5"/>
  <c r="G39" i="5"/>
  <c r="F39" i="5"/>
  <c r="AE38" i="5"/>
  <c r="AD38" i="5"/>
  <c r="AC38" i="5"/>
  <c r="AB38" i="5"/>
  <c r="AA38" i="5"/>
  <c r="Z38" i="5"/>
  <c r="Y38" i="5"/>
  <c r="L38" i="5"/>
  <c r="K38" i="5"/>
  <c r="J38" i="5"/>
  <c r="I38" i="5"/>
  <c r="H38" i="5"/>
  <c r="G38" i="5"/>
  <c r="F38" i="5"/>
  <c r="AE37" i="5"/>
  <c r="AD37" i="5"/>
  <c r="AC37" i="5"/>
  <c r="AB37" i="5"/>
  <c r="AA37" i="5"/>
  <c r="Z37" i="5"/>
  <c r="Y37" i="5"/>
  <c r="L37" i="5"/>
  <c r="K37" i="5"/>
  <c r="J37" i="5"/>
  <c r="I37" i="5"/>
  <c r="H37" i="5"/>
  <c r="G37" i="5"/>
  <c r="F37" i="5"/>
  <c r="AE36" i="5"/>
  <c r="AD36" i="5"/>
  <c r="AC36" i="5"/>
  <c r="AB36" i="5"/>
  <c r="AA36" i="5"/>
  <c r="Z36" i="5"/>
  <c r="Y36" i="5"/>
  <c r="L36" i="5"/>
  <c r="K36" i="5"/>
  <c r="J36" i="5"/>
  <c r="I36" i="5"/>
  <c r="H36" i="5"/>
  <c r="G36" i="5"/>
  <c r="F36" i="5"/>
  <c r="AE35" i="5"/>
  <c r="AD35" i="5"/>
  <c r="AC35" i="5"/>
  <c r="AB35" i="5"/>
  <c r="AA35" i="5"/>
  <c r="Z35" i="5"/>
  <c r="Y35" i="5"/>
  <c r="L35" i="5"/>
  <c r="K35" i="5"/>
  <c r="J35" i="5"/>
  <c r="I35" i="5"/>
  <c r="H35" i="5"/>
  <c r="G35" i="5"/>
  <c r="F35" i="5"/>
  <c r="AE34" i="5"/>
  <c r="AD34" i="5"/>
  <c r="AC34" i="5"/>
  <c r="AB34" i="5"/>
  <c r="AA34" i="5"/>
  <c r="Z34" i="5"/>
  <c r="Y34" i="5"/>
  <c r="L34" i="5"/>
  <c r="K34" i="5"/>
  <c r="J34" i="5"/>
  <c r="I34" i="5"/>
  <c r="H34" i="5"/>
  <c r="G34" i="5"/>
  <c r="F34" i="5"/>
  <c r="AE33" i="5"/>
  <c r="AD33" i="5"/>
  <c r="AC33" i="5"/>
  <c r="AB33" i="5"/>
  <c r="AA33" i="5"/>
  <c r="Z33" i="5"/>
  <c r="Y33" i="5"/>
  <c r="L33" i="5"/>
  <c r="K33" i="5"/>
  <c r="J33" i="5"/>
  <c r="I33" i="5"/>
  <c r="H33" i="5"/>
  <c r="G33" i="5"/>
  <c r="F33" i="5"/>
  <c r="AE32" i="5"/>
  <c r="AD32" i="5"/>
  <c r="AC32" i="5"/>
  <c r="AB32" i="5"/>
  <c r="AA32" i="5"/>
  <c r="Z32" i="5"/>
  <c r="Y32" i="5"/>
  <c r="L32" i="5"/>
  <c r="K32" i="5"/>
  <c r="J32" i="5"/>
  <c r="I32" i="5"/>
  <c r="H32" i="5"/>
  <c r="G32" i="5"/>
  <c r="F32" i="5"/>
  <c r="AE31" i="5"/>
  <c r="AD31" i="5"/>
  <c r="AC31" i="5"/>
  <c r="AB31" i="5"/>
  <c r="AA31" i="5"/>
  <c r="Z31" i="5"/>
  <c r="Y31" i="5"/>
  <c r="L31" i="5"/>
  <c r="K31" i="5"/>
  <c r="J31" i="5"/>
  <c r="I31" i="5"/>
  <c r="H31" i="5"/>
  <c r="G31" i="5"/>
  <c r="F31" i="5"/>
  <c r="AE30" i="5"/>
  <c r="AD30" i="5"/>
  <c r="AC30" i="5"/>
  <c r="AB30" i="5"/>
  <c r="AA30" i="5"/>
  <c r="Z30" i="5"/>
  <c r="Y30" i="5"/>
  <c r="L30" i="5"/>
  <c r="K30" i="5"/>
  <c r="J30" i="5"/>
  <c r="I30" i="5"/>
  <c r="H30" i="5"/>
  <c r="G30" i="5"/>
  <c r="F30" i="5"/>
  <c r="AE29" i="5"/>
  <c r="AD29" i="5"/>
  <c r="AC29" i="5"/>
  <c r="AB29" i="5"/>
  <c r="AA29" i="5"/>
  <c r="Z29" i="5"/>
  <c r="Y29" i="5"/>
  <c r="L29" i="5"/>
  <c r="K29" i="5"/>
  <c r="J29" i="5"/>
  <c r="I29" i="5"/>
  <c r="H29" i="5"/>
  <c r="G29" i="5"/>
  <c r="F29" i="5"/>
  <c r="AE28" i="5"/>
  <c r="AD28" i="5"/>
  <c r="AC28" i="5"/>
  <c r="AB28" i="5"/>
  <c r="AA28" i="5"/>
  <c r="Z28" i="5"/>
  <c r="Y28" i="5"/>
  <c r="L28" i="5"/>
  <c r="K28" i="5"/>
  <c r="J28" i="5"/>
  <c r="I28" i="5"/>
  <c r="H28" i="5"/>
  <c r="G28" i="5"/>
  <c r="F28" i="5"/>
  <c r="AE27" i="5"/>
  <c r="AD27" i="5"/>
  <c r="AC27" i="5"/>
  <c r="AB27" i="5"/>
  <c r="AA27" i="5"/>
  <c r="Z27" i="5"/>
  <c r="Y27" i="5"/>
  <c r="L27" i="5"/>
  <c r="K27" i="5"/>
  <c r="J27" i="5"/>
  <c r="I27" i="5"/>
  <c r="H27" i="5"/>
  <c r="G27" i="5"/>
  <c r="F27" i="5"/>
  <c r="AE26" i="5"/>
  <c r="AD26" i="5"/>
  <c r="AC26" i="5"/>
  <c r="AB26" i="5"/>
  <c r="AA26" i="5"/>
  <c r="Z26" i="5"/>
  <c r="Y26" i="5"/>
  <c r="L26" i="5"/>
  <c r="K26" i="5"/>
  <c r="J26" i="5"/>
  <c r="I26" i="5"/>
  <c r="H26" i="5"/>
  <c r="G26" i="5"/>
  <c r="F26" i="5"/>
  <c r="AE25" i="5"/>
  <c r="AD25" i="5"/>
  <c r="AC25" i="5"/>
  <c r="AB25" i="5"/>
  <c r="AA25" i="5"/>
  <c r="Z25" i="5"/>
  <c r="Y25" i="5"/>
  <c r="L25" i="5"/>
  <c r="K25" i="5"/>
  <c r="J25" i="5"/>
  <c r="I25" i="5"/>
  <c r="H25" i="5"/>
  <c r="G25" i="5"/>
  <c r="F25" i="5"/>
  <c r="AE24" i="5"/>
  <c r="AD24" i="5"/>
  <c r="AC24" i="5"/>
  <c r="AB24" i="5"/>
  <c r="AA24" i="5"/>
  <c r="Z24" i="5"/>
  <c r="Y24" i="5"/>
  <c r="L24" i="5"/>
  <c r="K24" i="5"/>
  <c r="J24" i="5"/>
  <c r="I24" i="5"/>
  <c r="H24" i="5"/>
  <c r="G24" i="5"/>
  <c r="F24" i="5"/>
  <c r="AE23" i="5"/>
  <c r="AD23" i="5"/>
  <c r="AC23" i="5"/>
  <c r="AB23" i="5"/>
  <c r="AA23" i="5"/>
  <c r="Z23" i="5"/>
  <c r="Y23" i="5"/>
  <c r="L23" i="5"/>
  <c r="K23" i="5"/>
  <c r="J23" i="5"/>
  <c r="I23" i="5"/>
  <c r="H23" i="5"/>
  <c r="G23" i="5"/>
  <c r="F23" i="5"/>
  <c r="AE22" i="5"/>
  <c r="AD22" i="5"/>
  <c r="AC22" i="5"/>
  <c r="AB22" i="5"/>
  <c r="AA22" i="5"/>
  <c r="Z22" i="5"/>
  <c r="Y22" i="5"/>
  <c r="L22" i="5"/>
  <c r="K22" i="5"/>
  <c r="J22" i="5"/>
  <c r="I22" i="5"/>
  <c r="H22" i="5"/>
  <c r="G22" i="5"/>
  <c r="F22" i="5"/>
  <c r="AE21" i="5"/>
  <c r="AD21" i="5"/>
  <c r="AC21" i="5"/>
  <c r="AB21" i="5"/>
  <c r="AA21" i="5"/>
  <c r="Z21" i="5"/>
  <c r="Y21" i="5"/>
  <c r="L21" i="5"/>
  <c r="K21" i="5"/>
  <c r="J21" i="5"/>
  <c r="I21" i="5"/>
  <c r="H21" i="5"/>
  <c r="G21" i="5"/>
  <c r="F21" i="5"/>
  <c r="AE20" i="5"/>
  <c r="AD20" i="5"/>
  <c r="AC20" i="5"/>
  <c r="AB20" i="5"/>
  <c r="AA20" i="5"/>
  <c r="Z20" i="5"/>
  <c r="Y20" i="5"/>
  <c r="L20" i="5"/>
  <c r="K20" i="5"/>
  <c r="J20" i="5"/>
  <c r="I20" i="5"/>
  <c r="H20" i="5"/>
  <c r="G20" i="5"/>
  <c r="F20" i="5"/>
  <c r="AE19" i="5"/>
  <c r="AD19" i="5"/>
  <c r="AC19" i="5"/>
  <c r="AB19" i="5"/>
  <c r="AA19" i="5"/>
  <c r="Z19" i="5"/>
  <c r="Y19" i="5"/>
  <c r="L19" i="5"/>
  <c r="K19" i="5"/>
  <c r="J19" i="5"/>
  <c r="I19" i="5"/>
  <c r="H19" i="5"/>
  <c r="G19" i="5"/>
  <c r="F19" i="5"/>
  <c r="AE18" i="5"/>
  <c r="AD18" i="5"/>
  <c r="AC18" i="5"/>
  <c r="AB18" i="5"/>
  <c r="AA18" i="5"/>
  <c r="Z18" i="5"/>
  <c r="Y18" i="5"/>
  <c r="L18" i="5"/>
  <c r="K18" i="5"/>
  <c r="J18" i="5"/>
  <c r="I18" i="5"/>
  <c r="H18" i="5"/>
  <c r="G18" i="5"/>
  <c r="F18" i="5"/>
  <c r="AE17" i="5"/>
  <c r="AD17" i="5"/>
  <c r="AC17" i="5"/>
  <c r="AB17" i="5"/>
  <c r="AA17" i="5"/>
  <c r="Z17" i="5"/>
  <c r="Y17" i="5"/>
  <c r="L17" i="5"/>
  <c r="K17" i="5"/>
  <c r="J17" i="5"/>
  <c r="I17" i="5"/>
  <c r="H17" i="5"/>
  <c r="G17" i="5"/>
  <c r="F17" i="5"/>
  <c r="AE16" i="5"/>
  <c r="AD16" i="5"/>
  <c r="AC16" i="5"/>
  <c r="AB16" i="5"/>
  <c r="AA16" i="5"/>
  <c r="Z16" i="5"/>
  <c r="Y16" i="5"/>
  <c r="L16" i="5"/>
  <c r="K16" i="5"/>
  <c r="J16" i="5"/>
  <c r="I16" i="5"/>
  <c r="H16" i="5"/>
  <c r="G16" i="5"/>
  <c r="F16" i="5"/>
  <c r="AE15" i="5"/>
  <c r="AD15" i="5"/>
  <c r="AC15" i="5"/>
  <c r="AB15" i="5"/>
  <c r="AA15" i="5"/>
  <c r="Z15" i="5"/>
  <c r="Y15" i="5"/>
  <c r="L15" i="5"/>
  <c r="K15" i="5"/>
  <c r="J15" i="5"/>
  <c r="I15" i="5"/>
  <c r="H15" i="5"/>
  <c r="G15" i="5"/>
  <c r="F15" i="5"/>
  <c r="AE14" i="5"/>
  <c r="AD14" i="5"/>
  <c r="AC14" i="5"/>
  <c r="AB14" i="5"/>
  <c r="AA14" i="5"/>
  <c r="Z14" i="5"/>
  <c r="Y14" i="5"/>
  <c r="L14" i="5"/>
  <c r="K14" i="5"/>
  <c r="J14" i="5"/>
  <c r="I14" i="5"/>
  <c r="H14" i="5"/>
  <c r="G14" i="5"/>
  <c r="F14" i="5"/>
  <c r="AE13" i="5"/>
  <c r="AD13" i="5"/>
  <c r="AC13" i="5"/>
  <c r="AB13" i="5"/>
  <c r="AA13" i="5"/>
  <c r="Z13" i="5"/>
  <c r="Y13" i="5"/>
  <c r="L13" i="5"/>
  <c r="K13" i="5"/>
  <c r="J13" i="5"/>
  <c r="I13" i="5"/>
  <c r="H13" i="5"/>
  <c r="G13" i="5"/>
  <c r="F13" i="5"/>
  <c r="AE12" i="5"/>
  <c r="AD12" i="5"/>
  <c r="AC12" i="5"/>
  <c r="AB12" i="5"/>
  <c r="AA12" i="5"/>
  <c r="Z12" i="5"/>
  <c r="Y12" i="5"/>
  <c r="L12" i="5"/>
  <c r="K12" i="5"/>
  <c r="J12" i="5"/>
  <c r="I12" i="5"/>
  <c r="H12" i="5"/>
  <c r="G12" i="5"/>
  <c r="F12" i="5"/>
  <c r="AE11" i="5"/>
  <c r="AD11" i="5"/>
  <c r="AC11" i="5"/>
  <c r="AB11" i="5"/>
  <c r="AA11" i="5"/>
  <c r="Z11" i="5"/>
  <c r="Y11" i="5"/>
  <c r="L11" i="5"/>
  <c r="K11" i="5"/>
  <c r="J11" i="5"/>
  <c r="I11" i="5"/>
  <c r="H11" i="5"/>
  <c r="G11" i="5"/>
  <c r="F11" i="5"/>
  <c r="AE10" i="5"/>
  <c r="AD10" i="5"/>
  <c r="AC10" i="5"/>
  <c r="AB10" i="5"/>
  <c r="AA10" i="5"/>
  <c r="Z10" i="5"/>
  <c r="Y10" i="5"/>
  <c r="L10" i="5"/>
  <c r="K10" i="5"/>
  <c r="J10" i="5"/>
  <c r="I10" i="5"/>
  <c r="H10" i="5"/>
  <c r="G10" i="5"/>
  <c r="F10" i="5"/>
  <c r="AE9" i="5"/>
  <c r="AD9" i="5"/>
  <c r="AC9" i="5"/>
  <c r="AB9" i="5"/>
  <c r="AA9" i="5"/>
  <c r="Z9" i="5"/>
  <c r="Y9" i="5"/>
  <c r="L9" i="5"/>
  <c r="K9" i="5"/>
  <c r="J9" i="5"/>
  <c r="I9" i="5"/>
  <c r="H9" i="5"/>
  <c r="G9" i="5"/>
  <c r="F9" i="5"/>
  <c r="AE8" i="5"/>
  <c r="AD8" i="5"/>
  <c r="AC8" i="5"/>
  <c r="AB8" i="5"/>
  <c r="AA8" i="5"/>
  <c r="Z8" i="5"/>
  <c r="Y8" i="5"/>
  <c r="L8" i="5"/>
  <c r="K8" i="5"/>
  <c r="J8" i="5"/>
  <c r="I8" i="5"/>
  <c r="H8" i="5"/>
  <c r="G8" i="5"/>
  <c r="F8" i="5"/>
  <c r="AE7" i="5"/>
  <c r="AD7" i="5"/>
  <c r="AC7" i="5"/>
  <c r="AB7" i="5"/>
  <c r="AA7" i="5"/>
  <c r="Z7" i="5"/>
  <c r="Y7" i="5"/>
  <c r="L7" i="5"/>
  <c r="K7" i="5"/>
  <c r="J7" i="5"/>
  <c r="I7" i="5"/>
  <c r="H7" i="5"/>
  <c r="G7" i="5"/>
  <c r="F7" i="5"/>
  <c r="AE6" i="5"/>
  <c r="AD6" i="5"/>
  <c r="AC6" i="5"/>
  <c r="AB6" i="5"/>
  <c r="AA6" i="5"/>
  <c r="Z6" i="5"/>
  <c r="Y6" i="5"/>
  <c r="L6" i="5"/>
  <c r="K6" i="5"/>
  <c r="J6" i="5"/>
  <c r="I6" i="5"/>
  <c r="H6" i="5"/>
  <c r="G6" i="5"/>
  <c r="F6" i="5"/>
  <c r="AE5" i="5"/>
  <c r="AD5" i="5"/>
  <c r="AC5" i="5"/>
  <c r="AB5" i="5"/>
  <c r="AA5" i="5"/>
  <c r="Z5" i="5"/>
  <c r="Y5" i="5"/>
  <c r="L5" i="5"/>
  <c r="K5" i="5"/>
  <c r="J5" i="5"/>
  <c r="I5" i="5"/>
  <c r="H5" i="5"/>
  <c r="G5" i="5"/>
  <c r="F5" i="5"/>
</calcChain>
</file>

<file path=xl/sharedStrings.xml><?xml version="1.0" encoding="utf-8"?>
<sst xmlns="http://schemas.openxmlformats.org/spreadsheetml/2006/main" count="27195" uniqueCount="5437">
  <si>
    <t>SYNONYM(S)</t>
  </si>
  <si>
    <t>GEF or GAP (or GAP-like)</t>
  </si>
  <si>
    <t>Human Ensembl Gene ID</t>
  </si>
  <si>
    <t>Species in library</t>
  </si>
  <si>
    <t>Unique Identifier: e.g.  RefSeq ID of cDNA used</t>
  </si>
  <si>
    <t>size of construct in library (aa)</t>
  </si>
  <si>
    <t>Citrine ID</t>
  </si>
  <si>
    <t>Comments</t>
  </si>
  <si>
    <t>ABR</t>
  </si>
  <si>
    <t>MDB</t>
  </si>
  <si>
    <t>GEF, GAP</t>
  </si>
  <si>
    <t>ENSG00000159842</t>
  </si>
  <si>
    <t>Mouse</t>
  </si>
  <si>
    <t>NP_932135.1</t>
  </si>
  <si>
    <t>IL3</t>
  </si>
  <si>
    <t>AKAP13</t>
  </si>
  <si>
    <t>LBC, HA-3, PROTO-LB, BRX, AKAP-Lbc, c-lbc, ARHGEF13, Ht31</t>
  </si>
  <si>
    <t>GEF</t>
  </si>
  <si>
    <t>ENSG00000170776</t>
  </si>
  <si>
    <t>Human</t>
  </si>
  <si>
    <t>V7855</t>
  </si>
  <si>
    <t>ALS2</t>
  </si>
  <si>
    <t>Alsin</t>
  </si>
  <si>
    <t>ENSG00000003393</t>
  </si>
  <si>
    <t>V3644</t>
  </si>
  <si>
    <t>HGNC:443</t>
  </si>
  <si>
    <t>ARAP1</t>
  </si>
  <si>
    <t>CENTD2, KIAA0782</t>
  </si>
  <si>
    <t>GAP</t>
  </si>
  <si>
    <t>ENSG00000186635</t>
  </si>
  <si>
    <t>JB545</t>
  </si>
  <si>
    <t>HGNC:16925</t>
  </si>
  <si>
    <t>ARAP2</t>
  </si>
  <si>
    <t>CENTD1, Arf-GAP, PARX</t>
  </si>
  <si>
    <t>GAP-like (arginine finger missing)</t>
  </si>
  <si>
    <t>ENSG00000047365</t>
  </si>
  <si>
    <t>GenScript</t>
  </si>
  <si>
    <t>ARAP3</t>
  </si>
  <si>
    <t>CENTD3</t>
  </si>
  <si>
    <t>ENSG00000120318</t>
  </si>
  <si>
    <t>V3652</t>
  </si>
  <si>
    <t>ARHGAP1</t>
  </si>
  <si>
    <t>RhoGAP1, Cdc42GAP, p50-RhoGAP</t>
  </si>
  <si>
    <t>ENSG00000175220</t>
  </si>
  <si>
    <t>V3775</t>
  </si>
  <si>
    <t>ARHGAP4</t>
  </si>
  <si>
    <t>SrGAP4, KIAA0131, RhoGAP-C1, p115, RhoGAP4</t>
  </si>
  <si>
    <t>ENSG00000089820</t>
  </si>
  <si>
    <t>ML5</t>
  </si>
  <si>
    <t>ARHGAP5</t>
  </si>
  <si>
    <t>p190-B, p190BRhoGAP</t>
  </si>
  <si>
    <t>ENSG00000100852</t>
  </si>
  <si>
    <t>V6939</t>
  </si>
  <si>
    <t>ARHGAP6</t>
  </si>
  <si>
    <t xml:space="preserve"> RHOGAP6, rhoGAPX-1</t>
  </si>
  <si>
    <t>ENSG00000047648</t>
  </si>
  <si>
    <t>V5910</t>
  </si>
  <si>
    <t>ARHGAP8</t>
  </si>
  <si>
    <t>BPGAP1, PRR5, FLJ20185, 3110043J09Rik</t>
  </si>
  <si>
    <t>ENSG00000241484</t>
  </si>
  <si>
    <t>V3773</t>
  </si>
  <si>
    <t>ARHGAP9</t>
  </si>
  <si>
    <t>MGC1295, 10C</t>
  </si>
  <si>
    <t>ENSG00000123329</t>
  </si>
  <si>
    <t>V3737</t>
  </si>
  <si>
    <t>ARHGAP10</t>
  </si>
  <si>
    <t>GRAF2, PSGAP, FLJ20896, FLJ41791</t>
  </si>
  <si>
    <t>ENSG00000071205</t>
  </si>
  <si>
    <t>MM03</t>
  </si>
  <si>
    <t>harvard clone HsCD00346750</t>
  </si>
  <si>
    <t>ARHGAP11A</t>
  </si>
  <si>
    <t>KIAA0013</t>
  </si>
  <si>
    <t>ENSG00000198826</t>
  </si>
  <si>
    <t>V5719</t>
  </si>
  <si>
    <t>ARHGAP11B</t>
  </si>
  <si>
    <t>FAM7B1</t>
  </si>
  <si>
    <t>ENSG00000187951</t>
  </si>
  <si>
    <t>V5101</t>
  </si>
  <si>
    <t>ARHGAP12</t>
  </si>
  <si>
    <t>FLJ20737, FLJ10971, FLJ21785</t>
  </si>
  <si>
    <t>ENSG00000165322</t>
  </si>
  <si>
    <t>V4547</t>
  </si>
  <si>
    <t>ARHGAP15</t>
  </si>
  <si>
    <t>BM046</t>
  </si>
  <si>
    <t>ENSG00000075884</t>
  </si>
  <si>
    <t>V3660</t>
  </si>
  <si>
    <t>ARHGAP17</t>
  </si>
  <si>
    <t>RICH1, NADRIN, FLJ10308, FLJ13219, WBP15</t>
  </si>
  <si>
    <t>ENSG00000140750</t>
  </si>
  <si>
    <t>LB16</t>
  </si>
  <si>
    <t>ARHGAP18</t>
  </si>
  <si>
    <t>MACGAP, SENEX, bA307O14.2</t>
  </si>
  <si>
    <t>ENSG00000146376</t>
  </si>
  <si>
    <t>V3741</t>
  </si>
  <si>
    <t>ARHGAP19</t>
  </si>
  <si>
    <t>FLJ00194, MGC14258</t>
  </si>
  <si>
    <t>ENSG00000213390</t>
  </si>
  <si>
    <t>V6128</t>
  </si>
  <si>
    <t>ARHGAP20</t>
  </si>
  <si>
    <t>RA-RhoGAP, KIAA1391</t>
  </si>
  <si>
    <t>ENSG00000137727</t>
  </si>
  <si>
    <t>V3656</t>
  </si>
  <si>
    <t>ARHGAP21</t>
  </si>
  <si>
    <t>RhoGAP10</t>
  </si>
  <si>
    <t>ENSG00000107863</t>
  </si>
  <si>
    <t>MB100</t>
  </si>
  <si>
    <t>ARHGAP22</t>
  </si>
  <si>
    <t>RHOGAP2, p68RacGAP</t>
  </si>
  <si>
    <t>ENSG00000128805</t>
  </si>
  <si>
    <t>V3683</t>
  </si>
  <si>
    <t>ARHGAP23</t>
  </si>
  <si>
    <t>KIAA1501</t>
  </si>
  <si>
    <t>ENSG00000275832</t>
  </si>
  <si>
    <t>MB134</t>
  </si>
  <si>
    <t>ARHGAP24</t>
  </si>
  <si>
    <t>FilGAP, RCGAP72, p73RhoGAP, DKFZP564B1162, FLJ33877</t>
  </si>
  <si>
    <t>ENSG00000138639</t>
  </si>
  <si>
    <t>V6926</t>
  </si>
  <si>
    <t>ARHGAP25</t>
  </si>
  <si>
    <t>KIAA0053</t>
  </si>
  <si>
    <t>ENSG00000163219</t>
  </si>
  <si>
    <t>V3679</t>
  </si>
  <si>
    <t>ARHGAP26</t>
  </si>
  <si>
    <t>GRAF, OPHN1L, OPHN1L1, FLJ42530, KIAA0621</t>
  </si>
  <si>
    <t>ENSG00000145819</t>
  </si>
  <si>
    <t>ML25</t>
  </si>
  <si>
    <t>ARHGAP27</t>
  </si>
  <si>
    <t>CAMGAP1, SH3D20, FLJ43547</t>
  </si>
  <si>
    <t>ENSG00000159314</t>
  </si>
  <si>
    <t>Chimpanzee</t>
  </si>
  <si>
    <t>ARHGAP28</t>
  </si>
  <si>
    <t>KIAA1314, FLJ10312</t>
  </si>
  <si>
    <t>ENSG00000088756</t>
  </si>
  <si>
    <t>V4682</t>
  </si>
  <si>
    <t>ARHGAP29</t>
  </si>
  <si>
    <t>PARG1</t>
  </si>
  <si>
    <t>ENSG00000137962</t>
  </si>
  <si>
    <t>V4093</t>
  </si>
  <si>
    <t>ARHGAP30</t>
  </si>
  <si>
    <t>FLJ00267</t>
  </si>
  <si>
    <t>ENSG00000186517</t>
  </si>
  <si>
    <t>V4695</t>
  </si>
  <si>
    <t>ARHGAP31</t>
  </si>
  <si>
    <t>CDGAP, KIAA1204</t>
  </si>
  <si>
    <t>ENSG00000031081</t>
  </si>
  <si>
    <t>V3855</t>
  </si>
  <si>
    <t>ARHGAP32</t>
  </si>
  <si>
    <t>RICS, GRIT, p250GAP, p200RhoGAP, KIAA0712</t>
  </si>
  <si>
    <t>ENSG00000134909</t>
  </si>
  <si>
    <t>V6936</t>
  </si>
  <si>
    <t>ARHGAP33</t>
  </si>
  <si>
    <t>SNX26, TCGAP, NOMA-GAP, FLJ39019</t>
  </si>
  <si>
    <t>ENSG00000004777</t>
  </si>
  <si>
    <t>MG2</t>
  </si>
  <si>
    <t>ARHGAP35</t>
  </si>
  <si>
    <t>GRLF1 , p190-A, p190ARhoGAP, p190RhoGAP, KIAA1722</t>
  </si>
  <si>
    <t>ENSG00000160007</t>
  </si>
  <si>
    <t>V5925</t>
  </si>
  <si>
    <t>ARHGAP36</t>
  </si>
  <si>
    <t>RHGXX, FLJ30058</t>
  </si>
  <si>
    <t>ENSG00000147256</t>
  </si>
  <si>
    <t>V4035</t>
  </si>
  <si>
    <t>ARHGAP39</t>
  </si>
  <si>
    <t>CrGAP, Vilse, KIAA1688, RhoGAP93B</t>
  </si>
  <si>
    <t>ENSG00000147799</t>
  </si>
  <si>
    <t>V5366</t>
  </si>
  <si>
    <t>ARHGAP40</t>
  </si>
  <si>
    <t>c20orf95, RhoGAP18like, dJ1100H13.4</t>
  </si>
  <si>
    <t>ENSG00000124143</t>
  </si>
  <si>
    <t>V4367</t>
  </si>
  <si>
    <t>ARHGAP42</t>
  </si>
  <si>
    <t>GRAF3, ARHGAP10L, FLJ32810, LOC451501</t>
  </si>
  <si>
    <t>ENSG00000165895</t>
  </si>
  <si>
    <t>LS5</t>
  </si>
  <si>
    <t>Daniel Rosel, University of Prague</t>
  </si>
  <si>
    <t>ARHGAP44</t>
  </si>
  <si>
    <t>RICH2, KIAA0672, NADRIN2</t>
  </si>
  <si>
    <t>ENSG00000006740</t>
  </si>
  <si>
    <t>V7251</t>
  </si>
  <si>
    <t>ARHGEF1</t>
  </si>
  <si>
    <t>P115-RHOGEF, Lsc, SUB1.5, LBCL2</t>
  </si>
  <si>
    <t>ENSG00000076928</t>
  </si>
  <si>
    <t>V3851</t>
  </si>
  <si>
    <t>ARHGEF2</t>
  </si>
  <si>
    <t>GEF-H1, LFC, KIAA0651,   LFP40, P40</t>
  </si>
  <si>
    <t>ENSG00000116584</t>
  </si>
  <si>
    <t>V3637</t>
  </si>
  <si>
    <t>ARHGEF3</t>
  </si>
  <si>
    <t>XPLN, STA3, GEF3, DKFZP434F2429</t>
  </si>
  <si>
    <t>ENSG00000163947</t>
  </si>
  <si>
    <t>LB50</t>
  </si>
  <si>
    <t>ARHGEF4</t>
  </si>
  <si>
    <t>ASEF, KIAA1112, STM6</t>
  </si>
  <si>
    <t>ENSG00000136002</t>
  </si>
  <si>
    <t>V3881</t>
  </si>
  <si>
    <t>ARHGEF5</t>
  </si>
  <si>
    <t>TIM, FLJ00261</t>
  </si>
  <si>
    <t>ENSG00000050327</t>
  </si>
  <si>
    <t>V7968</t>
  </si>
  <si>
    <t>ARHGEF6</t>
  </si>
  <si>
    <t>alphaPIX, COOL2, KIAA0006</t>
  </si>
  <si>
    <t>ENSG00000129675</t>
  </si>
  <si>
    <t>V3537</t>
  </si>
  <si>
    <t>ARHGEF7</t>
  </si>
  <si>
    <t>betaPIX, COOL1, KIAA0142, PIXB, DKFZp761K1021, Nbla10314, DKFZp686C12170, P85SPR</t>
  </si>
  <si>
    <t>ENSG00000102606</t>
  </si>
  <si>
    <t>V6925</t>
  </si>
  <si>
    <t>ARHGEF9</t>
  </si>
  <si>
    <t>Collybistin, KIAA0424, PEM-2</t>
  </si>
  <si>
    <t>ENSG00000131089</t>
  </si>
  <si>
    <t>MG29</t>
  </si>
  <si>
    <t>ARHGEF10</t>
  </si>
  <si>
    <t>GEF10, KIAA0294</t>
  </si>
  <si>
    <t>ENSG00000104728</t>
  </si>
  <si>
    <t>V3752</t>
  </si>
  <si>
    <t>ARHGEF10L</t>
  </si>
  <si>
    <t>GRINCHGEF, FLJ10521, KIAA1626</t>
  </si>
  <si>
    <t>ENSG00000074964</t>
  </si>
  <si>
    <t>V7851</t>
  </si>
  <si>
    <t>ARHGEF11</t>
  </si>
  <si>
    <t>PDZ-RHOGEF, PRG, GTRAP48, KIAA0380</t>
  </si>
  <si>
    <t>ENSG00000132694</t>
  </si>
  <si>
    <t>V3859</t>
  </si>
  <si>
    <t>ARHGEF12</t>
  </si>
  <si>
    <t>LARG, KIAA0382</t>
  </si>
  <si>
    <t>ENSG00000196914</t>
  </si>
  <si>
    <t>V7258</t>
  </si>
  <si>
    <t>ARHGEF15</t>
  </si>
  <si>
    <t>KIAA0915, vsm-RhoGEF, EPHEXIN5, FLJ13791, MGC44868</t>
  </si>
  <si>
    <t>ENSG00000198844</t>
  </si>
  <si>
    <t>V3845</t>
  </si>
  <si>
    <t>ARHGEF16</t>
  </si>
  <si>
    <t>NBR</t>
  </si>
  <si>
    <t>ENSG00000130762</t>
  </si>
  <si>
    <t>JB532</t>
  </si>
  <si>
    <t>ARHGEF17</t>
  </si>
  <si>
    <t>p164-RhoGEF, TEM4, KIAA0337</t>
  </si>
  <si>
    <t>ENSG00000110237</t>
  </si>
  <si>
    <t>V6940</t>
  </si>
  <si>
    <t>ARHGEF18</t>
  </si>
  <si>
    <t>P114-RHOGEF, SA-RhoGEF, KIAA0521, MGC15913</t>
  </si>
  <si>
    <t>ENSG00000104880</t>
  </si>
  <si>
    <t>V3622</t>
  </si>
  <si>
    <t>ARHGEF19</t>
  </si>
  <si>
    <t>WGEF, FLJ33962</t>
  </si>
  <si>
    <t>ENSG00000142632</t>
  </si>
  <si>
    <t>V5794</t>
  </si>
  <si>
    <t>ARHGEF25</t>
  </si>
  <si>
    <t>GEFT, SLC26A10, p63RHOGEF</t>
  </si>
  <si>
    <t>ENSG00000240771</t>
  </si>
  <si>
    <t>YFP-ARHGEF25</t>
  </si>
  <si>
    <t>Joachim Goedhart, University of Amsterdam</t>
  </si>
  <si>
    <t>ARHGEF26</t>
  </si>
  <si>
    <t>SGEF, HMFN1864, DKFZp434D146</t>
  </si>
  <si>
    <t>ENSG00000114790</t>
  </si>
  <si>
    <t>V5346</t>
  </si>
  <si>
    <t>ARHGEF28</t>
  </si>
  <si>
    <t>RGNEF, p190RhoGEF, Q96E37, KIAA1998</t>
  </si>
  <si>
    <t>ENSG00000214944</t>
  </si>
  <si>
    <t>LB10</t>
  </si>
  <si>
    <t>ARHGEF39</t>
  </si>
  <si>
    <t>C9orf100, RP11-331F9.7, FLJ14642</t>
  </si>
  <si>
    <t>ENSG00000137135</t>
  </si>
  <si>
    <t>V3748</t>
  </si>
  <si>
    <t>ARHGEF40</t>
  </si>
  <si>
    <t>SOLO, Scambio, LOC55701, FLJ00128, FLJ10357, FLJ00056</t>
  </si>
  <si>
    <t>ENSG00000165801</t>
  </si>
  <si>
    <t>V6518</t>
  </si>
  <si>
    <t>BCR</t>
  </si>
  <si>
    <t>D22S11, BCR1</t>
  </si>
  <si>
    <t>ENSG00000186716</t>
  </si>
  <si>
    <t>V7527</t>
  </si>
  <si>
    <t>CHN1</t>
  </si>
  <si>
    <t>alphaChimerin, nChimerin, ARHGAP2, Chimerin1</t>
  </si>
  <si>
    <t>ENSG00000128656</t>
  </si>
  <si>
    <t>V6407</t>
  </si>
  <si>
    <t>CHN alpha 2</t>
  </si>
  <si>
    <t>CHN2</t>
  </si>
  <si>
    <t>betaChimerin, ARHGAP3, Chimerin2</t>
  </si>
  <si>
    <t>ENSG00000106069</t>
  </si>
  <si>
    <t>JB536</t>
  </si>
  <si>
    <t>DEPDC1</t>
  </si>
  <si>
    <t>DEP.8, DEPDC1A, FLJ20354, SDP35</t>
  </si>
  <si>
    <t>ENSG00000024526</t>
  </si>
  <si>
    <t>V4740</t>
  </si>
  <si>
    <t>DEPDC1B</t>
  </si>
  <si>
    <t>HBV X-transactivated gene 8 protein</t>
  </si>
  <si>
    <t>ENSG00000035499</t>
  </si>
  <si>
    <t>JB575</t>
  </si>
  <si>
    <t>DLC1</t>
  </si>
  <si>
    <t>ARHGAP7, STARD12, KIAA1723, p122-RhoGAP</t>
  </si>
  <si>
    <t>ENSG00000164741</t>
  </si>
  <si>
    <t>V5912</t>
  </si>
  <si>
    <t>DNMBP</t>
  </si>
  <si>
    <t>TUBA, KIAA1010, ARHGEF36</t>
  </si>
  <si>
    <t>ENSG00000107554</t>
  </si>
  <si>
    <t>JB502</t>
  </si>
  <si>
    <t>DOCK1</t>
  </si>
  <si>
    <t>ENSG00000150760</t>
  </si>
  <si>
    <t>mCherry-DOCK180</t>
  </si>
  <si>
    <t>Lorraine Santy, Pennsylvania State University</t>
  </si>
  <si>
    <t>no Citrine construct in library</t>
  </si>
  <si>
    <t>DOCK2</t>
  </si>
  <si>
    <t>KIAA0209</t>
  </si>
  <si>
    <t>ENSG00000134516</t>
  </si>
  <si>
    <t>LB19</t>
  </si>
  <si>
    <t>DOCK3</t>
  </si>
  <si>
    <t>MOCA, KIAA0299</t>
  </si>
  <si>
    <t>ENSG00000088538</t>
  </si>
  <si>
    <t>V5361</t>
  </si>
  <si>
    <t>DOCK4</t>
  </si>
  <si>
    <t>KIAA0716</t>
  </si>
  <si>
    <t>ENSG00000128512</t>
  </si>
  <si>
    <t>V5256</t>
  </si>
  <si>
    <t>DOCK5</t>
  </si>
  <si>
    <t>FLJ21034</t>
  </si>
  <si>
    <t>ENSG00000147459</t>
  </si>
  <si>
    <t>V5567</t>
  </si>
  <si>
    <t>DOCK6</t>
  </si>
  <si>
    <t>ZIR1, KIAA1395</t>
  </si>
  <si>
    <t>ENSG00000130158</t>
  </si>
  <si>
    <t>V4953</t>
  </si>
  <si>
    <t>DOCK7</t>
  </si>
  <si>
    <t>ZIR2, Zizimin related 2, KIAA1771</t>
  </si>
  <si>
    <t>ENSG00000116641</t>
  </si>
  <si>
    <t>DOCK8</t>
  </si>
  <si>
    <t>MRD2, ZIR8, HEL-205</t>
  </si>
  <si>
    <t>ENSG00000107099</t>
  </si>
  <si>
    <t>V4983</t>
  </si>
  <si>
    <t>DOCK9</t>
  </si>
  <si>
    <t>Zizimin1, ZIZ1, KIAA1058</t>
  </si>
  <si>
    <t>ENSG00000088387</t>
  </si>
  <si>
    <t>V7250</t>
  </si>
  <si>
    <t>DOCK10</t>
  </si>
  <si>
    <t>Zizimin3, ZIZ3, KIAA0694</t>
  </si>
  <si>
    <t>ENSG00000135905</t>
  </si>
  <si>
    <t>LS3</t>
  </si>
  <si>
    <t xml:space="preserve">Susanne Schmidt, CRBM, Montpellier
CRBM -- CNRS UMR 5237
1919 Route de Mende
34293 Montpellier 
</t>
  </si>
  <si>
    <t>DOCK11</t>
  </si>
  <si>
    <t>Zizimin2, ZIZ2, ACG</t>
  </si>
  <si>
    <t>ENSG00000147251</t>
  </si>
  <si>
    <t>LS4</t>
  </si>
  <si>
    <t>Mitsuo Maruyama, National Center for Geriatrics and Gerontology, Obu</t>
  </si>
  <si>
    <t>ECT2</t>
  </si>
  <si>
    <t>ARHGEF31</t>
  </si>
  <si>
    <t>ENSG00000114346</t>
  </si>
  <si>
    <t>V3782</t>
  </si>
  <si>
    <t>ECT2L</t>
  </si>
  <si>
    <t xml:space="preserve">ARHGEF32, LFDH, c6orf91, ECT2-like, Lung specific F-box and DH domain containing protein </t>
  </si>
  <si>
    <t>ENSG00000203734</t>
  </si>
  <si>
    <t>V4368</t>
  </si>
  <si>
    <t>FAM13A</t>
  </si>
  <si>
    <t>KIAA0914, ARHGAP48</t>
  </si>
  <si>
    <t>ENSG00000138640</t>
  </si>
  <si>
    <t>FAM13B</t>
  </si>
  <si>
    <t>c5orf5, N61, KHCHP, ARHGAP49</t>
  </si>
  <si>
    <t>ENSG00000031003</t>
  </si>
  <si>
    <t>ML12</t>
  </si>
  <si>
    <t>FARP1</t>
  </si>
  <si>
    <t>CDEP, PLEKHC2, MGC87400, PPP1R75</t>
  </si>
  <si>
    <t>ENSG00000152767</t>
  </si>
  <si>
    <t>JB132</t>
  </si>
  <si>
    <t>FARP2</t>
  </si>
  <si>
    <t>KIAA0793, FIR, PLEKHC3, FRG</t>
  </si>
  <si>
    <t>ENSG00000006607</t>
  </si>
  <si>
    <t>V3665</t>
  </si>
  <si>
    <t>FGD1</t>
  </si>
  <si>
    <t>ZFYVE3</t>
  </si>
  <si>
    <t>ENSG00000102302</t>
  </si>
  <si>
    <t>V3864</t>
  </si>
  <si>
    <t>FGD2</t>
  </si>
  <si>
    <t>ZFYVE4</t>
  </si>
  <si>
    <t>ENSG00000146192</t>
  </si>
  <si>
    <t>V3672</t>
  </si>
  <si>
    <t>FGD3</t>
  </si>
  <si>
    <t>ZFYVE5, FLJ00004</t>
  </si>
  <si>
    <t>ENSG00000127084</t>
  </si>
  <si>
    <t>V3668</t>
  </si>
  <si>
    <t>FGD4</t>
  </si>
  <si>
    <t xml:space="preserve"> FRABP, Frabin, ZFYVE6, CMT4H</t>
  </si>
  <si>
    <t>ENSG00000139132</t>
  </si>
  <si>
    <t>V5659</t>
  </si>
  <si>
    <t>FGD5</t>
  </si>
  <si>
    <t>ZFYVE23, FLJ39957, FLJ00274</t>
  </si>
  <si>
    <t>ENSG00000154783</t>
  </si>
  <si>
    <t>V4361</t>
  </si>
  <si>
    <t>FGD6</t>
  </si>
  <si>
    <t>KIAA1362, ZFYVE24</t>
  </si>
  <si>
    <t>ENSG00000180263</t>
  </si>
  <si>
    <t>V6735</t>
  </si>
  <si>
    <t>GMIP</t>
  </si>
  <si>
    <t>ARHGAP46</t>
  </si>
  <si>
    <t>ENSG00000089639</t>
  </si>
  <si>
    <t>YFP-GMIP</t>
  </si>
  <si>
    <t>HMHA1</t>
  </si>
  <si>
    <t>ENSG00000180448</t>
  </si>
  <si>
    <t>V3618</t>
  </si>
  <si>
    <t>INPP5B</t>
  </si>
  <si>
    <t>inositol polyphosphate-5-phosphatase</t>
  </si>
  <si>
    <t>ENSG00000204084</t>
  </si>
  <si>
    <t>V3603</t>
  </si>
  <si>
    <t>ITSN1</t>
  </si>
  <si>
    <t>Ese1, SH3P17, SH3D1A, MGC134948, MGC134949</t>
  </si>
  <si>
    <t>ENSG00000205726</t>
  </si>
  <si>
    <t>JB541</t>
  </si>
  <si>
    <t>ITSN2</t>
  </si>
  <si>
    <t>SH3D1B, SH3P18, SWAP, KIAA1256</t>
  </si>
  <si>
    <t>ENSG00000198399</t>
  </si>
  <si>
    <t xml:space="preserve">ML38 </t>
  </si>
  <si>
    <t>KALRN</t>
  </si>
  <si>
    <t>ARHGEF24, CHD5, CHDS5, DUET, DUO, HAPIP, TRAD, Hs.8004</t>
  </si>
  <si>
    <t>ENSG00000160145</t>
  </si>
  <si>
    <t>Rat</t>
  </si>
  <si>
    <t>v6423</t>
  </si>
  <si>
    <t>MCF2</t>
  </si>
  <si>
    <t>DBL, ARHGEF21</t>
  </si>
  <si>
    <t>ENSG00000101977</t>
  </si>
  <si>
    <t>v5387</t>
  </si>
  <si>
    <t>MCF2L</t>
  </si>
  <si>
    <t>DBS, ARHGEF14, OST, KIAA0362</t>
  </si>
  <si>
    <t>ENSG00000126217</t>
  </si>
  <si>
    <t>V6935</t>
  </si>
  <si>
    <t>MCF2L2</t>
  </si>
  <si>
    <t>DRG, KIAA0861, ARHGEF22</t>
  </si>
  <si>
    <t>ENSG00000053524</t>
  </si>
  <si>
    <t>V5034</t>
  </si>
  <si>
    <t>MYO9A</t>
  </si>
  <si>
    <t>MYR7, myosin9a</t>
  </si>
  <si>
    <t>ENSG00000066933</t>
  </si>
  <si>
    <t>V5512</t>
  </si>
  <si>
    <t>MYO9B</t>
  </si>
  <si>
    <t>MYR5, CELIAC4</t>
  </si>
  <si>
    <t>ENSG00000099331</t>
  </si>
  <si>
    <t>V5789</t>
  </si>
  <si>
    <t>NET1</t>
  </si>
  <si>
    <t>ARHGEF8</t>
  </si>
  <si>
    <t>ENSG00000173848</t>
  </si>
  <si>
    <t>V5756</t>
  </si>
  <si>
    <t>NGEF</t>
  </si>
  <si>
    <t>Ephexin, ARHGEF27</t>
  </si>
  <si>
    <t>ENSG00000066248</t>
  </si>
  <si>
    <t>V7860</t>
  </si>
  <si>
    <t>OCRL</t>
  </si>
  <si>
    <t>INPP5F, Lowe syndrome protein</t>
  </si>
  <si>
    <t>ENSG00000122126</t>
  </si>
  <si>
    <t>V3607</t>
  </si>
  <si>
    <t>OPHN1</t>
  </si>
  <si>
    <t>ARHGAP41, MRX60</t>
  </si>
  <si>
    <t>ENSG00000079482</t>
  </si>
  <si>
    <t>V5636</t>
  </si>
  <si>
    <t>PIK3R1</t>
  </si>
  <si>
    <t>PI3Kinase p85 alpha subunit</t>
  </si>
  <si>
    <t>ENSG00000145675</t>
  </si>
  <si>
    <t>V3725</t>
  </si>
  <si>
    <t>PIK3R2</t>
  </si>
  <si>
    <t>PI3Kinase p85 beta subunit, ALDH1A3</t>
  </si>
  <si>
    <t>ENSG00000105647</t>
  </si>
  <si>
    <t>LK77</t>
  </si>
  <si>
    <t>PLEKHG1</t>
  </si>
  <si>
    <t>KIAA1209, ARHGEF41</t>
  </si>
  <si>
    <t>ENSG00000120278</t>
  </si>
  <si>
    <t>JB308</t>
  </si>
  <si>
    <t>PLEKHG2</t>
  </si>
  <si>
    <t>CLG, FLJ00018, ARHGEF42</t>
  </si>
  <si>
    <t>ENSG00000090924</t>
  </si>
  <si>
    <t>V4735</t>
  </si>
  <si>
    <t>PLEKHG3</t>
  </si>
  <si>
    <t>ARHGEF43</t>
  </si>
  <si>
    <t>ENSG00000126822</t>
  </si>
  <si>
    <t>JB144</t>
  </si>
  <si>
    <t>PLEKHG4</t>
  </si>
  <si>
    <t>DKFZP434I216, SCA4, ARHGEF44, Puratrophin</t>
  </si>
  <si>
    <t>ENSG00000196155</t>
  </si>
  <si>
    <t>V3711</t>
  </si>
  <si>
    <t>PLEKHG4B</t>
  </si>
  <si>
    <t>KIAA1909</t>
  </si>
  <si>
    <t>ENSG00000153404</t>
  </si>
  <si>
    <t>JB124</t>
  </si>
  <si>
    <t>PLEKHG5</t>
  </si>
  <si>
    <t>KIAA0720, Syx, Tech</t>
  </si>
  <si>
    <t>ENSG00000171680</t>
  </si>
  <si>
    <t>JB152</t>
  </si>
  <si>
    <t>PLEKHG6</t>
  </si>
  <si>
    <t>FLJ10665, MYOGEF</t>
  </si>
  <si>
    <t>ENSG00000008323</t>
  </si>
  <si>
    <t>V3689</t>
  </si>
  <si>
    <t>PLEKHG7</t>
  </si>
  <si>
    <t>FLJ46688</t>
  </si>
  <si>
    <t>ENSG00000187510</t>
  </si>
  <si>
    <t>JB146</t>
  </si>
  <si>
    <t>PREX1</t>
  </si>
  <si>
    <t>KIAA1415</t>
  </si>
  <si>
    <t>ENSG00000124126</t>
  </si>
  <si>
    <t>V5257</t>
  </si>
  <si>
    <t>PREX2</t>
  </si>
  <si>
    <t>DEPDC2, DEP.2, FLJ12987, 6230420N16Rik</t>
  </si>
  <si>
    <t>ENSG00000046889</t>
  </si>
  <si>
    <t>JB497</t>
  </si>
  <si>
    <t>RACGAP1</t>
  </si>
  <si>
    <t>mgcRacGAP</t>
  </si>
  <si>
    <t>ENSG00000161800</t>
  </si>
  <si>
    <t>V4075</t>
  </si>
  <si>
    <t>RALBP1</t>
  </si>
  <si>
    <t>RLIP1, RLIP76</t>
  </si>
  <si>
    <t>ENSG00000017797</t>
  </si>
  <si>
    <t>V3640</t>
  </si>
  <si>
    <t>RASGRF1</t>
  </si>
  <si>
    <t>CDC25L, CDC25, GRF55, H-GRF55, GNRP, PP13187</t>
  </si>
  <si>
    <t>ENSG00000058335</t>
  </si>
  <si>
    <t>v3587</t>
  </si>
  <si>
    <t>RASGRF2</t>
  </si>
  <si>
    <t>GRF2, Ras-GRF2</t>
  </si>
  <si>
    <t>ENSG00000113319</t>
  </si>
  <si>
    <t>LB52</t>
  </si>
  <si>
    <t>SH3BP1</t>
  </si>
  <si>
    <t>ARHGAP43, 3BP-1</t>
  </si>
  <si>
    <t>ENSG00000100092</t>
  </si>
  <si>
    <t>V4623</t>
  </si>
  <si>
    <t>SOS1</t>
  </si>
  <si>
    <t>HGF, GF1</t>
  </si>
  <si>
    <t>ENSG00000115904</t>
  </si>
  <si>
    <t>V7260</t>
  </si>
  <si>
    <t>SOS2</t>
  </si>
  <si>
    <t>ENSG00000100485</t>
  </si>
  <si>
    <t>V4565</t>
  </si>
  <si>
    <t>SPATA13</t>
  </si>
  <si>
    <t>ARHGEF29, Asef2, FLJ31208</t>
  </si>
  <si>
    <t>ENSG00000182957</t>
  </si>
  <si>
    <t>V3764</t>
  </si>
  <si>
    <t>SRGAP1</t>
  </si>
  <si>
    <t>KIAA1304, ARHGAP13, SLIT-ROBO GAP1</t>
  </si>
  <si>
    <t>ENSG00000196935</t>
  </si>
  <si>
    <t>V6406</t>
  </si>
  <si>
    <t>SRGAP2</t>
  </si>
  <si>
    <t>FNBP2, SRGAP3,ARHGAP34, KIAA0456</t>
  </si>
  <si>
    <t>ENSG00000266028</t>
  </si>
  <si>
    <t>V7104</t>
  </si>
  <si>
    <t>SRGAP3</t>
  </si>
  <si>
    <t>SRGP2, ARHGAP14, KIAA0411, MEGAP, SRGAP2</t>
  </si>
  <si>
    <t>ENSG00000196220</t>
  </si>
  <si>
    <t>V6736</t>
  </si>
  <si>
    <t>STARD8</t>
  </si>
  <si>
    <t>ARHGAP38, DLC3, KIAA0189, STARTGAP3</t>
  </si>
  <si>
    <t>ENSG00000130052</t>
  </si>
  <si>
    <t>v6455</t>
  </si>
  <si>
    <t>STARD13</t>
  </si>
  <si>
    <t>ARHGAP37, DLC2, GT650, LINC00464</t>
  </si>
  <si>
    <t>ENSG00000133121</t>
  </si>
  <si>
    <t>V3633</t>
  </si>
  <si>
    <t>SYDE1</t>
  </si>
  <si>
    <t>7h3, FLJ13511, SYD1</t>
  </si>
  <si>
    <t>ENSG00000105137</t>
  </si>
  <si>
    <t>V4947</t>
  </si>
  <si>
    <t>SYDE2</t>
  </si>
  <si>
    <t>FLJ13815</t>
  </si>
  <si>
    <t>ENSG00000097096</t>
  </si>
  <si>
    <t>V4395</t>
  </si>
  <si>
    <t>TAGAP</t>
  </si>
  <si>
    <t>FKSG15, FLJ32631, IDDM21, ARHGAP47</t>
  </si>
  <si>
    <t>ENSG00000164691</t>
  </si>
  <si>
    <t>V6509</t>
  </si>
  <si>
    <t>TIAM1</t>
  </si>
  <si>
    <t>ENSG00000156299</t>
  </si>
  <si>
    <t>V4588</t>
  </si>
  <si>
    <t>TIAM2</t>
  </si>
  <si>
    <t>KIAA2016, STEF</t>
  </si>
  <si>
    <t>ENSG00000146426</t>
  </si>
  <si>
    <t>V4583</t>
  </si>
  <si>
    <t>TRIO</t>
  </si>
  <si>
    <t>ARHGEF23, PTPRF interacting protein</t>
  </si>
  <si>
    <t>ENSG00000038382</t>
  </si>
  <si>
    <t>V6733</t>
  </si>
  <si>
    <t>VAV1</t>
  </si>
  <si>
    <t>ENSG00000141968</t>
  </si>
  <si>
    <t>V3885</t>
  </si>
  <si>
    <t>VAV2</t>
  </si>
  <si>
    <t>ENSG00000160293</t>
  </si>
  <si>
    <t>V4745</t>
  </si>
  <si>
    <t>VAV3</t>
  </si>
  <si>
    <t>ENSG00000134215</t>
  </si>
  <si>
    <t>V7532</t>
  </si>
  <si>
    <t>DOCK180, LOC100909609</t>
  </si>
  <si>
    <t>ARHGAP45</t>
  </si>
  <si>
    <t>RhoGAP-homology domain</t>
  </si>
  <si>
    <t>AB116935</t>
  </si>
  <si>
    <t>EAX09175</t>
  </si>
  <si>
    <t>AAH40275</t>
  </si>
  <si>
    <t>AAH53060.1</t>
  </si>
  <si>
    <t>Sequence</t>
  </si>
  <si>
    <t>ggcgcgccatggcagccgggggccgccgccggcgcccactgcgctaccagtccctggcagccctggtggaagactctcagtggcctttcttgttccttgtctcagacttcagctacggtgcggaggactacgacgcagaggggcatgaggagcagaaggggccccccgagggctcggagaccatgccgtacatcgacgagtcacccaccatgtcgccccagctcagcgcccgcagccaaggtggtggggacagcgtctcgcccaccccacctgagggattggcacctggggtggaggcagggaagggtctggagatgaggaagctagtcctctctgggtttctggccagtgaagagatctacattaaccagctggaagctctgttactgcccatgaaacccctgaaggccacagccaccacctcccagcctgtgctcaccatccaacagattgagaccatcttctacaagatccaggacatctacgagatccacaaggagttctacgacaacctctgccccaaggtgcagcagtgggacagccaggtcaccatgggccatcttttccagaaactggccagccagcttggcgtgtacaaagcatttgtggataactataaagtcgctctggagacagccgagaagtgcagccagtccaacaaccagttccagaagatctctgaggaactcaaagtgaaagggcccaaggactctaaggacagccatacatcagtcaccatggaagctctgctgtacaagccaattgaccgagtcacccggagcaccctggtccttcacgatctgttgaagcacacacccgtggaccacccggactacccgctgcttcaggatgctctccgcatctcccagaatttcctgtctagcattaacgaggacattgatcctcgccggactgcagtcacaacccccaagggagagactcggcagctggtgaaggacggcttcctggtggaaatgtctgagagctcccggaagctgcggcatgtctttctcttcacagatgttctgctgtgtgccaagctaaagaagacctcagcaggaaagcatcagcagtatgactgtaagtggtacatccctctggctgacttagtgttcccatcccctgaggagtcagaggccagtccccaggtgcaccccttcccagaccacgagctcgaggacatgaaaacgaagatctctgccctcaagagtgagatccagaaggagaaagccaacaaaggacagagccgagccattgagcgcctcaaaaagaagatgtttgagaatgagttcttactgctgctcaattccccaacgatccctttccggatacacaatcggaatggaaagagttacctgtttcttctgtcttctgactatgagaggtcggagtggagagaagcgattcagaagctacagaagaaggatctccaggcctttgtcctgagctctgtggagctccaggtgctcacgggatcctgtttcaagcttaggactgtgcacaacattcctgtcaccagcaataaagatgatgatgagtctccaggactgtacggcttccttcatgtcatcgtccactctgccaagggctttaaacagtcagccaatctttactgtactctggaggtggattcctttggctattttgtcagcaaagccaagaccagggtgtttcgggacacgacagagcccaagtgggatgaggagtttgagattgagctggagggttcacagtccctgaggatcctgtgttatgagaagtgctacgacaagaccaaggtcaacaaagacaacaatgagattgtggacaagatcatgggcaaggggcagatccagctggatccacagacagtagaaagcaagaactggcatacggacgtgattgaaatgaatgggatcaaagtggaattctccatgaaatttaccagccgtgacatgagcctgaagaggaccccatccaaaaagcagacaggcgtctttggagtgaagatcagcgtggtgaccaagcgggagcgctccaaggtgccctacatcgtccggcaatgcatagaagaggtggagaagaggggcattgaggaggttggcatctacaggatatcaggggtggccacggacatccaggccctgaaggctgtctttgatgccaataacaaggacatcctactgatgctgagcgacatggacatcaacgccatcgctgggaccctcaagctatactttcgggagctgcctgagcccctccttacagatagactttatccagccttcatggagggcattgccctgtcagaccctgctgccaaggagaactgcatgatgcacctactccgctccctgcctgaccccaacctcatcaccttccttttcctgctggaacacttgaaaagggttgctgagaaggagcccatcaacaagatgtcacttcacaaccttgccacggtgtttggccccacgttactgagaccatcagaagtggagagcaaagcacatctcacatcagctgcagacatctggtcccatgatgtcatggcccaggtccaggtcctcctctactacctgcagcatccccccatttccttcgcagaactgaagcggaacacactgtacttctccacagacgtgtagttaattaa</t>
  </si>
  <si>
    <t>ggcgcgccatgaaacttaatccacagcaagctcccttatatggtgattgtgttgttacagtgctgcttgctgaagaggacaaagctgaagatgatgtagtgttttacttggtatttttgggttccaccctccgtcactgtacaagtactcggaaggtcagttctgatacattggagaccattgctcctggtcatgattgttgtgaaacagtgaaggtgcagctctgtgcttccaaagagggccttcccgtgtttgtggtggctgaagaagactttcatttcgtccaggatgaagcgtatgatgcagctcaattcctagcaaccagtgctggaaatcagcaggctttgaactttacccgttttcttgaccagtcaggacccccatctggggatgtgaattcccttgataagaagttggtgctggcattcaggcacctgaagctgcccacggagtggaatgtattggggacagatcagagtttgcatgatgctggcccgcgagagacattgatgcattttgctgtgcggctgggactgctgaggttgacgtggttcctgttgcagaagccaggtggccgcggagctctcagtatccacaaccaggaaggggcgacgcctgtgagcttggccttggagcgaggctatcacaagctgcaccagcttctaaccgaggagaatgctggagaaccagactcctggagcagtttatcctatgaaataccgtatggagactgttctgtgaggcatcatcgagagttggacatctatacattaacctctgagtctgattcacatcatgaacacccatttcctggagacggttgcactggaccaatttttaaacttatgaacatccaacagcaactaatgaaaacaaacctcaagcagatggacagtcttatgcccttaatgatgacagcacaggatccttccagtgccccagagacagatggccagtttcttccctgtgcaccggagcccacggaccctcagcgactttcttcttctgaagagactgagagcactcagtgctgcccagggagccctgttgcacagactgaaagtccctgtgatttgtcaagcatagttgaggaggagaatacagaccgttcctgtaggaagaaaaataaaggcgtggaaagaaaaggggaagaggtggagccagcacctattgtggactctggaactgtatctgatcaagacagctgccttcagagcttgcctgattgtggagtaaagggcacggaaggcctttcgtcctgtggaaacagaaatgaagaaactggaacaaaatcttctggaatgcccacagaccaggagtccctgagcagtggagatgctgtgcttcagagagacttggtcatggagccaggcacagcccagtattcctctggaggtgaactgggaggcatttcaacaacaaatgtcagtaccccagacactgcaggggaaatggaacatgggctcatgaacccagatgccactgtttggaagaatgtgcttcagggaggggaaagtacaaaggaaagatttgagaactctaatattggcacagctggagcctctgacgtgcacgtcacaagtaagcctgtggataaaatcagtgttccaaactgtgcccctgctgccagttccctggatggtaacaaacctgctgagtcttcacttgcatttagtaatgaagaaacctccactgaaaaaacagcagaaacggaaacttcacgaagtcgtgaggagagtgctgatgctccagtagatcagaattctgtggtgattccagctgctgcaaaagacaagatttcagatggattagaaccttatactctcttagcagcaggcataggtgaggcaatgtcaccctcagatttagcccttcttgggctggaagaagatgtaatgccacaccagaactcagaaacaaattcatctcatgctcaaagccaaaagggcaaatcctcacccatttgttctacaactggagacgataaactttgtgcagactctgcatgtcaacagaacacagtgacttctagtggcgatttggttgcaaaactgtgtgataacatagttagcgagtccgaaagcaccacagcaaggcaacccagctcacaagatccacccgatgcctcccactgtgaagacccacaggctcatacagtcacctctgaccctgtaagggatacccaggaacgtgcggatttttgtcctttcaaagtggtggataacaaaggccaacgaaaagatgtgaaactagataaacctttaacaaatatgcttgaggtggtttcacatccacatccagttgtccctaaaatggagaaagaactggtgccagaccaggcagtaatatcagacagtactttctctctggcaaacagtccaggcagtgaatcagtaaccaaggatgacgcactttcttttgtcccctcccagaaagaaaagggaacagcaactcctgaactacatacagctacagattatagagatggcccagatggaaattcgaatgagcctgatacgcggccactagaagacagggcagtaggcctgtccacatcctccactgctgcagagcttcagcacgggatggggaataccagtctcacaggacttggtggagagcatgagggtcccgcccctccagcaatcccagaagctctgaatatcaaggggaacactgactcttccctgcaaagtgtgggtaaggccactttggctttagattcagttttgactgaagaaggaaaacttctggtggtttcagaaagctctgcagctcaggaacaagataaggataaagcggtgacctgttcctctattaaggaaaatgctctctcttcaggaactttgcaggaagagcagagaacaccacctcctggacaagatactcaacaatttcatgaaaaatcaatctcagctgactgtgccaaggacaaagcacttcagctaagtaattcaccgggtgcatcctctgcctttcttaaggcagaaactgaacataacaaggaagtggccccacaagtctcactgctgactcaaggtggggctgcccagagcctggtgccaccaggagcaagtctggccacagagtcaaggcaggaagccttgggggcagagcacaacagctccgctctgttgccatgtctgttgccagatgggtctgatgggtccgatgctcttaactgcagtcagccttctcctctggatgttggagtgaagaacactcaatcccagggaaaaactagtgcctgtgaggtgagtggagatgtgacggtggatgttacaggggttaatgctctacaaggtatggctgagcccagaagagagaatatatcacacaacacccaagacatcctgattccaaacgtcttgttgagccaagagaagaatgccgttctaggtttgccagtggctctacaggacaaagctgtgactgacccacagggagttggaaccccagagatgatacctcttgattgggagaaagggaagctggagggagcagaccacagctgtaccatgggtgacgctgaggaagcccaaatagacgatgaagcacatcctgtcctactgcagcctgttgccaaggagctccccacagacatggagctctcagcccatgatgatggggccccagctggtgtgagggaagtcatgcgagccccgccttcaggcagggaaaggagcactccctctctaccttgcatggtctctgcccaggacgcacctctgcctaagggggcagacttgatagaggaggctgccagccgtatagtggatgctgtcatcgaacaagtcaaggccgctggagcactgcttactgagggggaggcctgtcacatgtcactgtccagccctgagttgggtcctctcactaaaggactagagagtgcttttacagaaaaagtgagtactttcccacctggggagagcctaccaatgggcagtactcctgaggaagccacggggagccttgcaggatgttttgctggaagggaggagccagagaagatcattttacctgtccaggggcctgagccagcagcagaaatgccagacgtgaaagctgaagatgaagtggattttagagcaagttcaatttctgaagaagtggctgtagggagcatagctgctacactgaagatgaagcaaggcccaatgacccaggcgataaaccgagaaaactggtgtacaatagagccatgccctgatgcagcatctcttctggcttccaagcagagcccagaatgtgagaacttcctggatgttggactgggcagagagtgtacctcaaaacaaggtgtacttaaaagagaatctgggagtgattctgacctctttcactcacccagtgatgacatggacagcatcatcttcccaaagccagaggaagagcatttggcctgtgatatcaccggatccagttcatccaccgatgacacggcttcactggaccgacattcttctcatggcagtgatgtgtctctctcccagattttaaagccaaacaggtcaagagatcggcaaagccttgatggattctacagccatgggatgggagctgagggtcgagaaagtgagagtgagcctgctgacccaggcgacgtggaggaggaggagatggacagtatcactgaagtgcctgcaaactgctctgtcctaaggagctccatgcgctctctttctcccttccggaggcacagctgggggcctgggaaaaatgcagccagcgatgcagaaatgaaccaccggagttcaatgcgagttcttggggatgttgtcaggagacctcccattcataggagaagtttcagtctagaaggcttgacaggaggagctggtgtcggaaacaagccatcctcatctctagaagtaagctctgcaaatgccgaagagctcagacacccattcagtggtgaggaacgggttgactctttggtgtcactttcagaagaggatctggagtcagaccagagagaacataggatgtttgatcagcagatatgtcacagatctaagcagcagggatttaattactgtacatcagccatttcctctccattgacaaaatccatctcattaatgacaatcagccatcctggattggacaattcacggcccttccacagtaccttccacaataccagtgctaatctgactgagagtataacagaagagaactataatttcctgccacatagcccctccaagaaagattctgaatggaagagtggaacaaaagtcagtcgtacattcagctacatcaagaataaaatgtctagcagcaagaagagcaaagaaaaggaaaaagaaaaagataagattaaggagaaggagaaagattctaaagacaaggagaaagataagaagactgtcaacgggcacactttcagttccattcctgttgtgggtcccatcagctgtagccagtgtatgaagcccttcaccaacaaagatgcctatacttgtgcaaattgcagtgcttttgtccacaaaggctgccgagaaagtctagcctcctgtgcaaaggtcaaaatgaagcagcccaaagggagccttcaggcacatgacacatcatcactgcccacggtcattatgagaaacaagccctcacagcccaaggagcgtcctcggtccgcagtcctcctggtggatgaaaccgctaccaccccaatatttgccaatagacgatcccagcagagtgtctcgctctccaaaagtgtctccatacagaacattactggagttggcaatgatgagaacatgtcaaacacctggaaattcctgtctcattcaacagactcactaaataaaatcagcaaggtcaatgagtcaacagaatcacttactgatgagggagtaggtacagacatgaatgaaggacaactactgggagactttgagattgagtccaaacagctggaagcagagtcttggagtcggataatagacagcaagtttctaaaacagcaaaagaaagatgtggtcaaacggcaagaagtaatatatgagttgatgcagacagagtttcatcatgtccgcactctcaagatcatgagtggtgtgtacagccaggggatgatggcggatctgctttttgagcagcagatggtagaaaagctgttcccctgtttggatgagctgatcagtatccatagccaattcttccagaggattctggagcggaagaaggagtctctggtggataaaagtgaaaagaactttctcatcaagaggataggggatgtgcttgtaaatcagttttcaggtgagaatgcagaacgtttaaagaagacatatggcaagttttgtgggcaacataaccagtctgtaaactacttcaaagacctttatgccaaggataagcgttttcaagcctttgtaaagaagaagatgagcagttcagttgttagaaggcttggaattccagagtgcatattgcttgtaactcagcggattaccaagtacccagttttattccaaagaatattgcagtgtaccaaagacaatgaagtggagcaggaagatctagcacagtccttgagcctggtgaaggatgtgattggagctgtagacagcaaagtggcaagttatgaaaagaaagtgcgtctcaatgagatttatacaaagacagatagcaagtcaatcatgaggatgaagagtggtcagatgtttgccaaggaagatttgaaacggaagaagcttgtacgtgatgggagtgtgtttctgaagaatgcagcaggaaggttgaaagaggttcaagcagttcttctcactgacattttagttttccttcaagaaaaagaccagaagtacatctttgcatcattggaccagaagtcaacagtgatctctttaaagaagctgattgtgagagaagtggcacatgaggagaaaggtttattcctgatcagcatggggatgacagatccagagatggtagaagtccatgccagctccaaagaggaacgaaacagctggattcagatcattcaggacacaatcaacaccctgaacagagatgaagatgaaggaattcctagtgagaatgaggaagaaaagaaaatgttggacaccagagcccgagaattaaaagaacaacttcaccagaaggaccaaaaaatcctactcttgttggaagagaaggagatgattttccgggacatggctgagtgcagcacccctctcccagaggattgctccccaacacatagccctagagttctcttccgctccaacacagaagaggctctcaaaggaggacctttaatgaaaagtgcaataaatgaggtggagatccttcagggtttggtgagtggaaatctgggaggcacacttgggccgactgtcagcagccccattgagcaagatgtggtcggtcccgtttccctgccccggagagcagagacctttggaggatttgacagccatcagatgaatgcttcaaaaggaggcgagaaggaagagggagatgatggccaagatcttaggagaacggaatcagatagtggcctaaaaaagggtggaaatgctaacctggtatttatgcttaaaagaaacagtgagcaggttgtccagagcgttgttcatctctacgagctcctcagcgctctgcagggtgtggtgctgcagcaggacagctacattgaggaccagaaactggtgctgagcgagagggcgctcactcgcagcttgtcccgcccgagctccctcattgagcaggagaagcagcgcagcctggagaagcagcgccaggacctggccaacctgcagaagcagcaggcccagtacctcgaggagaagcgcaggcgcgagcgtgagtgggaagctcgtgagagggagctgcgggagcgggaggccctcctggcccagcgcgaggaggaggtgcagcaggggcagcaggacctggaaaaggagcgggaggagctccagcagaagaagggcacataccagtatgacctggagcgactgcgtgctgcccagaaacagcttgagagggaacaggagcagctgcgccgggaggcagagcggctcagccagcggcagacagaacgggacctgtgtcaggtttcccatccacataccaagctgatgaggatcccatcgttcttccccagtcctgaggagcccccctcgccatctgcaccttccatagccaaatcagggtcattggactcagaactttcagtgtccccaaaaaggaacagcatctctcggacacacaaagataaggggccttttcacatactgagttcaaccagccagacaaacaaaggaccagaagggcagagccaggcccctgcgtccacctctgcctctacccgcctgtttgggttaacaaagccaaaggaaaagaaggagaaaaaaaagaagaacaaaaccagccgctctcagcccggtgatggtcccgcgtcagaagtatcagcagagggtgaagagatcttctgcttaattaa</t>
  </si>
  <si>
    <t>gtcgacacc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cagacaatggtgtcgcgtacatgtggggagagaattctgctggccagtgtgcagtagccaaccagcagtatgtgccggaaccaaatcctgtcagcattgctgattctgaggccagccctttgttagcagtcaggattttacagttggcgtgtggcgaggagcacactctggcattgtcaataagcagagagatttgggcatggggtaccggttgtcagttgggtctcattaccactgccttcccagtgacaaagccgcaaaaggtagaacatcttgctgggcgagtggtgcttcaagttgcctgtggtgctttccacagcttagcccttgtacaatgcctcccttcccaggatctgaagccagtcccagaacgatgcaaccagtgcagccagctcttgattactatgactgacaaagaagaccatgtgattatatcagacagtcattgttgcccattaggtgtgacactgacagaatctcaggcagaaaaccatgccagcactgctctcagcccctccactgaaacccttgacaggcaggaagaagtatttgagaacactcttgtagcaaatgatcagtctgttgctactgaactgaatgcagtaagtgctcagatcacaagcagcgatgccatgtcctctcaacaaaatgtcatgggaacaactgaaatttcctctgccagaaacataccatcataccctgacacccaagcagtcaatgaatacctacggaaactgtcagatcattcagtaagagaggactcagagcatggtgaaaagccaatgccatctcagcctcttttagaagaagcaattcctaatctccacagcccgcctaccacaagcacctcagccctaaacagcctggtggtctcttgtgcatctgctgttggtgtgagagtggctgctacttatgaagctggtgccttgtcactgaagaaagttatgaacttttatagtacaaccccttgtgaaactggagctcaggcaggcagtagtgccattggccccgaaggtttgaaagatagcagggaagaacaggttaaacaggaatcaatgcaaggaaagaaaagttcaagtcttgtggatatcagagaagaagaaacagagggaggcagtcgaagactctccctccctggattgttgtcacaagtttcccccaggctcttaagaaaggctgcacgggtgaaaacgaggacagtggttctgacccccacatacagtggagaagcagatgcgctcctgccttctctgagaacagaagtgtggacctgggggaaagggaaggaagggcagctggggcacggcgatgttctgcctaggcttcaaccgttgtgtgtaaaatgtctggatggcaaagaagtaatccatctggaggcaggtggttaccattctcttgcacttactgcgaaatcccaggtttactcatggggtagcaatacctttggtcaacttgggcattccgattttccaacaacagttcctcgtcttgcaaagataagcagtgaaaatggagtctggagcatagctgcaggcagggattattccctgtttttagtggatacagaagacttccagcctgggttatattacagtggccgacaggaccctacagaaggtgacaaccttccagagaatcacagtggttctaagactccagtacttctctcctgtagtaagcttggatatataagcagagtgacagcaggaaaagatagctatttagccttggtggataaaaacattatggggtatattgccagtctccacgagttagctactacagaaagacgattctattcaaaactaagtgatatcaaatctcagattctcaggcctcttctcagtttagaaaatttgggcactacaactacagtccagctgttgcaggaggtggctagccgattcagcaagctgtgttacctcattggtcagcatggagcctcattgagcagcttccttcatggggtaaaggaagccaggagtttggtcatcctgaagcattcaagtctcttcttggatagttatacagagtattgcacatctattacaaatttcctggttatgggaggattccagcttcttgctaagcctgccattgatttcctaaataaaaaccaagagctgttgcaagatttgtcagaagtgaatgacgaaaacactcagttgatggaaatactgaatactttgtttttcttgccaatcagacgacttcataattacgcaaaagttttgctaaagcttgctacttgttttgaagtggcatctccagaatatcagaaactgcaggattccagttcttgttatgagtgtcttgctctccatctcggcaggaaaaggaaggaagcagaatacacactgggcttctggaagaccttccccggaaaaatgacggattccttgaggaagccagagcgtcgactgctgtgtgagagtagtaaccgagccctgtctctgcagcatgctgggaggttttccgtgaattggttcattctctttaatgatgccctggtccatgcccagttctccacgcaccatgttttccctctggccacgctgtgggcagagccactgtctgaagaagctggtggtgtgaatggcttaaagataactacacctgaggagcagttcactctcatttcatctacaccccaggaaaagacaaagtggctacgagctataagccaagccgtagatcaggctttgagagggatgtctgatctccccccttatggaagtggtagcagtgttcagagacaggaaccacccatttcacgcagtgccaaatatactttctacaaggatcctcgcctaaaggatgccacctatgatggacgctggctttcagggaagcctcatggcagaggggttttgaagtggcctgatggaaagatgtattctggcatgttcaggaatggcttggaagatgggtatggagaatacagaatcccaaacaaggcaatgaacaaagaagaccattatgtgggccattggaaagaaggaaaaatgtgcggtcaaggagtctacagctatgcttctggtgaagtatttgagggctgttttcaagataatatgcgtcatggtcatggtcttctacgaagtgggaaattgacgtcctcttctcctagtatgttcattggccagtgggtaatggataagaaagcaggatatggtgtctttgatgatatcactaggggggaaaagtatatgggaatgtggcaagatgatgtgtgtcaagggaatggtgtggtggttacccagtttggattatactacgagggcaactttcaccttaataaaatgatgggaaatggggttttgctttccgaagatgatactatctatgaaggagaattttcagatgactggactcttagtggaaagggaacactgactatgccaaatggagactacattgaaggttattttagtggagaatggggatctgggataaaaatcactggaacctacttcaaacctagtctatatgagagtgataaagacagacctaaagttttcaggaagctaggaaacctggcagtgccagctgatgagaagtggaaagcggtgtttgacgaatgttggcgccaactgggctgtgagggcccaggccaaggggaagtttggaaagcatgggacaatattgctgtggccttgaccaccagtcggcgccagcacagagacagtccagaaatactgagtcgttcacagactcagacactagagagtttggaattcattccacagcatgttggtgccttctctgtggagaaatatgatgacatcaggaaatatttaataaaggcctgtgacactcctctgcaccccctgggcaggcttgtggagacactggttgcagtgtatagaatgacatacgtgggcgtaggagccaaccgcaggttattgcaggaggctgtaaaggagattaagtcctatcttaagcgaattttccagctggtgaggttcttatttcctgagctgcctgaagaaggcagcacaattcctctctctgctcctctgccaaccgaaaggaagtctttttgcactgggaagtcagattcccgatctgaatcaccagagccaggttatgtagtaacgagttctggattattgcttcctgtgctgctacctcggctctacccaccgctgtttatgctttatgctttggataatgatcgcgaggaagacatttactgggaatgtgtccttcgactaaataagcagccagatattgctctcctgggctttcttggggtgcagaggaaattttggccagcaaccttgtcaatccttggagagagtaaaaaggttttgccaaccacgaaagatgcttgttttgcctcagcagtagaatgtctgcagcagatcagcacaacatttaccccatcagacaaacttaaggtcatccagcagacttttgaggagatctctcagagtgtcctggcgtcactccacgaagacttcttgtggtccatggatgacttgtttcctgttttcttatatgtggtgctacgggccaggattaggaatttaggctctgaggtacacctcattgaggatctaatggacccctatcttcagcatggggaacagggtataatgttcaccaccttgaaggcatgttactaccagattcagcgtgagaagcttaacggaagctt</t>
  </si>
  <si>
    <t>gtcgacaccatgaccaagaaggaggagcccccaccgagccgagtcccacgggccgtgcgcgtggccagtctgctgagcgagggagaggaactgtctggggacgaccaaggggatgaggaagaggatgaccacgcctatgagggcgtccccaatggcggatggcataccagcagcctgagcttgtccttgcccagcacaatagctgcgccacaccccatggacgggccgcctgggggctccacccccgtcacaccagtcatcaaggctggctggctggacaagaacccaccgcagggatcttacatctatcagaaacgatgggtgagactggatactgatcacctgcgatactttgacagtaacaaggacgcttactctaagcgctttatctctgtggcctgcatctcccacgtggctgccatcggggaccagaagtttgaagtgatcacaaacaaccgaacctttgccttccgggcagagagtgatgtggagcggaaggagtggatgcaggccctgcagcaggccatggctgagcagcgtgcccgggcccggctctctagcgcttatctgctgggagttccaggctcagagcagcctgaccgcgctggcagcctggagcttcgtggcttcaagaataagctgtacgtggccgtggtcggggacaaagtgcagctctacaagaatctagaggagtaccacctgggcattggcatcaccttcatcgacatgagcgtgggcaacgtgaaggaagtggaccggcgcagcttcgacctcaccacgccctaccgcatcttcagcttctctgctgactcagagctagagaaggagcagtggttggaggccatgcagggagccatcgctgaggccctgtctacctcggaggtggccgagcgcatctgggctgcagcccccaacaggttctgtgctgactgcggggctcctcagcctgactgggcctccatcaacctctgtgttgttatctgcaagcgctgtgcaggggagcaccgtggcctgggcgctggcgtctccaaggtgcggagcctgaagatggacaggaaggtgtggacagaaacacttatcgagctcttcttacagctggggaatggcgctgggaaccgcttctgggcagccaacgtgccccccagtgaggccctgcagcccagcagcagccccagcacccggcggtgccacctggaggccaagtaccgtgagggcaagtaccgccgctaccacccgctctttggcaaccaggaggagctggacaaggccctgtgtgctgcagtcaccaccacagacctggctgagacccaggcgctcctgggctgtggggctgggatcaactgcttctcgggggaccctgaggcccccacgcccctggctcttgcagagcaggcggggcagacgctgcagatggaattccttcggaacaaccggaccacagaggtgcctcggctggactcgatgaagcccctggaaaagcactactcagttgtcctgccgaccgtgagccacagtggcttcctctacaagactgcctctgccggcaagctgctacaggaccgccgggcccgggaagagttcagccggcgctggtgtgtccttggtgacggggtcctgagctactttgagaatgagcgggcagtgacccccaatggagagattcgggccagcgagattgtgtgcctggcagtgccccctcctgacacccatggctttgagcacacctttgaggtgtacacggagggagaacggctgtacctgtttgggctggagagtgcggagcaggctcatgagtgggtcaagtgtattgctaaggcattcgtgcctcccctagccgaggatctgctggcccgggattttgagcggctgggacgcctaccctacaaagctggcctgagcctacagcgggcccaggagggctggttctctctcagtggctcggagctccgtgctgtcttcccggaggggccctgcgaagagccgctgcaactacggaaactgcaggagctttccatccagggggacagtgagaaccaggtgctggtgctggtggagcgaaggaggacactgtacatacagggcgagcggcggctggacttcatgggttggctgggggccatccagaaagcagccgccagcatgggggacacgctgtcggagcagcagcttggggactcggatatcccggtgatcgtgtaccgctgtgtggactacatcacgcagtgcggcctgacctccgagggcatctaccgcaagtgtgggcagacatcgaagacacagcggctgctggagagcctgcggcaggatgcgcgctctgtgcacctcaaggagggcgagcagcacgtggatgatgtttcctcggcgctcaagcgcttcctgcgcgacctgcctgatgggctcttcactcgcgcccagcgcctaacctggctggaggcctcagagattgaggacgaggaggagaaggtctccaggtaccgagagctgctggtgcggctgccccctgtcaaccgggccacagtgaaggcccttatcagccacctgtactgtgttcagtgcttctcagacacgaaccagatgaacgtgcacaacctggcaattgtgtttgggcccacgctcttccagacagatgggcaggactacaaggctggccgtgtggtggaagacctcattaaccactatgtggtggtgtttagtgtggatgaggaagagctcaggaagcagcgggaggagatcactgccattgtgaagatgcgcgtggctggcactgccagtgggacccagcatgccggtgacttcatctgcacagtgtatctggaagagaagaaggcagagactgagcagcatatcaaggtcccagcatccatgactgctgaggagctcaccctggagatcctggatcgccggaacgtgggcatcagggagaaggactattggacctgctttgaggtcaacgagagggaggaggcagagcgccccctgcactttgcggagaaggtgctgcccatcctgcacgggctgggcacggacagccacctggtggtgaagaagcaccaggccatggaggccatgctgctgtacctggccagccgtgtcggtgacaccaagcatggcatgatgaagttccgtgaggaccgcagcctcctgggcctgggcctgccctcaggtggcttccacgatcgctacttcatcctcaacagcagctgcttgcggctctacaaggaggtccggagccagaggccgtggagcggggcccctgagaccagtcaccggcctgagaaggagtggcctattaagagtctcaaagtctacctgggagtgaagaagaaactcaggccacccacctgctggggcttcacagtggtgcatgagacagagaaacatgagaagcagcagtggtacctctgctgtgacacacagatggagctccgggagtggttcgctacctttctgtttgtgcagcatgacggcctggtgtggccctcagagccctcacgcgtgtcccgggcagtgcctgaggtccggctgggtagtgtgtcactgatcccccttcgaggtagtgaaaatgaaatgcgccggagtgtggctgccttcaccgcggaccctctgtctcttctgcgcaacgtcggaagctt</t>
  </si>
  <si>
    <t>ggcgcgccatgtcctcagtcagtgaagtaaatgtggatataaaagatttcctaatgagcattaatttggagcagtatctcttacatttccatgagtctggttttactactgtgaaggactgtgcagcaataaatgacagcctgctgcagaaaattggaatatcacctacaggtcaccgtaggaggatacttaaacagttacagataatcttgtcaaaaatgcaagatattccaatatatgcaaatgttcataaaactaagaagaatgatgacccttcaaaggattaccatgttccatcttctgatcagaatatctgcatagaactttccaattctggtagtgttcagacatctagcccaccgcagttggagactgttagaaaaaatcttgaagacagtgatgcaagtgtggaaagaagccagtatcctcaatcagatgataagctgtctcctcctaaacgcgacttccccactgcagaggaaccacacctgaatttgggttctttgaatgattctttatttggtagtgacaatattaaaatagaatcattgattacaaagaagactgtggatcacacagttgaagaacaacaaacagaaaaagttaaattgatcacagaaaatctcagtaagctccctaatgcagactctgaatgcctttcttttgttggctgttcaacatcaggaacaaattctggaaatggaacaaatggtttattagaaggatcaccaccatccccattctttaagtttcaaggagaaatgattgtaaatgacttgtatgttccatcatcaccaatcctagcacctgtgagaagtcgtagcaagttggtttcaagaccatctcgatcttttctgctaagacatcgacctgtaccagagattccagggtcaacaaaaggagtttctgggagctatttccgtgaaagaagaaatgttgctacctcaactgaaaaatctgtggcatggcaaaattcaaatgaggagaattcatcttccatctttccttatggagagacctttctcttccagagactagaaaattccaagaagcgatctataaagaatgaatttttgacccagggagaagcactcaaaggggaagcagctactgcaacaaactcttttatcatcaaatcaagcatatacgataacagaaaggagaaaataagcgaggacaaggtggaagatatttggatacctcgagaggacaaaaacaattttttgatagacactgcttctgaatcagaatactcaacagtagaagaatgctttcagagtttaagaagaaaaaattcaaaggcatctaaatctaggactcaaaaagccttgattttggactccgttaataggcacagttatccgttaagctcaacaagtggaaatgctgattcatcagccgtttcttcacaggcaatatctccctatgcctgcttttatggagcatctgcaaagaaggttaaatcaggatggctggataaactctctcctcaaggaaaacgcatgtttcaaaagagatgggtgaaatttgatggccttagcatttcttactacaataatgagaaggagatgtattcgaaaggaataattcccctttctgctatatcaacagtacgagttcaaggagacaacaaatttgaagttgttacaacacaaagaacttttgtttttagagtagaaaaagaagaggagagaaatgactggatcagcatactattaaatgcactgaaatcacaatcccttacctcgcagtctcaagctgttgttacacctgagaaatgtggatatcttgaattgagaggctataaggcaaaaatttttactgtgttaagtggaaacagtgtgtggctttgcaaaaacgaacaggattttaagagtggacttggtattaccataattcctatgaatgtagcaaatgtaaagcaagtggaccgaactgtgaaacaatcttttgaaataatcactccctacaggagtttcagctttacagccgagactgaaaaggagaaacaagactggattgaagctgtgcagcaatcaatagcagaaactctctctgattatgaagtagctgagaagatttggttcaatgaatccaacaggagctgtgcagattgtaaagccccagatcctgactgggcatccatcaatctctgtgttgtcatctgtaagaagtgtgcaggacagcatagatctttaggaccaaaagattccaaggttagaagtctaaaaatggatgctagcatttggagcaatgaactcatcgagctttttattgtcattggaaacaaaagagcaaatgacttttgggctggtaatcttcaaaaggatgaagaattacatatggactcaccagtagaaaagagaaaaaactttattactcagaaatataaagaaggaaaattcagaaaaactcttttggcatctctcaccaaagaagaattaaataaggctctatgtgctgctgtagtgaaaccggatgttctagaaacaatggctttgctgttcagtggagcagatgtcatgtgtgccaccggagaccccgtgcatagcaccccctatctgctagccaagaaagctgggcaaagtctgcaaatggaatttctctaccataacaaattctcagatttccctcaacatgatattcattccgagggtgtattaagtcaagagtcttcccagtccacattcctctgtgactttttatatcaagctccttctgctgcttctaaactctcttcagagaaaaaactgcttgaagagacaaataaaaaatggtgtgttttggaaggaggcttcttgagttactatgaaaatgataagtctaccacacctaatggcaccattaatatcaatgaagttatctgcctggctatacacaaagaggacttctatttaaatactgggcccatctttatctttgagatctacttaccctccgaacgtgtgtttttatttggagctgaaacatctcaagctcaaagaaaatggacagaggcaatagccaagcattttgttcccttatttgctgaaaacttaacagaagctgactatgatttgattggtcaactcttctacaaagactgccatgccctggatcagtggagaaaaggctggtttgctatggacaaatccagcttgcatttttgccttcaaatgcaagaagttcagggagatagaatgcacttaagaagactgcaagagctaacaatcagcacaatggttcaaaatggggaaaaactggatgttttactcttggtagaaaaagggagaacattatacatccatgggcataccaagttggatttcacagtctggcatactgcaattgaaaaagcagcaggtacagatggtaatgctttacaagatcagcagctcagcaaaaatgacgttcccattatagtgaacagctgtatagcatttgttacacagtatggtttaggatgcaaatatatctatcaaaagaatggtgatcctttgcatataagtgaactcctggagagtttcaaaaaggatgcaagaagctttaaattgagggctggaaaacatcagcttgaagatgtgacggctgtgttgaaaagttttctctctgacattgatgatgcactgcttactaaggagctctacccatattggatctctgctttagatacgcaagatgacaaggaaagaattaaaaaatatggagcatttatacgttctcttccaggggtcaaccgagcaacactagcagctatcattgaacacctgtatagggttcagaaatgctcagaaatcaatcacatgaatgcccataatttggccttggtcttttcatcctgtttgtttcaaacgaagggacaaactagtgaagaagtgaatgtaattgaggacctaattaataattatgtagaaatatttgaggttaaagaagatcaagtcaaacaaatggacatagaaaatagctttattaccaagtggaaagacacccaagtttcccaggctggagatttgttaattgaagtatatgtagaaaggaaggaacccgactgtagtattataattcggatatctcctgtgatggaagcagaagaattaactaatgatatattagcgataaaaaatattattcctacaaaaggtgatatttgggccacatttgaagtcattgaaaatgaagagctagagcgtcctcttcactacaaggaaaatgtactggagcaggtgcttcggtggagttcattagctgaacctggctctgcttacctggtggtgaagagattcttaaccgctgacacaattaaacactgcagtgaccggagtacactgggaagcatcaaagaaggaatcttgaaaatcaaagaagaaccatccaaaatactatctggaaataagtttcaagaccggtattttgttttacgagatgggtttctctttctttacaaggatgtgaagagtagtaaacatgacaagatgttttctctcagttccatgaagttttatcgtggagtgaaaaagaaaatgaagcctccaacaagctggggattgaccgcatattctgagaaacatcactggcacctgtgttgtgatagttcacgaactcagacggagtggatgaccagtatctttattgcccagcatgaatatgatatatggccaccagctggaaaggaacgaaaacgttcaataaccaaaaatcccaaaattggaggtttgcctctgattcctatacagcatgaggggaatgcaaccttggcccggaaaaatattgagagtgcaagagcagaacttgaaaggctgcggctcagtgaaaagtgtgataaagagtccgtggactctagcttaaaggagagagcttccatggtggcccactgcctggagcacaaggacgataaacttcgaaatcgaccccgaaaacatcggagtttcaactgcctggaggacacagagcctgaagccccacttgggcaaccaaaaggccataaaggcctaaagacattgaggaagactgaggacaggaatagcaaagctactttggactctgatcataagttaccatcaagggtaattgaagaacttaatgtggttctacaacggtcaagaacccttccaaaagaattacaggatgagcagattttgaagttaattaa</t>
  </si>
  <si>
    <t>ggcgcgccatggctgcccctcaggacctggacatcgctgtgtggttggccctggtgcatctggagcagtatgcggacactttccgacggcatggcctagctacagctggtgcggcccaacacctgggccacgaggagctgaggcacttgggcatcagtgctacaggacaccggaaacgcatcttgcgcctgttgcgggcaggctctgctgagggtttcctggattctcatctggataataccatggagccaactcccagcccagcccctgatgcccaaccccccaagcctgtgcctaagcccaggacggtgtttgggctcagcaaccctgccactgcccagaggcctggactgagcccaatcttctgggatccagaagtatccaggaactcagagtgtacgcaaagatcctctcctctccttccttcctcctctgaacatccttcagtcccgaataccatggagatgatgcctaatgccatctactttggcctggacttaagaggtcgggcccaggcagctcaggacgtgactccagatagttctcaggcgactgtcccaacccctgccttcaggcccacaacaggcacagtgcacatcatggatcctggttgcctgtactacggtgtccagcctgtggggatcccaggagcctctgacaggagagacggcaggggtgtctgtcaggaaagggcagaacacagacaggatctggagacacgggaggatgctggttatgccagcctcgagctacctggagactccattctttcgctacccacccaggatgcagagaccagtgatgacctcatttcgccctatgccagcttctcctccacagcagatcgtcccgtgcctctgctcagtggctggctggacaagctctcacctcagggaaactatgtgttccagagacgttttgtgcagttcaatggaaggagtctaatgtactttggcagtgacaaggaccccttccccaaaggtgtgatccctctgactgccatcgagatgacccgaagcagcaaggacaacaaattccaggtcattaccggccagagagtatttgtgttccgcacagagagtgaggctcagcgtgacctatggtgctccacgctgcaatcctgcctgaaggaacagcgcctcctgggccacccccggccccctcacccaccacgacccctccgcacgggcacgttagagttgcgtggacacaaggccaaggtgtttgctgccttgatccctggagagctggcactgtacaagagtgagcaggccttctcactgggcatcgggatctgcttcattgaactgcaaggctgcagtgtccgggagaccaagagtcgaagcttcgatctgctcacaccccatcgctgcttcagcttcacagccgagtctgggggggctcgacagagctgggcagccgctctgcaagaagcagtaaccgagacactgtctgactacgaggtggctgagaaggtctggtccaacccggcaaaccggcattgtgcggactgcagggcctcccggccggattgggctgccgtcaacctgggggtcgtcatctgcaagcagtgtgcaggtcagcacagggccctgggctctgggatctccaaggtgcagagcctgaagctggacacgagtgtctggagtaatgagatagtgcagctgttcattgtcctgggaaatgatcgtgccaattgcttctgggcaggggcacttcccccaggtgaagggctgcatccagattcagcccctggccctcgaggagagttcatctcccgaaagtataagctgggtctcttccggaagccccaccctcggcatccagatcatagccagcttctccaggcactgtgtgcagctatggcaggacccaacctgctcaagaacatggcccagcttctctgtgtcgaaacctctgagggagaggaacccttgtccccttcagccctcaatggcagcttgcttagccttctaccttcagactcccctggagtatacaatgaggtggtagtgcctgccacttacagaggtttcctgtactgtggctccatcagcaacaaggctggagccccaccccttcgcaggggccgggatgctcctccccgcttgtggtgtgtgctgggagctgccctggaaatgtttgcatcagagagcagccctgaacccctcagccttctccagccccaggatattgtatgtctgggtgtaagccccccacctgctgatccaggtgaccttgacaggttccccttttcctttgaactcatcctcactgggggaagaatccagcattttgccactgatggagcagacagtctagaggcctggatcagtgcagtgggcaagtggttctccccgctcagctgccaccagctgctgggccctgggttgctgcggatgggtcgcctgtggctacggtccccctcccacgcaggcctggcccctggtctctggctgtcgggcttcggcctccttcgtggtgatcatctcttcctgtgcccagcgcctggccctggtccccctgctccggaggacatggtgcatttacgacgtctacaggagatcagtgtggtctcggcagctgacactccagacaaaaaggagcatttggtccttgtagagacaggaaggaccctgtatttgcagggggaaggcaggctagactttgcagcgtggaacacggccattggaggtgctgccggagggggtggcacgggcctgcaggagcagcagatgagccggggagacatccctatcattgtggacgcttgcatcagttttgtcacgcagcatgggctccggctggaaggtgtatatcggaaaggaggcgctcgagcccgcagcctgcgactcttggctgagtttaggcgggatgcccggtcagtgaagcttagaccacgggaacactttgtagaagatgttactgacacactcaaacgcttctttcgagagcttgatgaccccgtgacctctgctaggttgctgcctcgatggagagaagctgcagagctttcccagaagaatcagcgcctggagaagtacaaagaagtgattagctgcctgcctcgagtcaaccgcagaacactggccaccctcatcgggcatctgtaccgggtgcagaagtgtgcgtctctaaaccagatgtgcacgcggaacctggccctactgtttgcacctagtgtgttccagacagatgggcggggagagcatgaggttcgggtactgcaggagctcatcgatggctacatctctgtttttgatattgactcggaccaggcagctcagattgacttggaggtcagtctcattaccacctggaaggatgtgcagttgtcccaggctggagacctcatcatggaggtttacatagaacagcagctcccggacaactgtgtcaccctaaaggtatccccaacactgactgctgaggagttgactaaccaggtgctggagatgcgaggggcggcatcggggacagacttgtgggtgacatttgaaattcttgaacacggagagcttgagaggccactgcaccccaaagaaaaggttctagagcaggccttgcagtggtgccagcttccagagccctgctcagcctctctgcttctgagaaaagtctctatggcacacgctggctgcctcttcacaggagtccggcgtgagagcccacgagtggggctgctacggtgtcgtgaggagccacctcgattgctgggaaaccgtttccaggagaggttctttttggtgcgtggccgatgcctgctgctgctcaaggagaagaagagctctaagccagaacgggagtggtctctggaaggtgccaaggtctacctgggaatccgcaagaagttaaaacctccaacactgtggggtttcacattaatattggaaaagatgcacctctgtctgtcctgcatggatgaggaggagatgtgggactggaccacaagcatccttaaagcccagcatgatgaccaacagtccgtggttttacgtcgccgttcctcctctgaccttgctcgtcagaagtttggcactatgcccttgctgcccatccgaggggatgacagtggagccacccttctctctgccaatcagaccctgcggcgactacacaaccggaggaccttatccatgttctttccaatgaagtcaccccagggatctgtggaagagcaagatgagctggaggagcctgtgtatgaagagccagtatatgaggaggtcggggccttccctgagcttaccaaggacacgaccttctcttccacatgggagtggtcagccaagtcagatccatcccttaccagccagaggtcctttgatcaaccccccctctccaaggcaagcatgttgggccacgaagagaggatacctgaccctcctccgggccccccttcaaaaagcagttctcaggcacgagggtccctagaggaacagctgcttcaggaactcaacaacctcatcctgaggaaaggagagcctgcctcgtgcccagaaagctcttcccagcccaccagtccccaagccccaagccccaccagccttccaacaccgacccccagcttacccacccaaccgccctgcacttccaatccaccctccagccagcctctcacatgattaattaa</t>
  </si>
  <si>
    <t>ggcgcgccatggaccctctctcagagctgcaagatgacctgacgctggatgacaccagccaagctctgaaccagttgaagctggcctccattgatgagaagaactggccttctgatgaaatgccagacttccccaagtcagatgactccaaaagcagctctccagaacctgtgacacacctgaagtgggatgacccttactatgacattgcccggcaccagattgtggaagtagccggtgatgataagtatgggcggaagatcattgtattcagtgcttgccggatgccccccagccaccagctggaccacagcaagctcttggggtatttgaaacacacattggaccagtatgtggagagtgactacacactcctgtacctgcaccatggcctgaccagtgacaacaagccctccctcagctggctacgggatgcctaccgagagtttgaccgcaagtacaagaagaacatcaaggctctgtacatcgtgcacccaaccatgttcatcaaaactctgcttatcctctttaagcctctcatcagtttcaagtttggacggaagatcttctacgtgaattacctgagtgagctgagcgagcacgtgaagctggagcagttggggatccctcgccaagtgctcaagtatgatgacttcctcaaatccacacagaaaagccctgcaacagctcccaagcccatgccaccacggccccccctgcccaatcagcagtttggggtctccttacagcacctccaggagaaaagcccaggccaggagcccattcccattgtcctcagggagaccgtcgcctacttgcaggctcacgctctcaccactgagggcatcttccggaggtctgccaacacccaggttgtccgggaagtgcagcagaaatacaatatggggctgccggtggactttgaccagtacaacgagctgcacttgcccgctgtcatcctcaagacattccttcgggagcttcctgaacccttgctaacctttgacctgtacccccatgttgtgggcttcctcaatattgatgaaagccagagagtggaagtgacacagcaggttctccaaactctgccagaggagaactaccaggtgcttcatttcctgactgccttcctggtgcagatatctgcccactgtgaccagaacaagatgaccaacactaacttggctgtagtcttcggccctaacctgctctgggctaaagatgctgccatcaccctcaaggctatcaatcccatcaacaccttcactaagttcctcctggatcatcaaggggaattgttccccagcacagatgcccagggggtcttaattaa</t>
  </si>
  <si>
    <t>ggcgcgccatggccgctcacgggaagctgcggcgggagcgggggctgcaggctgagtatgagacgcaagtcaaagagatgcgctggcagctgagcgagcagctgcgctgcctggagctgcagggcgagctgcggcgggagttgctgcaggagctggcagagttcatgcggcgccgcgctgaggtggagctggaatactcccggggcctggaaaagctggccgagcgcttctccagccgtggaggccgcctggggagcagccgggagcaccaaagcttccggaaggagccgtccctcctgtcgcccttgcactgctgggcggtgctgctgcagcacacgcggcagcagagccgggagagcgcggccctgagtgaggtgctggccgggcccctggcccagcgcctgagtcacattgcagaggacgtggggcgcctggtcaagaagagcagggatctggagcagcagctgcaggatgagctcctggaggtggtctcagagctccagacggccaagaagacgtaccaggcatatcacatggagagcgtgaatgccgaggccaagctccgggaggccgagcggcaggaggagaagcgggcaggccggagtgtccccaccaccaccgctggtgccactgaggcagggcccctccgcaagagctccctcaagaagggagggaggctggtggagaagctctggcccccgcagaggcctgtggccgcttccagctgtgcacctgtgtgctggctccaagctgggtttctcgtgcaccctccatggtggggtgccatgtgcgcaccttccactcatcagcggcaggccaagttcatggagcacaaactcaagtgcacaaaggcgcgcaacgagtacctgcttagcctggctagtgtcaacgctgctgtcagtaactactacctgcatgacgtcttggacctcatggactgctgtgacacagggttccacctggccctggggcaggtgctccggagctacacggccgctgagagccgcacccaagcctcccaagtgcagggcctgggcagcctggaagaagctgtggaggccctggatcctccaggggacaaagccaaggttctcgaggtgcatgctaccgtcttctgtcccccgctgcgctttgactaccacccccatgatggggatgaggtggctgagatctgcgttgaaatggagctgcgggacgagattctgcccagagcccagaacatccagagccgcctggaccgacagaccattgagacagaggaggtgaacaagactctgaaggcgacactgcaggccctgctggaggtggtggcctcggatgacggggatgtgcttgattccttccagaccagcccctccaccgagtccctcaagtccaccagctcagacccaggcagccggcaggcgggccggaggcgcggccagcagcaggagaccgaaaccttctacctcacgaagctccaggagtatctgagtggacggagcatcctcgccaagctgcaggccaagcacgagaagctgcaggaggcccttcagcgaggtgacaaggaggagcaggaggtgtcttggacccagtacacacagagaaaattccagaagagccgccagccccgccccagctcccagtataaccagagactctttgggggagacatggagaagtttatccagagctcaggccagcctgtgcccctggtggtggagagctgcattcgcttcatcaacctcaatggcctgcagcatgaaggcatcttccgggtatcgggtgcccagctccgggtctcagagatccgtgatgccttcgagagaggggaggacccactggtggagggctgcactgcccacgacctggactcggtggccggggtgctgaagctctacttccggagcctggagcccccactcttccccccagacctgttcggcgagctgctggcttcttcggagctggaggccacagcggagagggtggagcacgtgagccgcctgctgtggcggctgcccgcgccggtgctggtggttctgcgctacctcttcaccttcctcaaccacctggcccagtacagcgatgagaacatgatggacccctacaacctggccgtgtgcttcgggcccacgctgctaccggtgcccgctgggcaggacccggtggcgctgcagggccgggtgaaccagctggtgcagacgctcatagtgcagcccgatcgggtcttcccgcccctgacctcgctgcctggccccgtctacgagaagtgcatggcaccgccttccgccagctgcctgggggacgcccagctggagagcctgggggcggacaatgagccggagctggaagccgagatgcccgcacaggaggatgacctggagggggtcgtggaggctgtggcctgctttgcctacacgggccgcacagcccaggagctgagcttccggcggggggacgtactgcggctgcacgagagggcctcgagcgactggtggcggggggagcacaacggcatgcggggcctcatcccccacaagtatatcacgctgcccgccgggacggagaagcaggtggtgggcgcagggctgcagactgcaggggagtctgggagcagtcccgagggcctcctggcatcggagctggtccaccggccagagccatgcacctcacctgaggccatgggaccctctggacacagacgacgctgcttggtcccagcctccccagagcaacacgtggaggtggataaggctgtggcacagaacatggactctgtgtttaaggagctcttgggaaagacctctgtccgccagggccttgggccagcatctaccacctctcccagtcctgggccccgaagcccaaaggccccgcccagcagccgcctgggcaggaacaaaggcttctcccggggccctggggccccagcctcaccctcagcttcccacccccagggcctagacacgacccccaagccacacttaattaa</t>
  </si>
  <si>
    <t>ggcgcgccatgatggcaaaaaacaaagagcctcgtcccccatcctataccatcagtatagttggactctctgggactgaaaaagacaaaggtaactgtggagttggaaagtcttgtttgtgcaatagatttgtacgctcaaaagcagatgaatattatccagagcatacttctgtgcttagcaccattgactttggaggacgagtagtaaacaatgatcactttttgtactggggtgacataatacaaaatagtgaagatggagtagaatgcaaaattcatgtcattgaacaaacagagttcattgatgaccagactttcttgcctcatcggagtacgaatttgcaaccatatataaaacgtgcagctgcatctaaattgcagtcagcagaaaaactaatgtacatttgcactgatcagctaggcttagaacaagactttgaacagaagcaaatgcctgaagggaagctcaacgtagatggatttttattatgcattgatgtaagtcaaggatgcaataggaagtttgatgatcaacttaaatttgtgaataacctttttgtccagttatcaaaatcaaaaaaacctgtaataatagcagcaactaaatgtgatgaatgcgtggatcattatcttagagaagttcaggcatttgcttcaaataaaaagaaccttcttgtagtggaaacatcagcacgatttaatgtcaacattgaaacatgttttactgcactggtacaaatgttggataaaactcgtagcaagcctaaaattattccctatttggatgcttataaaacacagagacaacttgttgtcacagcaacagataagtttgaaaaacttgtgcagactgtgagagattatcatgcaacttggaaaactgttagtaataaattaaaaaatcatcctgattatgaagaatacatcaacttagagggaacaagaaaggccagaaatacattctcaaaacatatagaacaacttaaacaggaacatataagaaaaaggagagaagagtatataaatactttaccaagagcttttaacactcttttgccaaatctagaagagattgaacatttgaattggtcagaagctttgaagttaatggaaaagagagcagatttccagttatgttttgtggtgctagaaaaaactccttgggatgaaactgaccatatagacaaaattaatgataggcggattccatttgacctcctgagcactttagaagctgaaaaagtctatcagaaccatgtacagcatctgatatccgagaagaggagggtggaaatgaaggaaaaattcaaaaagactttggaaaaaattcaattcatttcaccagggcagccatgggaggaagttatgtgctttgttatggaggatgaagcctacaaatatatcactgaggctgatagcaaagaggtatatggtaggcatcagcgagaaatagttgaaaaagccaaagaagagtttcaagaaatgctttttgagcattctgaacttttttatgatttagatcttaatgcaacacctagttcagataaaatgagtgaaattcatacagttctgagtgaagaacctagatataaagctttacagaaacttgcacctgatagggaatcccttctacttaagcatataggatttgtttatcatcccactaaagaaacatgtcttagtggccaaaattgtacagacattaaagtggagcagttacttgctagtagtcttttacagttggatcatggccgcttaagattatatcacgatagtaccaatatagataaagttaacctttttattttagggaaggatggccttgcccaagaactagcaaatgagataaggacacaatccactgatgatgagtatgccttagatggaaaaatttatgaacttgatcttcggccggttgatgccaaatcgccttactttttgagtcagttatggactgccgcctttaaaccacatgggtgcttctgtgtatttaattccattgagtcattgagttttattggggaatttattgggaaaataagaactgaagcttctcagatcagaaaagataaatacatggctaatcttccatttacattaattctggctaatcagagagattccattagtaagaatctaccaattctcaggcaccaagggcagcagttggcaaacaagttgcaatgtccttttgtagatgtacctgctggtacatatcctcgtaaatttaatgaaacccaaataaagcaagctctcagaggagtattggaatcagttaaacacaatttggatgtggtgagcccaattcctgccaataaggacttatcagaagctgacttgagaattgtcatgtgcgccatgtgtggagatccatttagtgtggatcttattctttcacccttccttgattctcattcttgcagtgctgctcaagctggacagaataattccctaatgcttgataaaatcattggtgaaaaaaggaggcgaatacagatcacaatattatcataccactcttcaattggagtaagaaaagatgaactagttcatgggtatatattagtttactctgcaaaacggaaagcttcgatgggaatgcttcgagcatttctatcagaagttcaagacaccattcctgtacagctggtggcagttactgacagccaagcagatttttttgaaaatgaggctatcaaagagttaatgactgaaggagaacacattgcaactgagatcactgctaaatttacagcactgtattctttatctcagtatcatcggcaaactgaggtctttactctgttttttagtgatgttctagagaaaaaaaatatgatagaaaattcttatttgtctgataatacaagggaatcaacccatcaaagtgaagatgtttttctaccatctcccagagactgttttccctataataactaccctgattcagatgatgacacagaagcaccacctccttatagtccaattggggatgatgtacagttgcttccaacacctagtgaccgttccagatatagattagatttggaaggaaatgagtatcctattcatagtaccccaaactgtcatgaccatgaacgcaaccataaagtgcctccacctattaaacctaaaccagttgtacctaagacaaatgtgaaaaaactcgatccaaaccttttaaaaacaattgaagctggtattggtaaaaatccaagaaagcagacttcccgggtgcctttggcacatcctgaagatatggatccttcagataactatgcggaacccattgatacaattttcaaacagaagggctattctgatgagatttatgttgtcccagatgatagtcaaaatcgtattaaaattcgaaactcatttgtaaataacacccaaggagatgaagaaaatgggttttctgatagaacctcaaaaagtcatggggaacggaggccttcaaaatacaaatataaatctaaaaccttgtttagtaaagccaagtcatactatagaagaacacattcagatgccagtgatgatgaggctttcaccacttctaaaacaaaaagaaaaggaagacatcgtggaagtgaagaagatccacttctttctcctgttgaaacttggaaaggtggtattgataatcctgcaatcacttctgaccaggagttagatgataagaagatgaagaagaaaacccacaaagtgaaagaagataaaaagcagaaaaagaaaactaagaacttcaatccaccaacacgtagaaattgggaaagtaattactttgggatgcccctccaggatctggttacagctgagaagcccataccactatttgttgagaaatgtgtggaatttattgaagatacagggttatgtaccgaaggactctaccgtgtcagcgggaataaaactgaccaagacaatattcaaaagcagtttgatcaagatcataatatcaatctagtgtcaatggaagtaacagtaaatgctgtagctggagcccttaaagctttctttgcagatctgccagatcctttaattccatattctcttcatccagaactattggaagcagcaaaaatcccggataaaacagaacgtcttcatgccttgaaagaaattgttaagaaatttcatcctgtaaactatgatgtattcagatacgtgataacacatctaaacagggttagtcagcaacataaaatcaacctaatgacagcagacaacttatccatctgtttttggccaaccttgatgagacctgattttgaaaatcgagagtttctgtctactactaagattcatcaatctgttgttgaaacattcattcagcagtgtcagtttttcttttacaatggagaaattgtagaaacgacaaacattgtggctcctccaccaccttcaaacccaggacagttggtggaaccaatggtgccacttcagttgccgccaccattgcaacctcagctgatacaaccacaattacaaacggatcctcttggtattatattaattaa</t>
  </si>
  <si>
    <t>ggcgcgccatgtccgcgcagagcctgctccacagcgtcttctcctgttcctcgcccgcttcaagtagcgcggcctcggccaagggcttctccaagaggaagctgcgccagacccgcagcctggacccggccctgatcggcggctgcgggagcgacgaggcgggcgcggagggcagtgcgcggggagccacggcgggccgcctctactccccatcactcccagccgagagtctcggccctcgcttggcgtcctcttcccggggtccgccccccagggccaccaggctaccgcctcctggacctctttgctcgtccttctccacacccagcaccccgcaggagaagtcaccatccggcagctttcactttgactatgaggttcccctgggtcgcggcggcctcaagaagagcatggcctgggacctgccttctgtcctggccgggccagccagtagccgaagcgcttccagcatcctctgttcatccgggggaggccccaatggcatcttcgcttctcctaggaggtggctccagcagaggaagttccagtccccacccgacagtcgcgggcacccctacgtcgtgtggaaatccgagggtgatttcacctggaacagcatgtcaggccgcagtgtacggctgaggtcagtccccatccagagtctctcagagctggagagggcccggctgcaggaagtggctttttatcagttgcaacaggactgtgacctgagctgtcagatcaccattcccaaagatggacaaaagagaaagaaatctttaagaaagaaactggattcactaggaaaggagaaaaacaaagacaaagaattcatcccacaggcatttggaatgcccttatcccaagtcattgcgaatgacagggcctataaactcaagcaggacttgcagagggacgagcagaaagatgcatctgactttgtggcttccctcctcccatttggaaataaaagacaaaacaaagaactctcaagcagtaactcatctctcagctcaacctcagaaacaccgaatgagtcaacgtccccaaacaccccggaaccggctcctcgggctaggaggaggggtgccatgtcagtggattctatcaccgatcttgatgacaatcagtctcgactactagaagctttacaactttccttgcctgctgaggctcaaagtaaaaaggaaaaagccagagataagaaactcagtctgaatcctatttacagacaggtccctaggctggtggacagctgctgtcagcacctagaaaaacatggcctccagacagtggggatattccgagttggaagctcaaaaaagagagtgagacaattacgtgaggaatttgaccgtgggattgatgtctctctggaggaggagcacagtgttcatgatgtggcagccttgctgaaagagttcctgagggacatgccagacccccttctcaccagggagctgtacacagctttcatcaacactctcttgttggagccggaggaacagctgggcaccttgcagctcctcatataccttctacctccctgcaactgcgacaccctccaccgcctgctacagttcctctccatcgtggccaggcatgccgatgacaacatcagcaaagatgggcaagaggtcactgggaataaaatgacatctctaaacttagccaccatatttggacccaacctgctgcacaagcagaagtcatcagacaaagaattctcagttcagagttcagcccgggctgaggagagcacggccatcatcgctgttgtgcaaaagatgattgaaaattatgaagccctgttcatggttcccccagatctccagaacgaagtgctgatcagcctgttagagaccgatcctgatgtcgtggactatttactcagaagaaaggcttcccaatcatcaagccctgacatgctgcagtcggaagtttccttttccgtgggagggaggcattcatctacagactccaacaaggcctccagcggagacatctccccttatgacaacaactccccagtgctgtctgagcgctccctgctggctatgcaagaggacgcggccccggggggctcggagaagctttacagagtgccagggcagtttatgctggtgggccacttgtcgtcgtcaaagtcaagggaaagttctcctggaccaaggcttgggaaagatctgtcagaggagcctttcgatatctggggaacttggcattcaacattaaaaagcggatccaaagacccaggaatgacaggttcctctggagacatttttgaaagcagctccctaagagcggggccctgctccctttctcaagggaacctgtccccaaattggcctcggtggcaggggagccccgcagagctggagagcgacacgcagggggctcggaggactcaggccgcagcccccgcgacggagggcagggcccaccctgcggtgtcgcgcgcctgcagcacgccccacgtccaggtggcagggaaagccgagcggcccacggccaggtcggagcagtacttgaccctgagcggcgcccacgacctcagcgagagtgagctggatgtggccgggctgcagagccgggccacacctcagtgccaaagaccccatgggagtgggagggatgacaagcggcccccgcctccatacccgggcccagggaagcccgcggcagcggcagcctggatccaggggcccccggaaggcgtggagacacccacggaccagggaggccaagcagccgagcgagagcagcaggtcacgcagaaaaaactgagcagcgccaactccctgccagcgggcgagcaggacagtccgcgcctgggggacgctggctggctcgactggcagagagagcgctggcagatctgggagctcctgtcgaccgacaaccccgatgccctgcccgagacgctggtcttaattaa</t>
  </si>
  <si>
    <t>ggcgcgccatggctggcctggaccccacactgagcacaagtcacccattctatgatgtggccagacacggcatcctgcaggtggcaggggatgaccgccaggggagacgcatcttcactttcagctgctgccggctgccacccttgcaccagctcaaccaccagcgcctgctggagtatctgaagtacacactggaccagcatgtggagaacgactatactattgtctactttcactatggcctcagcagccagaacaaaccatccctaggctggctccagaacacctacaaggagtttgaccggaagtacaagaagaacctgaaggcactgtacgttgtacaccccaccagcctcatcaaagcactgtggaacatcttcaagcccctcatcagtcacaagtttgggaaaaaagtcacctactgcagcaacctgcgtgagctccgagaacaccttcagtgcgaccagctgctcatccccccggaagtagtgcggtatgacgagaaactgcaaaacctgcacaaaggtcaaccgcccccgcccaccaagacaccgccacctcggccgcctctgcccacccagcagtttggcgtcagcctgcaatacctcagagacaaaaatcaaggtgaactcatccccccggtgctgcgttggacggtgacatatctgagagaaaaaggactgcgcactgagggcctgttccggagatcggccagcgcccagactgtccgtcaggtgcagcggctatatgatcaagggaagcccgtgaactttgatgattatggagacatgcacctcccagccgtgatcctgaagacatttctccgagagctgccccagccactgctgaccttccaagcctacgagcagattctcgggatcaccagtgtggagagcagccttcgagtgacccactgccgcctgatcctgcggagcctcccagaacacaactatgccgtactccgctacctcatgggcttcctgcatgaagtgtctctggagagcatttcaaacaagatgaacagctctaacctggcgtgcgtgtttggattgaacttgatctggccatcccagggggtggcttccctgagcgccctggtacctctgaacttgttcacagagctgctgatagagtactatgacaaagtcttcagttgccaggaggcccctggggagcacacccgggatactgtggaagtacagcaggctggccctgttaccaaagaatttatgaagacgggcactccccgggcctcaccatacctgtcccgcctccgtatctccttaattaa</t>
  </si>
  <si>
    <t>ggcgcgccatgctatccagccggtggtggccaagttcctgggggatcctagggctgggcccccgaagccctcctcggggatcccagctctgtgccctctatgcctttacttatactggggcagatggccagcaggtgtctctggctgaaggggataggttcctactgcttcgaaagaccaactccgactggtggttggcaagacgcctagaagctccctccacctctcgacccatcttcgtcccagcagcctatatgatagaggaatccatcccttcccagagtccaactaccgtcatccccggccaattgctctggactcctgggccgaagttgtttcatggttccctggaggagttgtctcaggccctcccaagcagggctcaggctagctcggagcagcctcctccacttccccgcaaaatgtgtaggagcgtcagcactgacaatctgagccccagctttctgaagcctttccaggaaggaccaagcggaagatccctctcccaggaagacttgccgtcagaagccagtgccagcacagcaggcccccagcccctcatgtcagagccccctgtgtactgtaacctggtggaccttcgccgctgtcctcggtccccacccccaggccctgcatgccccctgctgcagaggctggatgcctgggagcagcacctggaccccaactctggacgctgcttctacataaattcactgactggctgcaagtcctggaagcccccgcgccgcagtcgcagcgagacgaaccctggctccatggaggggacacagaccctgaagaggaacaatgatgtcctgcaacctcaggcaaagggcttcagatctgacacagggaccccagaaccgcttgacccacagggttcactcagcctcagccaacgcacctcgcagcttgaccctccagccttgcaggcccctcgacctctgccgcagctcctggacgacccccatgaggtggaaaagtcgggtctgctcaacatgaccaagattgcccaaggggggcgcaagctcaggaagaactggggcccgtcttgggtggtgttaacgggtaacagcctggtgttctaccgagagccaccgccgacagcgccctcctcaggctggggaccagcgggtagccggcccgaaagtagcgtggacctgcgcggggcggccctggcgcacggccgccacctgtccagccgccgcaacgtcctgcacatccgcacgatccctggccacgagttcctgctgcagtcggaccacgagacagagctgcgagcctggcaccgcgcgctgcggactgtcatcgagcggctggttagatgggtggaggcccggagggaggctccgaccggccgggaccaagggagtggggatcgggagaaccccctggagctgcgtctgtcgggctctggacccgcggagctgagcgccggggaggacgaagaagaggagtcggagctggtgtccaagccgctgctgcgcctcagcagccgccggagctccattcgggggcccgaaggcaccgagcagaaccgcgtgcgcaacaaactaaagcggctcatcgcgaagagaccgcccttacaaagcctgcaggagcggggtctgctccgagaccaggtgttcggctgccagttggaatcactctgccagcgggaaggagacacggtgcccagctttttgcggctctgcattgctgctgtggataaaagaggtctagatgtggatggcatttatcgggtgagcgggaacttggcagtggtccagaagcttcgctttctggtggacagagagcgtgcggtcacctccgatgggaggtatgtgttcccagaacagccaggacaagaaggtcggttagatttggacagtactgagtgggatgacattcatgtggtcaccggagccctgaagctttttctccgggagctgccccagcctctggtgccaccactgctgctgccccatttccgtgctgcccttgcactctccgaatcagagcagtgcctctctcagatacaagaattaataggctcaatgccaaagcccaaccatgacactctacggtacctcctggagcatttatgcagggtgatagcacactcagataagaatcgcatgacaccccacaacctgggaattgtgtttggaccaaccctgtttcggccagagcaggagacatctgacccagcagcccatgctctctacccagggcagctggtccagctgatgctcaccaacttcaccagcctcttccccttaattaa</t>
  </si>
  <si>
    <t>atggggctgcagcccctggagttcagcgactgctacctcgacagcccgtggttccgggagaggatccgcgctcacgaagcggaactcgagaggaccaacaagttcatcaaagagctcattaaggacgggaagaacctcatcgctgcgacgaaaagtctgtcagtggcccagcggaagtttgctcattcactcagagactttaagtttgagtttatcggtgatgctgtgacagatgatgaacgatgcatagatgcttccttacgtgaattttcaaattttttgaagaatctggaggaacagagagaaattatggcattaagtgtaactgaaaccctgattaaacccttggaaaaattcagaaaagagcaacttggagctgtaaaggaagaaaaaaagaagtttgacaaagagacagaaaagaattatagtctaattgataaacatttgaatttatcagcaaaaaagaaagactcacatttacaagaggcagatatccaagtagagcagaaccggcaacacttctatgaactgtctctcgagtatgtgtgtaagctgcaggaaatccaagaaagaaagaagtttgagtttgtggaacctatgctgtcattttttcaggggatgtttaccttctatcatcagggccatgaacttgccaaagacttcaatcactacaaaatggaactacagatcaacattcagaatacacggaatcgatttgaaggaacaaggtcagaagtggaagagctcatgaacaaaatcagacagaatcccaaggaccacaaacgagcaagtcagtttacagccgaaggctacctgtatgtccaggaaaaaaggcctgctccgtttggttccagttgggtcaaacactattgcatgtatcgaaaagcagcaaagaagttcaacatgatcccatttgagcacagatctggagggaaacttggggacggagaggtgttctttttgaaagaatgtaccaagaggcatactgactccattgacagaaggttttgttttgacatagaagctgctgatcggcctggcgtttccttgaccatgcaggcattttccgaagaggaaaggaagcagtggttggaagctctgggtggaaaggaagctctgtcccatagttttaatacagccatcatcccaagaccagaaggaaatgcacagttggataagatggggttcacaattatcagaaaatgcatcagtgccgttgaaacacgaggtataaatgaccaaggattgtacagagttgtgggggtgagttcaaaggtccagagacttctgagtatgttgatggatgtaaaaacatgcaatgaggtggacctggagaattctgcagattgggaagtgaagacaataacaagtgccttgaaacagtatttgaggagtcttccagagcctctcatgacctatgagttacatggagatttcattgttccagccaaaagcggcagcccagaatctcgtgttaatgcgatccatttcttggtacacaaactgccagagaagaataaagagatgttggatattttggtgaaacacttaacaaatgtttcaaatcactccaagcagaacctgatgactgtggcaaacttaggagtggtgtttggaccaactctgatgaggccacaggaagaaactgtcgctgccctcatggacttgaagtttcagaatattgttgtggaaatcttaattgaaaaccatgaaaagatttttcggacgccgcccgatactacattccctgagcccacctgcctgtcagcatcacccccaaatgcgccaccaaggcagtcgaagagacaaggccagagaaccaagaggcccgtggccgtctacaatctttgtctggagctggaagatggtgacaatccttacccttccaaggaggacacccctaccagcagtctggactcactttcctccccgtctcccgtgactacagctgtccctgggcctcctggaccagacaaaaaccaccttctggcagatggagggagctttggagactgggcatccactatcccaggccagacccgatcgtctatggtccagtggcttaacccacagtctccaaccacaacaagctccaactcagctgtgacacctctttcacccgggtcgtcccctttccccttttctcctcctgctactgtagcggacaagccacctgaaagcatccgcagtcggaaggctcgagccgtgtatccgtgtgaagcagaacacagctcggaattatcttttgaaataggagcaatttttgaggatgtacaaacctccagggaacctggctggctagaagggactctgaacggcaagagggggctgattccacagaactacgtcaagctgctgtaggat</t>
  </si>
  <si>
    <t>ggcgcgccatgtgggatcagaggctggtgaggttggccctgttgcagcatctgcgggccttctatggtattaaggtgaagggtgtccgtgggcagtgcgatcgcaggagacatgaaacagcagccacggaaatagggggtaaaatatttggagtaccttttaatgcactgccccattctgctgtaccagaatatggacacattccaagctttcttgtcgatgcttgcacatctttagaagaccatattcataccgaagggctttttcggaaatcaggatctgtgattcgcctaaaagcactaaagaataaagtggatcatggtgaaggttgcctatcttctgcacctccttgtgatattgcgggacttcttaagcagttttttagggaactgccagagcccattctcccagctgatttgcatgaagcacttttgaaagctcaacagttaggcacagaggaaaagaataaagctacactgttgctctcctgtcttctggctgaccacacagttcatgtattaagatacttctttaactttctcaggaatgtttctcttagatccagtgagaataagatggacagcagcaatcttgcagtaatatttgcaccgaatcttcttcagacaagtgaaggacatgaaaagatgtcttctaacacagaaaagaagctacgattacaggctgcagtagtacagactcttatcgattatgcatcagatattgggcgtgtaccagattttatcctggaaaagataccagccatgttgggtattgatggtctctgtgctactccatcactggaaggctttgaagaaggtgaatatgaaactcctggtgaatataagagaaagagaagacaaagtgtaggagattttgttagtggagcactaaataaatttaaacctaacagaacaccttctattacacctcaagaagaaagaattgcccagctatctgaatcaccagtgattcttacaccaaatgctaagcgtacattgccagtagattcttctcatggtttctcaagtaagaaaaggaagtccatcaagcacaattttaactttgagctgttgccaagtaatctcttcaatagcagttctacaccggtatcagttcacatcgatacaagctcagaagggtcatctcagagttcactctctcctgtactcattggtggaaaccatttgatcactgcaggtgtgccaaggcgaagtaaaagaattgcaggcaaaaaagtttgcagagtggaatcaggaaaagcaggctgcttttctcctaaaatcagccataaagaaaaggttcgaagatctctgcgtttgaaattcaatctagggaaaaatggcagagaagtaaatggatgttctggtgtcaatagatatgaaagtgttggttggcgacttgcaaatcaacaaagtttaaaaaatcgaattgaatctgtaaaaacaggtttgctttttagcccagatgttgatgaaaagttaccaaagaaaggttcagaaaagatcagtaagtctgaggaaaccttactaactccagagcgactagttggaacaaattaccggatgtcttggacaggacctaataattcaagttttcaagaagtagatgcaaatgaagcttcttcaatggtggaaaatcttgaggtagaaaactctttggagcctgatattatggtagaaaagtcacctgctacttcatgtgaactcaccccttccaatttaaacaataagcataatagcaacataacaagtagccctcttagcggggatgaaaataacatgaccaaagagactttggtgaaagttcaaaaagcgttttctgaatctggaagtaatcttcacgcattgatgaatcagaggcagtcatcagtaactaatgtggggaaagtaaaattaactgaaccatcttatttagaagatagcccagaggaaaatctatttgaaactaatgatttgactatagtagaatcaaaggagaaatatgaacaccacactggtaaaggtgaaaaatgtttttcagagagggacttttcaccccttcaaactcaaacatttaatagagaaacaactataaaatgttattcaactcagatgaagatggaacatgaaaaagacattcattcaaatatgccaaaagattatttaagcaagcaagaattctccagtgatgaagaaataaagaaacagcagtccccaaaggataaactaaataataaattaaaagagaatgagaatatgatggaaggtaacttaccgaagtgtgcagcacatagcaaggacgaggctagatcctctttctcacagcagagtacatgtgttgtaacaaacttgtcaaaacctaggcctatgagaattgctaaacagcagtcattggaaacatgtgagaaaacagtttctgaaagttcacaaatgacagaacatagaaaggtttctgatcacatacagtggtttaacaagctttctttaaatgaaccaaatagaataaaagtcaagtcacctcttaagtttcagcgtactcctgttcgtcagtccgtcagaagaattaattctttgttggagtatagcagacaacctacagggcataagttggcgagtcttggtgatacagcttctcctttggtcaaatcagtgagctgtgacggtgctctttcctcttgtatagaaagtgcatcaaaagattcctctgtttcatgtatcaaatcaggtcctaaagaacagaagtccatgtcatgtgaagagtcaaatattggtgcaatttcaaagtcaagcatggagttaccctcgaaatctttcttaaagatgaggaagcacccagattcagtgaatgcttctcttaggtctactacagtttataaacagaagatcttatctgatggccaagttaaggttcccttggatgatctgactaatcatgatatagtaaaaccagttgtaaataacaacatgggcatttcttctgggataaataacagggtccttaggagaccatcagaaagaggaagggcctggtacaaaggttctccaaaacatcctatcggaaaaactcaattactaccaacaagtaaacctgtagatttgttaattaa</t>
  </si>
  <si>
    <t>ggcgcgccatgtgggatcagaggctggtgaagttggccctgttgcagcatctgcgggccttctatggtattaaggtgaagggtgtccgtgggcagtgcgatcgcaggagacatgaaacagcagccacggaaatagggggtaaaatatttggagtaccttttaatgcactgccccattctgctgtaccagaatatggacacattccaagctttcttgtcgatgcttgcacatctttagaagaacatattcataccgaagggctttttcggaaatcaggatctgtgattcgcctaaaagcactaaagaataaagtggatcatggtgaaggttgcctatcttctgcacctccttgtgatattgcgggacttcttaagcagttttttagggaactgccagagcccattctcccagctgatttgcatgaagcacttttgaaagctcaacagttaggcacagaggaaaagaataaagctatactgttgctctcctgtcttctggctgaccacacagttcatgtattaagatacttctttaactttctcaggaatgtttctcttagatccagtgagaataagatggatagcagcaatcttgcagtaatatttgcaccaaatcttcttcagacaagtgaaggacatgaaaagatgtcttctaacgcagaaaagaagggcgtgtaccagactttatcctggaaaagataccagccatgttgggtattgatggtctctgtgctactccatcactggaaggctttgaagaaggtgaatatgaaactcctggtgaatataagagaaagagaagacaacgtgttaattaa</t>
  </si>
  <si>
    <t>ggcgcgccatgaaaatggctgacagaagtgggaagattattccaggacaagtgtatattgaggtggaatatgattatgaatatgaagcaaaggacagaaagattgtgataaaacaaggggagaggtacatcttggtgaaaaagaccaatgatgactggtggcaagtcaagccagatgaaaactccaaagcgttttatgtgccagcccagtatgtgaaggaggtcacgcgcaaagctctcatgccacctgttaagcaggtagctggtctgccaaataactccacgaaaataatgcagagtttgcatcttcagagatcaacagaaaatgtgaacaaattgcctgagctttcaagtttcggaaagccatcgtcatctgttcaaggaacaggtcttattcgtgatgccaatcagaattttggacccagttataatcaaggtcagactgtcaacctaagcctggacctgacccataataacggaaagtttaacaatgactcacattctcctaaagtttccagccagaataggacacgctcatttggtcattttcccggtccagagttcttggatgtagagaaaactagcttctcccaggaacaatcttgtgattccgcaggagaaggctctgaaagaatacatcaagattctgaatctggtgatgaacttagcagcagctccactgaacagataagggcaaccacacctccaaatcaaggaaggccagattctcctgtctatgctaaccttcaagaactgaaaatatcccagtctgctcttcccccacttcctgggagcccggcaattcagattaatggagaatgggaaactcataaagacagctcagggcgttgctattactataacagagggacacaggaaagaacttggaaacctcctcgttggactcgggatgcaagcatcagcaaaggagatttccaaaatccaggggatcaagagcttctttcatcggaagaaaactactacagcacttcttacagccagtcagatagtcagtgtggttctcctccaaggggttggtcagaagagttggatgaacgtgggcataccttatataccagtgactatactaatgaaaagtggctcaagcatgttgatgatcaaggtagacaatattactacagtgcagacggatctcggtcagaatgggaattgccaaagtataatgcttcatcccagcagcaaagagaaataattaaaagtaggagcctggacaggcggctgcaagaaccaatagtattaacaaagtggagacatagcaccattgtattggacactaatgataaggaatctccaactgcctcaaaaccctgctttcctgaaaatgagtcttctccctcctcaccaaagcaccaagatacagatcaagagaaatatggattattaaatgtaacaaaaattgctgaaaatgggaaaaaggttcgaaagaactggttgtcttcttgggcggtgttgcagggttcatctttactttttaccaaaactcaaggaagtagcacaagttggtttggcagtaatcagtccaaaccagagttcacagtggacctcaagggggcaacaattgagatggcttcaaaggataaatccagcaaaaagaatgtatttgagctgaaaactcgtcaaggaacagaactgctaattcagtctgacaatgacactgttattaatgattggtttaaagttcttagtagtacaatcaataatcaggcagtagaaactgatgaaggaattgaagaggagataccggattcaccaggaatagaaaagcatgataaagaaaaggaacaaaaggatcccaaaaagcttcgttcctttaaagtatctagcatagattcttcagaacagaaaaaaaccaagaaaaacttaaagaagtttcttacacgacgccccactttgcaagctgttcgtgaaaaaggttatattaaagatcaggtatttggatccaatctcgctaatctgtgtcagagagagaatggcacagtaccaaagtttgtgaagttatgtattgaacatgttgaagaacatggtttggatattgatgggatatacagagtaagtggcaacctcgcagtgatccagaaactaaggtttgcagtcaatcatgatgagaaattggacttgaatgacagtaaatgggaagatattcatgtcattactggagccctcaaaatgttttttcgagaattaccagaacctctttttacatttaatcattttaatgattttgttaatgcaattaagcaagaaccaagacagcgagtcgctgctgttaaggacctaatcagacagttgccaaagccaaaccaagacacaatgcagattcttttccgacatctcagaagagttatagaaaatggagagaaaaatcgaatgacctatcagagtatagcaattgtttttggtcccactctattaaaaccagaaaaagagactggtaatatagcagttcatactgtgtaccagaatcagattgtagaattaattcttctggaactgagttccatcttcggacgtttaattaa</t>
  </si>
  <si>
    <t>ggcgcgccatggagaaaaggacaagctgcagtgtgcagacatctacaaactgtgacaactctctggaaatactgaattctgcccaccaagctacaggagctgtgcaaatgagaatcaaaaatgccaacagccaccaagacaggcagagccaaactaaatccatgatcctcaccgatgctgggaaggtcactgaacctatttcccggcacagaaggaatcattcacagcatgtgttgaaagatgtcattccaccactagaacatccaatggttgaaaaagaagggtatcttcaaaaagccaaaattgcagatggaggaaagaaactaaggaaaaactggtctacttcctggattgttctttctggtcgaaaaattgaattttacaaagactccaagcagcaagctcttcctaacatgaaaaccaggcacaacgtggaaagtgtggatttgtgtggtgcacatatagaatgggccaaagaaaaatcaagcagaaagagtgtctttcagatcacaacagtgtcaggaaatgagttccttctacagtcagatattgacttcctcatattggattggttccaagctatcaaaaatgcaattgacagattgccaaagaatccaagttgtgggtccctggagttgttcaatttgcagagatcctcaagttctgaactgccgagtcactgccacatcgatagaaaagaacagaaaccagaacacaggaagtccttcatgtttcgactgcaccacagtgcttctgatacaagtgacaagaatcgcgtgaagagcagactgaagaagttcatctccagaagaccttctctgaaaactttgcaggaaaagggactcattaaagatcaaatttttggctctcatctgcacacagtgtgtgaacgagaacattccacagttccatggtttgtaaagcaatgcattgaagctgttgaaaaaagaggcctagacgttgatggaatttatcgagttagtggcaatcttgcaacaatacagaagttaagatttattgtcaaccaagaagagaagctgaatttggatgacagccagtgggaggacatccacgtcgtcaccggagcactgaagatgtttttccgggagctgtctgaaccgctcttcccttacagtttctttgagcggtttgtggaggcgatcaaaaaacaagacagcaatgaaaaaattgaaactatgaggtctctggtaaaacgtctccctccaccaaatcatgataccatgaaaatcctcttcagacatctaaccaagatagtggccaaagcctcccagaatctcatgtccacccaaagcttggggattgtgtttggacccacccttctgcgagcggaaaatgagtcagggaatgtagcggtccacatggtataccaaaaccagatagcagagttcatgctgactgagtacgataagatcttcagctcagaggaagacttaattaa</t>
  </si>
  <si>
    <t>ggcgcgccatgaagaagcagttcaaccgcatgaagcagctggctaaccagaccgtgggcagagctgagaaaacagaagtccttagtgaagatctattacagattgagagacgcctggacacggtgcggtcaatatgccaccattcccataagcgcttggtggcatgtttccagggccagcatggcaccgatgccgagaggagacacaaaaaactgcctctgacagctcttgctcaaaatatgcaagaagcatcgactcagctggaagactctctcctggggaagatgctggagacgtgtggagatgctgagaatcagctggctctcgagctctcccagcacgaagtctttgttgagaaggagatcgtggaccctctgtacggcatagctgaggtggagattcccaacatccagaagcagaggaagcagcttgcaagattggtgttagactgggattcagtcagagccaggtggaaccaagctcacaaatcctcaggaaccaactttcgggggcttccatcaaaaatagatactctaaaggaagagatggatgaagctggaaatagagtagaacagtgcaaggatcaacttgcagcagacatgtacaactttatggccaaagaaggggagtatggcaaattctttgttacgttattagaagcccaagcagattaccatagaaaagcattagcagtcttagaaaagaccctccccgaaatgcgagcccatcaagataagtgggcggaaaaaccagcctttgggactcccctagaagaacacctgaagaggagcgggcgcgagattgcgctgcccattgaagcctgcgtcatgctgcttctggagacaggcatgaaggaggagggccttttccgaattggggctggggcctccaagttaaagaagctgaaagctgctttggactgttctacttctcacctggatgagttctattcagacccccatgctgtagcaggtgctttaaaatcctatttacgggaattgcctgaacctttgatgacttttaatctgtatgaagaatggacacaagttgcaagtgtgcaggatcaagacaaaaaacttcaagacttgtggagaacatgtcagaagttgccaccacaaaattttgttaactttagatatttgatcaagttccttgcaaagcttgctcagaccagcgatgtgaataaaatgactcccagcaacattgcgattgtgttaggccctaacttgttatgggccagaaatgaaggaacacttgctgaaatggcagcagccacatccgtccatgtggttgcagtgattgaacccatcattcagcatgccgactggttcttccctgaagaggtggaatttaatgtatcagaagcatttgtacctctcaccaccccgagttctaatcactcattccacactggaaacgactctgactcggggaccctggagaggaagcggcctgctagcatggcggtgatggaaggagacttggtgaagaaggaaagtcctcccaaaccgaaggaccctgtatctgcagctgtgccagcaccagggagaaacaacagtcagatagcatctggccaaaatcagccccaggcagctgctggctcccaccagctctccatgggccaacctcacaatgctgcagggcccagcccgcatacactgcgccgagctgttaaaaaacccgctccagcacccccgaaaccgggcaacccacctcctggccaccccgggggccagagttcttcaggaacatctcagcatccacccagtctgtcaccaaagccacccacccgaagcccctctcctcccacccagcacacgggccagcctccaggccagccctccgccccctcccagctctcagcaccccggaggtactccagcagcttgtctccaatccaagctcccaatcacccaccgccgcagccccctacgcaggccacgccactgatgcacaccaaacccaatagccagggccctcccaaccccatggcattgcccagtgagcatggacttgagcagccatctcacacccctccccagactccaacgccccccagtactccgcccctaggaaaacagaaccccagtctgccagctcctcagaccctggcagggggtaaccctgaaactgcacagccacatgctggaaccttaccgagaccgagaccagtaccaaagccaaggaaccggcccagcgtgcccccacccccccaacctcctggtgtccactcagctggggacagcagcctcaccaacacagcaccaacagcttccaagatagtaacagactccaattccagggtttcagaaccgcatcgcagcatctttcctgaaatgcactcagactcagccagcaaagacgtgcctggccgcatcctgctggatatagacaatgataccgagagcactgccctgtaattaattaa</t>
  </si>
  <si>
    <t>ggcgcgccatgaactggctatcgagttcctcgggagttgtgctaactgcttaccaccccagcggcaaggaccaggtcgctggggacagccatgtaaagggaggcgacgaagccacctccagtcgcagatatggccaatacaccataaaccaagaaggctccaccaaagttcccgagaggcctccatttgatcgatcgagttctcaggattccttggatgaatcaatggaagcctattggacagaactagaaaacatcaagaggtcgaatgaaaatcgccaagaaggtcaagaggccatagttgtcaaagaacctgatgagggagaactggaagaagaatggctcaaagaagcaggtctatccaatctttttggagagtctattgatgacccgcaggaaagcattctgtttttatctacactgacccggactcaggcagcagctgttcagaaacgggtggaaacggtctcccagaccttgaggaagaaaaacaaacagcaccacattcgtgacgtcagagacatatttgctcaacagagagaggcacaagaaaaacctccagatgactcagacttgcggtcagtcagaacaaacgaaaacaaaggccaaggaaaagatgatcagccatctagtggggctgtcgatagcaaggagcagatctcacgggtgcctgaggacacacctgcctctgaaacagacatcaatctggaggtgtcatttgcggagcaagctgtcaatcagaaagagttcagtaaggagaggacgcagaagatcagcagcaacgactctttgcccagtttcagactgccaaaagataaaacaggtacgacaaggattggagacttggcaccccaagacatgaagaaagtttgctctctatccctgattgaactcactgccctgtatgatgtgttgggcttggaattcaaacaacagaaagctgtgaaaatcaaaaccagagactctggtctttttggtattcctttaacgatattgttagaacaagatcaaagaaaagtgcctggaacacgaatacccttgatctttcaaaaactgatttctcgaattgaagaaggcagtctggaaaccgagggcctcctacggataccaggagcagccatgagaatcaagaatctttgccaagaactagaagcgaaattttacgaggggactttcaattgggaaagtgtcaaacagcacgatgcggccagcctgctgaagctctttctgagagaattgccccagccactgctgagcatggagtatctcaaagccttccaagctgtccagaatcttccaaccagaaaggaacagttgcaggctttgaacctccttgtcattcttctacctgacgcaaacagagacacactgaaggccttgcttgaatttctccaaagagtcatagataacaaagagaagaacaagatgacagctgggaatgtagcaatggtcatggccccaaatctcttcatgtgccacacgctgggcttgaagtccagtgaacagcgagaatttgaaatggcagctgggacagcaaatgtcatgcacttattgattaggtaccagaaaattctatggacaatccctaaatttattgtaatccaagtgaggaaacagaatattgagaatcaaaagaaggaaaggaaagccatgaagaaattgctgaagaaaatggcttatgaccgggaaaaacatgaaaagcaagataaaactgcaaatggtgctgatgttcctcagggagtgattcgagtgcaagctccccatctttcaaaagtttccatggcaatacagctaactgaagaactaaaagccagcgatgtgcttgccaggtttctcagccaagaaagtggggttgcccagacactcaagaaaggagaagttttcctgtatgagattggaggaaatattggggaacgttgcctcgatgacgacacacacatgaaggacttgtaccaactgaacccgaatgccgagtgggtcataaaatccaagccagtgttaattaa</t>
  </si>
  <si>
    <t>ggcgcgccatggcgactgaggcacagagtgaaggggaggtgccagcccgcgaatccggccggagtgatgccatctgcagttttgtgatctgcaatgattcttcccttcgaggtcagcccattatctttaatcctgacttttttgtggagaaactccgacatgagaaacctgagattttcactgagttggtggtcagcaatatcacaaggctcatcgatttacctggaactgagttggctcagctgatgggggaagtggaccttaagttgcctggcggggctggcccagcatcaggattcttccggtctctcatgtctctcaagcgaaaggaaaaaggagtgatatttgggtccccactgacggaggaaggcattgcccagatataccaactgattgagtatctacacaaaaacttgcgagtagagggtttgtttagagtaccgggtaatagtgtccgacagcagattttaagggatgctctcaataatggaactgacattgacttggaatcaggggaatttcactcaaatgatgttgccactttgctgaagatgtttctaggagagttgccggagcctctgctgacacataaacacttcaatgcacacctcaaaatcgctgatttgatgcagtttgatgataaaggaaacaagaccaatataccagacaaggaccggcaaattgaggctctccagttgctcttcctcattctccctcctcctaatcgtaatttgctgaagttattgcttgatctcctataccagacagcaaagaaacaagacaagaacaagatgtcagcctataaccttgcccttatgtttgcaccccacgtcctgtggccaaaaaatgtcactgcaaatgaccttcaggagaatatcacaaagttaaacagtgggatggcttttatgattaaacactcccagaaactttttaaggctcctgcttacattcgggagtgtgcgagattgcactatttgggatccagaactcaggcatcaaaggatgaccttgacctcatagcttcatgtcatactaagtcctttcagctggcaaagtctcagaaacggaaccgggtagattcctgccctcaccaggaggagacccagcaccatacggaagaggcactgagagagctgtttcaacacgttcatgatatgccagagtcagcaaagaagaaacaacttattagacagtttaataagcaatcattgacccagacaccagggcgagaaccttctacttcccaggtacaaaagagggctcgttcgcgctccttcagtgggcttattaagcggaaggtcctgggaaatcagatgatgtcagaaaagaaaaagaagaaccctactccagaatctgtggccattggtgaattgaagggaaccagcaaagaaaataggaacttattattttctggctctccagctgtcacgatgacaccaacaagattgaagtggtctgaagggaagaaagaggggaaaaaaggatttctcttaattaa</t>
  </si>
  <si>
    <t>ggcgcgccattttcttcatggaagcgatgtccccccagcaggagactctagggggacagccggggcgctcctcttccctgacaggagtgtctcggctcgcgggaggcagctgcaccaagaagaaaatgaaaacactagcagaaaggaggaggagcgctccatctcttatcctggataaagccctacaaaaacggcctactaccagggacagtccttctgctagtgttgacacatgcacatttctgtcatcattagtgtgctccaataggactctgctgattgatggccgggcagaactcaaaagaggcctccagaggcaggagcggcatcttttcctattcaatgatctgtttgttgtggccaaaatcaaatataacaataactttaagataaaaaataaaattaaattaactgatatgtggacagcaagctgtgtggatgaagtgggagaaggcaacaccaatgccatgaaatcctttgttttgggctggcccacagtgaactttgtggccactttcagttctccagaacaaaaggacaaatggctctctctccttcagagatacatcaatctagagaaagaaaaggactacccgaagagcattcccctcaaaatcttcgccaaggacattgggaattgtgcctactctaaaactataacagtaatgaattcagatacagcgaatgaagttatcaacatgtcattaccaatgctagggataactggctctgagagagattaccagttgtgggtcaattctggcaaagaagaggctccatacccactcattgggcatgaatatccatatggaattaaaatgagccatcttcgagactctgcactcctgacaccgggatcaaaggactctaccacccctttcaacctccaggagcccttccttatggaacagctcccccgagagatgcagtgccagttcatcctgaagcccagccgcctggctgcagcccagcaactgagtgattcaggtcataagacatttaaaaggagaagatctatcataaactgggccttctggcgaggttctagcactcacctggacaacttgccctcatcgccaacatcacctatgccaggacagctctttggaatttctctgccaaatatttgtgagaatgacaatctgcccaaacctgtcttggatatgcttttctttcttaatcaaaaaggacctctcaccaaaggtatcttcaggcaatcagccaatgtgaaatcctgcagagaactaaaagagaaattgaattctggagtcgaagtacacctagactgtgaatctatttttgtgatagcatctgtcttaaaggattttctgcgaaatattccaggaagtattttttcatcagatctctatgatcactgggtctctgtaatggatcaaggaaatgatgaagagaaaataaatactgttcaaaggctattagaccagcttccgagagccaatgttgttctcctaaggtatctttttggggtgttacacaacattgagcaacattcctcatccaatcagatgactgcatttaatttagctgtgtgtgtcgctccaagtattctttggcctcctgcttcctccagcccagaactagaaaacgaatttacaaaaaaggtttccctgcttatacaatttctgattgagaattgccttaggatatttggagaagaaatcacttccctcttcagagaggtttcagtgagatgtgacactagagagaatgcctcagatatttcttgctttcaactgaatgactcctcctatgacagcttggaaaatgagctaaatgaggatgttgatgcaccatgcagtgacttggtaaagaaacttggccaggggagcagaagcatggactctgtcttaaccctcagtgactatgatcttgaccagcccgaggtggaaggccttttaaccctaagcgactttgacttggcccattctaaagatgaagatgttcaaatgaaacggcctcttgaatccaagccggtgaacattttagtgtacacaaagatcccactgcgggatcatgccagggccccatctgccatgtgcacacccagctacctgtccacagctgcagcaaatgctgcaaaaagcctgaggcgacaccggcgttgctcagagcccagcatcgactatctggattcaaagctttcctacctcagggagttttatcagaaaaagctacgcaagtccagctgtgatgcaattctttctcaaaaagatgaagactatctgaagcagaatcaacccctccaggaggaaggaaagacatgttttaaacagagtttagtcacaggcactgatgtcagcaagaaaaatgccactactcaaaacactaagaagaaaagcttgtctggtagtgaaggaaatcacgtgaaacttttccctaagtctaagccagtggccatttctgtggcatcttatagtcctatgtcctcacaggatcattccaagaaccagccctttgatgtgaatacatctggatactccccaccacacacagcagatgccctcaagggtccaaggacacatcggcgctgctcagagcccaacatagaagaccagaaccgcaagctgacctatctcaggggaatttattcaaagaaacaacataaaaccagctgtgaagctggtctcttgcatggagaggaggattatctcaaacggcataagtctttgcaaatggaggggcagaagctcattaatcagagtttagtcatggggattgaggtgggcaagagtagtgccacaaaccaaaacactgagaaggttttacccccaagattaaacctttgcccaaggaccagctattccagcttatcctccccaggcacttccccatccggctcatcagtaagctcccaagacagtgctttttctcagatttctgaacactctgtgtttacacccactgagacttcctctccaatagattgcacttttcaggctcagagaaaacgggaagacctttctcctgactttagcaatgccagccatgtttccggaatgcccggtccctcatcagggcaggcttgcagccgcccagcctatacaaagaaggacaccatggagtggcattcacaaatgcattctgtaactcttcatcccagcacatggttgagaaatggtgtggccagtttgaaaaactggtccctcaaaaagaaagcaaaggcagccagaccagaggaagagaaaatagcttctccaaaaggacccttagagccacccccacatgcttctggtgttccagaagccaactcactgcaagaggaacaaaaagacttgcccttaagggcagctgaaggactgtcccctgtgcagtcagcccaaaggtgtagttcttctcccttccaggactcagagagacactgtagctctccattcagcctggtggagagcagacttaagctgtgcatgaagtcacatgaggaaatagagcctggtagtcagagctcttctggttctctgccttgggaaagagcctcagccagctcttggactctagaggatgcgaccagcccagactcagggcctacagtggtctgcgacattgaggacaggtatttaaccaaagacattttaattaa</t>
  </si>
  <si>
    <t>ggcgcgccatggacaagctcaaggcctgcgaggtctcaaaaaataaagatggaaaagaacaaagtgaaactgtatcactgtctgaagatgaaacattctcctggccaggtcccaaaacagttacgttgaaaagaacatctcaaggctttggttttacattaagacattttattgtttatcccccagagtctgcaattcaattttcatataaggatgaagaaaatggaaacagaggaggaaaacaaagaaaccgcttggaaccaatggataccatatttgttaagcaagttaaagaaggaggacctgcttttgaagctggattatgtacaggtgaccgaattataaaagtcaatggagaaagtgttattggcaaaacctattcccaagtaattgctttaattcaaaacagtgatacaacattggaacttagtgttatgccaaaagatgaagacattctccaagtgctacagtttacaaaggatgtcacagcactggcatattctcaagatgcctacctgaaaggcaacgaagcttatagcggcaatgcccgcaatatacctgaacctccaccaatctgctatccctggctgccatctgccccatcagccatggcacagccagttgaaatatctcctcctgactcatcattgagcaaacagcaaaccagtacaccagtactgacacaacctggtagggcctatagaatggaaatacaagtgcctccatcaccaacagatgttgcaaaatcaaacacagcagtgtgtgtttgcaatgaaagtgtaaggactgtcattgtgccttctgagaaggttgtagatttgttatccaatagaaacaaccatacaggtccttcacatagaactgaagaagtgaggtatggcgtgagtgagcagacctctttaaaaacagtgtcaagaaccacatcaccaccattatcaattcccaccactcatctaattcatcagcctgcaggctccagatcactggaaccttctggaattttacttaagtctggaaattacagtggacattctgatggaatctcaagcagcagatctcaagctgtggaggctccctctgtatctgttaatcactattcgccaaattcccatcagcacatagactggaaaaactataaaacttacaaagagtatattgataacagacgattgcacataggttgtcggacaatacaagaaagattagatagtttaagagcagcatctcaaagcacgacagattataaccaggtcgtccccaaccgcactactttgcagggacgacgtcgaagcacctctcatgatcgagtgccccagtctgtccagatacggcaacgcagtgtgtcccaagaaagactggaagattctgtgctaatgaagtattgtccaagaagtgcatctcaaggagcactgacgtctccatctgttagttttagtaatcatagaactcgttcatgggattatattgagggacaggatgaaaccttagaaaatgtcaattctggaactccaatacctgattccaatggagagaaaaaacagacttacaagtggagtgggtttactgaacaggatgatagacgaggtatttgtgaaagacctaggcagcaagaaattcataaatcttttcgaggttccaattttactgtggctccaagcgttgttaattctgataacaggcgaatgagtggtagaggagtgggatctgtgtcgcagtttaaaaaaattccaccagatctaaaaacattgcagtcaaacagaaattttcagactacttgtggaatgtcactgcctcggggtatttcacaagacaggtcacctcttgtgaaagtccgaagtaattctctgaaagctccttccacgcatgtcacaaaaccatcatttagccagaaatcatttgtttctatcaaagaccaaagaccagtaaatcacttgcatcagaacagtctgttgaatcagcagacatgggtaaggactgacagtgcccccgatcagcaagtggagactgggaaatccccctctttatctggagcctctgccaagcctgcccctcagtcgagtgaaaacgctggtacttcagatttagaactacctgtcagtcaaaggaatcaagatttaagtttacaagaggctgaaactgagcaatcagatactttagataataaagaagctgtcatcctaagggaaaaacctccatctggacgccagacaccgcagcctttaaggcatcagtcttacatcttggcagtaaatgaccaggagaccgggtcagacactacctgctggctgcccaatgatgcacgtcgagaggtccacataaaaagaatggaggaaagaaaagcctcgagtaccagtccgcctggcgattctttggcttccatcccatttatagatgaaccaactagccctagcattgatcatgatattgcacatatccctgcctctgctgttatatcagcctctacctctcaggtcccctccatagcaacagttcctccttgcctcacaacttcagctccattaattcgccgtcagctctcacatgaccacgaatctgttggccctcctagcctggatgctcagcccaactcaaagacagaaagatcaaaatcatatgatgagggtctggatgattacagagaagatgcaaaattgtcctttaagcacgtatctagtctgaagggaatcaagatcgcagacagccaaaagtcatcagaagactctgggtccagaaaagattcttcctcagaggtcttcagtgatgctgccaaggaagggtggcttcatttccgaccccttgtcaccgataagggcaagcgagttggtggaagtattcggccatggaaacagatgtatgttgtccttcggggtcattcactttacctgtacaaagataaaagagagcagacgactccgtctgaggaagagcagcccatcagtgttaatgcttgcttgatagacatctcttacagtgagaccaagaggaaaaatgtgtttcgactcaccacgtccgactgtgaatgcctgtttcaggctgaagacagagatgatatgctagcttggatcaagacgatccaggagagcagcaacctaaacgaagaggacactggagtcactaacagggatctaattagtcgaagaataaaagaatacaacaatctgatgagcaaagcagaacagttgccaaaaacacctcgccagagtctcagcatcaggcaaactttgcttggtgctaaatcagagccaaagactcaaagcccacactctccgaaggaagagtcggaaaggaaacttctcagtaaagatgataccagtcccccaaaagacaaaggcacatggagaaaaggcattccaagtatcatgagaaagacatttgagaaaaagccaactgctacaggaactttcggcgtccgactagatgactgcccaccagctcatactaatcggtatattccattaatagttgacatatgttgcaaattagttgaagaaagaggtcttgaatatacaggtatttatagagttcctggaaataatgcagccatctcaagtatgcaagaagaactcaacaagggaatggctgatattgatatacaagatgataaatggcgagatttgaatgtgataagcagtttactaaaatccttcttcagaaaactccctgagcctctcttcacaaatgataaatatgctgattttattgaagccaatcgtaaagaagatcctctagatcgtctgaaaacattaaaaagactaattcacgatttgcctgaacatcattatgaaacacttaagttcctttcagctcatctgaagacagtggcagaaaattcagaaaaaaataagatggaaccaagaaacctagcaatagtgtttggtcccacccttgttcgaacatcagaagacaacatgacccacatggtcacccacatgcctgaccagtacaagattgtagaaacgctcatccagcaccatgactggtttttcacagaagaaggtgctgaagagcctcttacaacagtgcaggaggaaagcacagtagactcccagccagtgccaaacatagatcatttactcaccaacattggaaggacaggagtctccccaggagatgtatcagattcagctactagtgactcaacaaaatctaagggttcttggggatctggaaaggatcagtatagcagggaactgcttgtgtcctccatctttgcagctgctagtcgcaagaggaagaagccgaaagaaaaagcacagcctagcagctcagaagatgaactggacaatgtattttttaagaaagaaaatgtggaacagtgtcacaatgatactaaagaggagtccaaaaaagaaagtgagacactgggcagaaaacagaagatcatcattgccaaagaaaacagcactaggaaagaccccagcacgacaaaagatgaaaagatatcactaggaaaagagagcacgccttctgaagaaccctcaccaccacacaactcaaaacacaacaagtcaccaactctcagctgtcgctttgccatcctgaaagagagccccaggtcacttctggcacagaagtcctcccaccttgaagagacaggctctgactctggcactttgctcagcacgtcttcccaggcctccctggcaaggttttccatgaagaaatcaaccagtccagaaacgaaacatagcgagtttttggccaacgtcagcaccatcacctcagattattccaccacatcgtctgctacatacttgactagcctggactccagtcgactgagccctgaggtgcaatccgtggcagagagcaagggggacgaggcagatgacgagagaagcgaactcatcagtgaagggcggcctgtggaaaccgacagcgagagcgagtttcccgtgttccccacagccttgacttcagagaggcttttccgaggaaaactgcaagaagtgactaagagcagccggagaaattctgaaggaagtgaattaagttgcaccgagggaagtttaacatcaagtttagatagccggagacagctcttcagttcccataaactcatcgaatgtgatactctttccaggaaaaaatcagctagattcaagtcagatagtggaagtctaggagatgccaagaatgagaaagaagcaccttcgttaactaaagtgtttgatgttatgaaaaaaggaaagtcaactgggagtttactgacacccaccagaggcgaatccgaaaaacaggaacccacatggaaaacgaaaatagcagatcggttaaaactgagacccagagcccctgcggatgacatgtttggagtagggaatcacaaagtgaatgccgagactgctaaaaggaaaagcatccggcgcagacatacactaggagggcacagagatgctaccgaaatcagcgttttgaatttttggaaagtgcatgagcagagcggggagagagaatctgaactttcagctgtaaaccggttaaaaccaaaatgctcagcccaggacctttccatctcagactggctggccagggaacgcctacgcaccagtacctctgaccttagcagaggagaaatcggagatccccagacagagaacccaagcacacgagaaatagccacgaccgacacacctttgtctcttcattgcaacacaggcagttcttccagcaccttggcttcaacaaacaggccccttctttccataccaccacagtcacctgaccaaataaacggagaaagcttccagaacgtgagcaaaaatgctagttctgcagcgaatgcccaacctcataaactgtctgaaaccccaggcagtaaagcagagtttcatccctgtcttttaattaa</t>
  </si>
  <si>
    <t>ggcgcgccatgctgagcccaaagatcaggcaggccaggagggcccgctccaaaagcctagtgatgggggagcagagccggagccctgggcggatgccgtgccctcacaggctgggccccgtgctgaaggcgggctggctgaagaagcagaggagcatcatgaagaactggcagcagcgctggtttgtgctgcgtggggatcagcttttctactacaaggacaaagatgagatcaagccccagggatttatttctctacaagggacacaggtgactgaacttcctcctggccccgaggacccagggaagcacctctttgagatcagcccaggtggtgctggggagcgggagaaggtgccggccaaccccgaggcgctcctgctcatggccagctcccagcgtgacatggaggactgggtgcaggccatccgccgagtcatctgggccccgctgggcggaggtactgcccgtagatcgcatgcccaccctctagaacccttgcctccagggatctttgggcagcgcctagaggaaacagtccaccacgagcggaagtatggcccccgcctggcgcccctgctggtggagcagtgtgtggacttcatccgggagcgcgggctcactgaggaggggctgttccgcatgccgggccaggccaacctggtgagggacctgcaggattccttcgactgtggggagaagccactgtttgacagcacaacagacgtgcacacggtggcctccctgctgaagctgtacctgcgggagctccccgagcccgtggtccccttcgccaggtacgaggacttcctcagctgcgcccagctgctcaccaaggacgagggggagggcactctggagttggctaaacaagtgagcaaccttcctcaggcaaattacaacctgctcagatacatctgcaagtttctggatgaagttcaggcatactcaaatgtcaacaagatgagtgtccagaatctggcaaccgtttttggacctaacattctgcggccacaggtagaggacccagtaaccatcatggaaggcacttccctcgtccagcacctgatgaccgtcctcatccgcaaacacagccagctcttcacggcaccggtcccggaagggcccacctccccgcgcgggggcctgcaatgcgcagtggggtggggctccgaggaggtcaccagggacagccaaggagagcccggcggccccggcctgcccgcgcacaggacctcttccctggacggggcggccgtggcggtgctctccagaacagcccccacggggccggggagccggtgcagccctgggaagaaggtgcagaccctgcccagttggaagtcctccttccggcagccgaggtccctatcgggaagcccgaaggggggcggctcatccctggaggtgcccatcatctcctccggcgggaactggcttatgaacgggctgtcctccctgcgcggacaccgccgggcctcgtcgggagaccggctcaaggactcgggctccgtgcagagactctccacctacgacaatgtgcccgcgccgggcctggtccccggcatacccagcgtggccagtatggcgtggtccggggcctcgtccagcgagtcgtcggtggggggctcactcagcagctgcacggcctgccgcgccagcgactcgtctgcccgcagttccctgcacaccgactgggccctggagccctccccgctccccagcagcagcgaggaccccaagtccctggacctggaccacagcatggacgaggcgggcgcgggtgccagcaacagcgagcccagcgagccggacagccccacccgggaacacgcgcgccgctccgaggccttacaggggctggtcactgagctcagggccgagctgtgccgccagcggactgagtacgagaggagtgtgaaaagaatcgaagaagggagtgctgacctgagaaaacgaatgtcccggttagaagaagaactggaccaggaaaagaaaaaatacatcatgctggaaataaagctgcggaactctgaacgggcgcgggaggatgcggagaggaggaaccagctgttgcagagggaaatggaggagtttttttcgaccctaggaagcttgactgttggggcaaaaggtgccagggccccaaagtaattaattaa</t>
  </si>
  <si>
    <t>ggcgcgccatgaatggagtcgccttctgcctggtcgggatcccgccccgcccggagccccggcccccacagctgccactgggcccaagagatgggtgctctcctaggcgccccttcccctggcaggggccgaggacgctgctgctgtacaaaagtccccaggacggctttggcttcactctgcgccacttcatcgtgtacccacccgagtcggccgtgcactgcagcctgaaggaggaagagaatggaggccgtggaggaggaccctccccccggtaccgcctggagcccatggacaccatctttgtcaagaatgtgaaggaagacggccctgcccatagggcggggcttcgcacaggagaccggctggtaaaggtgaatggggaaagcgtcattgggaagacctactctcaggtcatagctctgatccagaatagtgatgacactctggagctgtctatcatgcccaaggacgaggacatcctccagctggcctactcccaggatgcctacctgaaagggaacgagccgtattctggagaggcccgcagcatcccagagccaccgccgatctgctacccccgcaagacctacgcccctcctgcccgggcctccaccagggccactatggtgcctgagcccacctcagcactgcccagtgacccccggagtcctgctgcctggagtgacccggggctccgtgtgccacctgctgcccgtgcccacctggacaactcttccttggggatgagccagccccgccccagccctggtgccttcccccacctctcctcggagccccggacgccccgtgccttcccagagcctggcagccgggtgccccccagcagactggagtgccagcaggccttgtcacactggctgtcaaaccaggtaccccgccgggcgggggagagacggtgcccagccatggccccccgggcccgcagcgcctcccaggaccggttggaggaggtggctgccccccgcccgtggccctgctccacctcccaggatgctttgagccagctgggccaggagggctggcaccgagctcgctcagatgactacttgagccgggccacccgttctgccgaggcactggggccaggggcactggtgtcaccccgctttgagcggtgtggctgggcttcccagcgttcgtctgcccgcacccccgcctgcccaactcgggacctgccagggccccaggccccacccccgtctggcctgcagggcctggatgacctcgggtacatcggctaccggagctacagcccatcattccagcgccggaccggcctcctccatgcgctctccttccgggactcaccctttggggggctgcctaccttcaacctggcccagtcccctgcgtcattcccaccagaggcctccgagccacccagggttgtacggccggaacccagcacccgggccctggagcctcctgcggaggatcgcggcgatgaggtggtcctgaggcagaagcccccgacgggccgcaaggttcagctgacccccgcaagacagatgaaccttggatttggtgacgagtccccagagccagaggccagtgggcgaggggaacgcctgggcaggaaggtggcccctttggccaccaccgaagactctctggcttccatcccctttattgatgagcccaccagccccagcattgacctccaagccaagcacgtccctgcctctgctgtggtctccagtgccatgaactcagcccctgtcctgggcaccagcccatcttccccgaccttcactttcaccctcggacgccattactcgcaggactgcagcagcatcaaggctggccgccgctcctcctacctgctggccatcaccacggagcgctccaagtcctgcgatgatggactcaacaccttccgcgacgagggccgggttctgcggcgcctgccaaaccgcatacccagcctgcggatgctccggagcttcttcaccgacgggtccttggatagctggggcacctctgaagatgctgacgctccttctaagcgacactcaacctctgacctctcagatgcgaccttcagcgatatcaggagagaaggctggttgtattataagcagattctcaccaagaaggggaagaaagcgggcagcggcctgcgccagtggaagcgggtgtacgccgcgctgcgggcgcgctcgctctcgctgagcaaggagcggcgggagcccgggccggcggcggcgggggctgcggcggccggcgcaggtgaggacgaggcggcgcccgtctgcatcggctcctgcctcgtggacatctcctacagcgagaccaagaggaggcacgtgttccggctgaccaccgctgacttctgtgaatatctctttcaggctgaggaccgggatgacatgctgggctggatcagagcgatccgggagaacagcagggccgagggcgaggaccccggctgtgccaaccaagctctgatcagcaagaagcttaatgattatcgcaaagtgagccatagctctgggcccaaagctgattcctcccccaaaggctctcgcggcctggggggcctcaagtctgagttcctcaagcagagtgcggcacgtggcctcaggactcaggacctgcccgcagggagcaaggatgacagtgctgcagcccccaaaaccccctggggcatcaacatcatcaagaaaaataagaaggccgctccgagggcgtttggggtcaggctggaggagtgccagccagccacggagaaccagcgcgtccccttaatcgtggctgcatgctgtcgcattgtggaggcacgagggctggagtccacaggcatttaccgagtgcccggcaacaatgcagtggtgtccagcctacaggagcagctcaaccgcgggcctggtgacatcaacctgcaggatgagcgctggcaagacctcaatgtgatcagcagcctgctcaagtccttcttccgaaagctgcccgagcctcttttcactgatgacaaatacaacgacttcatcgaggccaaccgcattgaggacgcgcgggagcgaatgaggacgctgcggaagctgatccgggatctcccaggacactactatgaaacgctcaaattccttgtgggccatctcaagaccatcgctgaccactctgagaaaaacaagatggaaccccggaacctggccctggtctttgggccgacactggtgaggacgtctgaggacaacatgacagacatggtgacccacatgcctgaccgctacaagatcgtggagacactgatccagcactcagactggttcttcagtgacgaagaggacaagggagagagaacccctgtgggcgacaaggagcctcatgcagtgcccaacattgagtacctcctgcccaacattggcaggacagtgccccctggcgacccggggtcagattctaccacctgtagttcagccaagtccaagggttcgtgggcccccaagaaggagccgtacgcccgggagatgctggcgatctccttcatctcggccgtcaaccgcaagcgcaagaagcggcgggaggcgcgggggctgggcagcagcaccgacgacgactcggagcaggaggcgcacaagcctggggcgggggccacagcgccggggactcaggagcggccgcaggggccgctgcctggcgccgtcgcccccgaggcccccggacgcctcagtcccccggcggcgccggaggagcggccggccgcggacacgcgctccattgtgtcgggctactccaccctgtccaccatggaccgcagcgtgtgctcgggcgctagcggtcagcgggcaggggcgggggatgaggcggacgaccagcgtaacgagctgagccacgtggagacggacactgaaggcgcggcgggcgcggggcctggggggcgcctgacacgccggccgtccttcagctcgcaccacctcatgccctgcgacactctggcacgccgccgcctggcccggggccgcccagacggcgagggcgcgggccggggcggtccccgcgccccggagccgcccggctcggcgtcgtccagcagccaggagtcgctgcggcccccggcggcggcgctggcctcccggccctcgcgcatggaggcgctgcgtctaaggctccgcggcacggcggacgacatgctcgccgtgcgcctgcggcggccgctgtcgcccgagacccggcggcgccggagcagctggcgccgccacaccgtggtggtgcagagcccgctgactgacctcaacttcaacgagtggaaggagctgggcggagggggccccccggagcctgcgggcgcgcgggcgcacagtgacaacaaggactccggactcagcagcctggagtccaccaaggcgcgggccccgtcgtccgctgcctcgcagccgcccgcgcccggggacacggggtccctgcagagccagcccccgcgccgctcggccgcctcccgcctgcatcagtgtctgttaattaa</t>
  </si>
  <si>
    <t>ggcgcgccatggaggagaacaatgactccacggagaacccccaacaaggccaagggcggcagaatgccatcaagtgtgggtggctgaggaagcaaggaggctttgtcaagacttggcatactcgctggtttgtgctcaagggggatcagctctattatttcaaagatgaagatgaaaccaagcccttgggtactatttttctgcctggaaataaagtttctgagcatccctgcaatgaagagaacccagggaagttcctttttgaagtagttccaggaggcgatcgagatcggatgacagcaaatcatgaaagctacctcctcatggcaagcacccagaatgatatggaagactgggtgaagtcaatccgccgagtcatatggggacctttcggaggaggcatttttggacagaaactggaggatactgttcgttatgagaagagatatgggaaccgtctggctccgatgttggtggagcagtgcgtggactttatccgacaaagggggctgaaagaagagggtctctttcgactgccaggccaggctaatcttgttaaggagctccaagatgcctttgactgtggggagaagccatcatttgacagcaacacagatgtacacacggtggcatcacttcttaagctgtacctccgagaacttccagaaccagttattccttatgcgaagtatgaagattttttgtcatgtgccaaactgctcagcaaggaagaggaagcaggtgttaaggaattagcaaagcaggtgaagagtttgccagtggtaaattacaacctcctcaagtatatttgcagattcttggatgaagtacagtcctactcgggagttaacaaaatgagtgtgcagaacttggcaacggtctttggtcctaatatcctgcgccccaaagtggaagatcctttgactatcatggagggcactgtggtggtccagcagttgatgtcagtgatgattagcaaacatgattgcctctttcccaaagatgcagaactacaaagcaagccccaagatggagtgagcaacaacaatgaaattcagaagaaagccaccatggggcagttacagaacaaggagaacaataacaccaaggacagccctagtaggcagtgctcctgggacaagtctgagtcaccccagagaagcagcatgaacaatggatcccccacagctctatcaggcagcaaaaccaacagcccaaagaacagtgttcacaagctagatgtgtctagaagcccccctctcatggtcaaaaagaacccagcctttaataagggtagtgggatagttaccaatgggtccttcagcagcagtaatgcagaaggtcttgagaaaacccaaaccacccccaatgggagcctacaggccagaaggagctcttcactgaaggtatctggtaccaaaatgggcacgcacagtgtacagaatggaacggtgcgcatgggcattttgaacagcgacacactcgggaaccccacaaatgttcgaaacatgagctggctgccaaatggctatgtgaccctgagggataacaagcagaaagaacaagctggagagttaggccagcacaacagactgtccacctatgataatgtccatcaacagttctccatgatgaaccttgatgacaagcagagcattgacagtgctacctggtccacttcctcctgtgaaatctccctccctgagaactccaactcctgtcgctcttctaccaccacctgcccagagcaagacttttttggggggaactttgaggaccctgttttggatgggcccccgcaggacgacctttcccaccccagggactatgaaagcaaaagtgaccacaggagtgtgggaggtcgaagtagtcgtgccaccagtagcagtgacaacagtgagacatttgtgggcaacagcagcagcaaccacagtgcactgcacagtttagtttccagcctgaaacaggaaatgaccaaacagaagatagagtatgagtccaggataaagagcttagaacagcgaaacttgactttggaaacagaaatgatgagcctccatgatgaactggatcaggagaggaaaaagttcacaatgatagaaataaaaatgcgaaatgccgagcgagcaaaagaagatgccgagaaaagaaatgacatgctacagaaagaaatggagcagtttttttccacgtttggagaactgacagtggaacccaggagaaccgagagaggaaacacaatatggattcagttaattaa</t>
  </si>
  <si>
    <t>ggcgcgccatgtccctcggtcagtcggcctgtctgttcctctctatagctcggtcaaggagtgtgatgactggcgagcagatggctgccttccatccatcgtccacccccaacccgctggagaggcccatcaagatgggctggctgaagaagcagaggtccatcgtgaagaactggcagcagaggtactttgtgctgagggcgcagcagctctactactacaaggatgaagaggacacgaagccccagggctgcatgtatctaccaggatgtacaatcaaggagatcgccacaaacccagaagaagctgggaagtttgtctttgaaatcattccagcctcatgggaccagaatcgcatgggacaggactcctatgtcctcatggccagctctcaggcggagatggaggagtgggttaaattcctcaggagagttgctggcacaccctgtggagtgtttggccagcgcttggatgagactgtggcctatgaacagaaattcggcccccatctggtgcccatcctggtggagaaatgtgcagagttcatcctggagcacggccggaatgaagagggcatcttccgtctgcctgggcaggacaacctggtgaagcagctgagagacgcttttgatgctggggagcggccctcctttgacagagacacagatgtgcacactgtggcttccctgttaaagctctacctccgagacctcccagagcccgtggttccctggagccagtacgaagggttcctgctctgtgggcagctcacgaatgcggatgaggcaaaggctcagcaggagttgatgaagcagctctccatccttcctcgtgacaactatagtctcctgagctacatctgcaggttcctacatgaaatacagctgaactgtgctgttaacaagatgagtgtggacaacctggctactgtgattggtgtgaatctcatcaggtcgaaggtcgaagaccctgccgtgatcatgagagggactcctcagatccaaagagtgatgactatgatgatcagagaccatgaagtcctcttccccaagtccaaggatatacccctgtcaccccctgcccagaaaaatgaccccaagaaagctccagtggcccgaagctctgtaggctgggatgccactgaagacctccgaatttctaggacagacagcttcagtagcatgacaagcgactctgatacaaccagccccaccggacagcagccgagcgatgcgtttccggaggacagcagcaaagtacccagggaaaagccaggagactggaaaatgcaatctcgtaaaaggactcaaacactccctaaccggaaatgtttcttgacatcagcttttcagggtgccaacagcagcaaaatggagatctttaaaaatgaattctggtcgccttcctcagaggctaaggcaggggaagggcacaggagaacgatgtctcaagacttgcgccaactttctgactcccaacggacttccacctacgataacgtcccttccctgccagggtcccctggggaggaagccagtgcactctcttcccaagcctgtgactccaagggagatactcttgccagtccaaactctgaaactgggcctggaaaaaagaactctggagaagaggaaattgattctttgcagaggatggtccaagagctacgaaaggaaatagaaacacagaagcaaatgtatgaggaacagattaaaaaccttgagaaggaaaattatgacgtttgggctaaagtggtgaggctcaatgaagaactggagaaggaaaagaagaagtctgcagccctagagatcagcctccgcaacatggagcgctcccgggaggatgttgagaagaggaacaaggccttggaagaagaagtcaaggaatttgtcaaatccatgaaggaacccaagaccgaggctttaattaa</t>
  </si>
  <si>
    <t>ggcgcgccatggggctcccagcgctcgagttcagcgactgctgcctcgatagtccgcacttccgagagacgctcaagtcgcacgaagcagagctggacaagaccaacaaattcatcaaggagctcatcaaggacgggaagtcactcataagcgcgctcaagaatttgtcttcagcgaagcggaagtttgcagattccttaaatgaatttaaatttcagtgcataggagatgcagaaacagatgatgagatgtgtatagcaagatctttgcaggagtttgccactgtcctcaggaatcttgaagatgaacggatacggatgattgagaatgccagcgaggtgctcatcactcccttggagaagtttcgaaaggaacagatcggggctgccaaggaagccaaaaagaagtatgacaaagagacagaaaagtattgtggcatcttagaaaaacacttgaatttgtcttccaaaaagaaagaatctcagcttcaggaggcagacagccaagtggacctggtccggcagcatttctatgaagtatccctggaatatgtcttcaaggtgcaggaagtccaagagagaaagatgtttgagtttgtggagcctctgctggccttcctgcaaggactcttcactttctatcaccatggttacgaactggccaaggatttcggggacttcaagacacagttaaccattagcatacagaacacaagaaatcgctttgaaggcactagatcagaagtggaatcactgatgaaaaagatgaaggagaatccccttgagcacaagaccatcagtccctacaccatggagggatacctctacgtgcaggagaaacgtcactttggaacttcttgggtgaagcactactgtacatatcaacgggattccaaacaaatcaccatggtaccatttgaccaaaagtcaggaggaaaagggggagaagatgaatcagttatcctcaaatcctgcacacggcggaaaacagactccattgagaagaggttttgctttgatgtggaagcagtagacaggccaggggttatcaccatgcaagctttgtcggaagaggaccggaggctctggatggaagccatggatggccgggaacctgtctacaactcgaacaaagacagccagagtgaagggactgcgcagttggacagcattggcttcagcataatcaggaaatgcatccatgctgtggaaaccagagggatcaacgagcaagggctgtatcgaattgtgggtgtcaactccagagtgcagaagttgctgagtgtcctgatggaccccaagactgcttctgagacagaaacagatatctgtgctgaatgggagataaagaccatcactagtgctctgaagacctacctaagaatgcttccaggaccactcatgatgtaccagtttcaaagaagtttcatcaaagcagcaaaactggagaaccaggagtctcgggtctctgaaatccacagccttgttcatcggctcccagagaaaaatcggcagatgttacagctgctcatgaaccacttggcaaatgttgctaacaaccacaagcagaatttgatgacggtggcaaaccttggtgtggtgtttggacccactctgctgaggcctcaggaagaaacagtagcagccatcatggacatcaaatttcagaacattgtcattgagatcctaatagaaaaccacgaaaagatatttaacaccgtgcccgatatgcctctcaccaatgcccagctgcacctgtctcggaagaagagcagtgactccaagcccccgtcctgcagcgagaggcccctgacgctcttccacaccgttcagtcaacagagaaacaggaacaaaggaacagcatcatcaactccagtttggaatctgtctcatcaaatccaaacagcatccttaattccagcagcagcttacagcccaacatgaactccagtgacccagacctggctgtggtcaaacccacccggcccaactcactccccccgaatccaagcccaacttcacccctctcgccatcttggcccatgttctcggcgccatccagccctatgcccacctcatccacgtccagcgactcatcccccgtcaggtctgttgcagggtttgtttggttttctgttgctgccgttgttctctcattggctcggtcctctcttcatgcagtgttcagcctcctcgtcaactttgttccctgccatccaaacctgcacttgctttttgacaggccagaagaagcggtacatgaagactccagcacaccgttccggaaggcaaaagccttgtatgcctgcaaagctgaacatgactcagaactttcgttcacagcaggcacggtcttcgataatgttcacccatctcaggagcctggctggttggaggggactctgaacggaaagactggcctcatccctgagaattacgtggagttcctcttaattaa</t>
  </si>
  <si>
    <t>ggcgcgccatggcggcggacgtggtgggggacgtgtacgtgctggtggagcaccccttcgagtacaccggcaaggacgggcgccgcgtggccatccggccgaatgagcgctaccggctgctgcggcgcagcaccgagcactggtggcacgtgcggcgtgagcccggcggccgccccttctacctgcctgcgcagtacgtgcgcgagctgcccgcgctgggcaaccctgccgccgccgcgccgccaggtccccacccgagccccgcggcccctgagccgctcgcctacgactaccggtttgtgagcgcgtctgcgaccgcgggccccgaaggcgcccccgaggagtccggaggccgagccagctccctgtgcggccctgcgcaacgcggcgccgcgacccagcgcagcagcctggcgcccggcctgccagcctgcctgtacctgcggcccgcggcgcccgtgcggcccgcgcagtccctgaacgacctggcctgcgccgccgtctcgcctcccgccggcctcctaggaagcagcggcagcttcaaggcctgcagcgtggcgggctcctgggtgtgcccgcggcctctggcgcgcagcgactcagagaacgtctacgaggtcatccaggacttgcacgtcccgccgcgggaggagagcgcagagcaggtggacgacccaccggagcccgtgtacgcgaacatagagaggcagccccgggccacttcaccgggcgccgctgcagcccctcttcccagcccggtgtgggagacgcacacggacgcgggcaccgggcgcccctactactacaacccagacacgggagttaccacctgggagtcgccctttgaggctgccgagggtgccgccagcccagccacctcccctgcctcggtggacagccacgtgagccttgagaccgagtggggccagtactgggatgaggagagccgcagggtgttcttctacaacccgctgacgggcgagacggcctgggaggacgaggccgagaacgagcccgaggaggagttggagatgcagccgggcctgagccctggcagcccaggggacccgcggccccccactcccgagacggactaccccgagtcgctgaccagttaccccgaggaggactattctcccgtgggctctttcggtgagcccggccctacctctcccttgaccacaccccccggctggtcttgtcatgtcagccaggacaagcagatgctctacaccaaccacttcacccaggagcagtgggtgaggctggaggacccccacgggaagccatacttctacaatccagaggactcctctgttcgatgggagctgccccaggtccctatccctgcccctcggagcatccataaatccagccaggatggtgacaccccagcccaggccagccctccagaggagaagaccaagaccttggacaaggcaggggtgctccatcgcaccaagacggcagacaagggaaagcggctccggaagaagcactggagtgcctcctggactgtgctggagggtggcgtcctgacattcttcaaggactcaaagacctcggctgcaggcggcctgaggcagccttccaagttttccacccctgagtacacagtggagctgaggggggccactctctcctgggcccccaaagacaaatccagtaggaagaatgtgctggagctacggagccgagatggctccgagtacctgatccagcacgactcggaggccatcatcagcacctggcataaggccattgctcagggcatccaggagctgtccgcagagctgcccccagaggaggagagcgagagcagcagagtggacttcgggtcgagtgagcgcttgggaagctggcaggagaaagaggaggacgcgcgaccgaatgcagccgcgcccgccctgggccccgtgggcctggagagcgacttgagcaaggtccggcacaagctccgcaagttcctccagaggcggcccacactgcagtcgctgcgggagaagggctacatcaaagaccaggtgttcggctgcgcgctggccgcgctgtgtgagcgcgagaggagccgggtgccacgcttcgtgcagcagtgcatccgcgccgtcgaggcccgcgggctggacatcgacgggctgtaccgcatcagtggaaacctggccaccatccagaagctacgctataaggtggaccacgatgagcgccttgacctggatgacgggcgctgggaggacgtccacgttatcaccggagccctgaagctcttctttcgggagctgcccgagcccctcttccccttctcgcacttccgccagttcattgcggccatcaagttgcaggaccaggcccggcgcagccgctgtgtgcgtgacttggtgcgctcgctgcccgcccccaaccacgacactctgcggatgctcttccagcacctctgccgggtgatcgagcacggcgagcagaaccgcatgtcggtgcagagcgtggccattgtgttcgggcccacgctgctgcggcccgaggtggaagagaccagcatgcccatgaccatggtgttccagaaccaggtggtggagctcatcctgcagcagtgcgcggacatcttcccgccgcacttaattaa</t>
  </si>
  <si>
    <t>ggcgcgccatggaggtggaggactcgggcggcgtggtgctgaccgcctaccactcgcacgcgcgctcgcaaccgcagggcgctgagccacgctgcgcgtcccgggccagccatccgctcagcagaaaatccattcctcgctgccgacgaatcaacaggatgctctccaatgaatccctgcatcctccctcctttagtcgctccaactctcaagcctcagtagacagcagcgcatccatggaggagttcctgcgggaaattgagagtatcaaagagagcagcgtgggggcgtcgcaggagcagccacccactgctgctgctgctgctgctgaagtcaagccagtggatgaaggagagcttgaagcggagtggctacaagatgtgggattgtcaactctgatctctggcaacgaagaggaagacggtaaagcgctcctgtctacattgactcggacccaagctgctgcagtgaaaaagagatacaacacatatactcagactctgaggaaaaagaataaacaacccgtcagggatgtcagagacatcttcggagtcagcgaatctcctcctagtgattcttgtgagcatgctactcagttggacggtaccaaggaagaaaaagatctgccaggagttaccaagacaagcagacctctgccagacgatgcttctctcagtagtaccaccctatccaatggcgcccaggatgaagaaggtggttttgtggccctacagagtggttctgtgtcaatacttgaggctatcccggatattgctgttcgcaccaatggatctgcagatgctgagcagtcggttcagagcacattgagtgatgatgattatcacgggaagaacgttccagcagaggctgaagagctgtcctttgaggtctcttactcagaaatggtgacagaaatgcctgatagaaataaatggaagaagtcggacattaagaaagaagactatgtcttaactaaatttatcattcagaaaacaagatttgggttggccgagacgggggacctgtctgtggaagacatgaagaaaatccgccacctctctctgattgagctgacagccttcttcgatacttttgggatacaactgaagagaaacaaaaccgagcgagtgagaggccgagacaacgggattttcggagtgccacttacagtcctcctggacaatgaccggaagaaggaccctgcagtgaaagttcccctggtgttacaaaaattttttcagaaagtcgaggaatcaggtctggaatcggaaggaatttttcgactctcgggatgtactgccaaagtcaagcagtaccgcgaagaactggatgccaggttcaatgctgacaagttcaagtgggacaagatgtgtcacagagaagctgcggtcatgttgaaagcattcttcagagagctgcccacctctctcttccctgttgaatatatacccgccttcatctctctgatggaaagaggacctgacatcaaagtgcagtttcaagccttgcacctcatggtcatggccctgcctgatgccaacagggacacagcgcaggctctgatggcattcttcaataaagtgatcgccaacgaatccaagaaccgcatgaacctgtggaacatttccacagtgatggcgcccaacttgttcttcagcagaagcaagcactctgactgcgaggaactgctgctggccaacacggcgacccacatcatccgcctgatgctgaagtaccagaagattctgtggaaggttccatctttcttgatcacccaggtcagaaggatgaatgaggccaccatgctgttgaagaagcagctcccgagtatgaagaagctgctcaggaggaagaccctggatcgagaggtttcaatcctcaagacctcaaaggtaccacaaaaatcaccttcctcaagaagaatgtctgatgtgccagaaggtgtcataagggtccacgctccacttctgtccaaagtgtccatggccattcagctcaacagtcagaccaaagccaaagatgtcctggcgaaatttcagtataagaacccactagcaaccaaacatgtacttcgggggtttctgtgtgtccctgtgcttgaccggtttctagattgcccagtgggccagttaattaa</t>
  </si>
  <si>
    <t>ggcgcgccatgattgctcacaaacagaaaaagacaaagaaaaaacgtgcttgggcatcaggtcaactctctactgatattacaacttctgaaatggggctcaagtccttaagttccaactctatttttgatccggattacatcaaggagttggtgaatgatatcaggaagttctcccacatgttactatatttgaaagaagccatattttcagactgttttaaagaagttattcatatacgtctagaggaactgctccgtgttttaaagtctataatgaataaacatcagaacctcaattctgttgatcttcaaaatgctgcagaaatgctcactgcaaaagtgaaagctgtgaacttcacagaagttaatgaagaaaacaaaaacgatctcttccaggaagtgttttcttctattgaaactttggcatttacctttggaaatatccttacaaacttccttatgggagatgtaggcaatgattcattattgcgactgcctgtttctcgagaaactaagtcgtttgaaaatgtttctgtggaatcagtggactcatccagtgaaaaaggaaatttttcccctttagaactagacaacgtgctgttaaagaacactgactctatcgagctggctttgtcatatgctaaaacttggtcaaaatatactaagaacatagtttcatgggttgaaaaaaagcttaacttggaattggagtccactagaaatatggtcaagttggcagaggcaactagaactaacattggaattcaggagttcatgccactgcagtctctgtttactaatgctcttcttaatgatatagaaagcagtcaccttttacaacaaacaattgcagctctccaggctaacaaatttgtgcagcctctacttggaaggaaaaatgaaatggaaaaacaaaggaaagaaataaaagagctttggaaacaggagcaaaataaaatgcttgaagcagagaatgctctcaaaaaggcaaaattattatgcatgcaacgtcaagatgaatatgagaaagcaaagtcttccatgtttcgtgcagaagaggagcatctgtcttcaagtggcggattagcaaaaaatctcaacaagcaactagaaaaaaagcgaaggttggaagaggaggctctccaaaaagtagaagaagcaaatgaactttacaaagtttgtgtgacaaatgttgaagaaagaagaaatgatctagaaaataccaaaagagaaattttagcacaactccggacacttgttttccagtgtgatcttacccttaaagctgtaacagttaacctcttccacatgcagcatctgcaggctgcttcccttgcagacagtttacagtctctctgtgatagtgccaaactctatgacccaggccaagagtacagtgaatttgtcaaggccacaaattcaactgaagaagaaaaagttgatggaaatgtaaataaacatttaaatagttcccaaccttcaggatttggacctgccaactctttagaggatgttgtacgccttcctgacagttctaataaaattgaagaggacagatgctctaacagtgcagatataacaggtccttcctttataagatcatggacatttgggatgtttagtgattctgagagcactggagggagcagcgaatctagatctctggattcagaatctataagtccaggagactttcatcgaaaacttccacgaacaccatccagtggaactatgtcctctgcagatgatctagatgaaagagagccaccttccccttcagaaactggacccaattcccttggaacatttaagaaaacattgatgtcaaaggcagctctcacacacaagtttcgcaaattgagatcccccacgaaatgtagggattgtgaaggcattgtagtgttccaaggtgttgaatgtgaagagtgtctccttgtttgtcatcgaaagtgtttggaaaatttagtcattatttgtggtcatcagaaacttccaggaaaaatacacttatttggagcagaattcacacaagttgcaaaaaaggaaccagatggtatcccttttatactcaaaatatgtgcctcagagattgaaaatagagctttgtgtctacagggaatttatcgtgtgtgtggaaacaaaataaaaactgaaaaattgtgtcaagctttggaaaatggaatgcacttggtagatatttcagaatttagttcacatgatatctgtgacgtcttgaaattataccttcggcagctcccagaaccatttattttatttcgattgtacaaggaatttatagaccttgcaaaagagatccaacatgtaaatgaagaacaagagacaaaaaagaatagtcttgaagacaaaaaatggccaaatatgtgtatagaaataaaccgaattcttctaaaaagcaaagaccttctaagacaattgccagcatcaaattttaacagtcttcatttccttatagtacatctaaagcgggtagtagatcatgcagaagaaaacaagatgaactccaaaaacttgggggtgatatttggaccaagtctcattaggccaaggcccacaactgctcctatcaccatctcctcccttgcagagtattcaaatcaagcacgcttggtagagtttctcattacttactcacagaagatcttcgatgggtccctacaaccacaagatgttatgtgtagcataggtgttgttgatcaaggctgttttccaaagcctctgttatcaccagaagaaagagacattgaacgttccatgaagtcactatttttttcttcaaaggaagatatccatacttcagagagtgaaagcaaaatttttgaacgagctacatcatttgaggaatcagaacgcaagcaaaatgcgttaggaaaatgtgatgcatgtctcagtgacaaagcacagttgcttctagaccaagaggctgaatcagcatcccaaaagatagaagatggtaaaacccctaagccactttctctgaaatctgataggtcaacaaacaatgtggagaggcatactccaaggaccaagattagacctgtaagtttgcctgtagatagactacttcttgcaagtcctcctaatgagagaaatggcagaaatatgggaaatgtaaatttagacaagttttgcaagaatcctgcctttgaaggagttaatagaaaagacgctgctactactgtttgttccaaatttaatggctttgaccagcaaactctacagaaaattcaggacaaacagtatgaacaaaacagcctaactgccaagactacaatgatcatgcccagtgcactccaggaaaaaggagtgacaacaagcctccagattagtggggaccattctatcaatgccactcaacccagtaagccatatgcagagccagtcaggtcagtgagagaggcatctgagagacggtcttcagattcctaccctctcgctcctgtcagagcacccagaacactgcagcctcaacattggacaacattttataaaccacatgctcccatcatcagtatcagggggaatgaggagaagccagcttcaccctcagcagcagtgcctcctggcacagatcacgatccccacggtctcgtggtgaagtcaatgccagacccagacaaagcatcagcttgtcctgggcaagcaactggtcaacctaaagaagactctgaggagcttggcttgcctgatgtgaatccaatgtgtcagagaccaaggctaaaacgaatgcaacagtttgaagacctcgaagatgaaattccacaatttgtgtagttaattaa</t>
  </si>
  <si>
    <t>ggcgcgccatgaagtctcggcagaaaggaaagaagaagggcagctctaaggaacgggtgtttgggtgtgacctacgtgagcatctacagcactcgggccaggaagtgccccaggtgctacggagctgtgcagagtttgtgcaagagtatggagtggtggatgggatctaccgcctctcaggggtctcctctaacatccagaagctccggcaggagtttgagacggagcggaagccagacctgcgccgggatgtttatctccaggacattcactgcgtctcttccttgtgcaaggcctacttcagagaactcccagatcccctcctcacttatcggctctatgacaagtttgctgaggcagtggccgtgcagctagagccagagcgattggtcaagatcctagaagtgcttcaagaactccctatccaaaactacaggaccctggaattccttatgcgccacttggtccacatggcctcatttagtgcccaaaccaacatgcatgctcgcaatctggcaattgtgtgggcccccaacctgctgaggtctaaggacatagaggcctcaggcttcaatgggacagcagcgttcatggaggttcgagtgcagtccattgttgtggagttcatccttacccatgtggaccagctctttaggggtgactccctctctgctggtgtagacttggagagtggatggaaatcacttccaggagcccgggcatcaggcagctccgaggacctcatgcccacctctcttccctaccacttgcccagcatcttgcaggctggggatggacctccacagatccgaccctaccatactattattgagattgcggaacacaagagaaaggggtcattgaaggtcaggaaatggcgctctatcttcaatttgggtcgatctggacacgagacaaaacgtaaacttccgctgagggttgaggacagggaagaaaaatccagtaaggggacactgcggcctgccaaaagcatggactcgctgagtgctgccgctggggccagtgacgagccggaggggctggtggggtccagcagttctcagccaagctcactgatgcctgagagtttggagagtaattctatggaaggtgaacaggagcctgaagcagaggcaccgggcagtgccaattctgagccgggaactccacgagccgggcgatcagctgttcgggccttaggtagcagtagagcagagcgttgtgctggtgtccacatctcagacccttacaacgtcaacctccctctgcacataacctccatcctcagtgttcctccaaacatcatctctaatgtctccttggtcaggctcacccgaggccttgagtgccctgccctacaaccccggccatgccctgccttgggtcctggccccccagatgagaaatcagaggcaagatcagtcccaggtcccctggatgactcgagccctgcagccatgactcctgccctagaggactccctgtcccaggaagtgcaggactccttctccttcctagaggatttgagcagctcagagcctgagtgggtgggggtggaggagagggaggtggccaaggcagaagccgcaggagcagcaggagcagcagctttctcccttggggaggacgaccctgggatgggctacctggaggagctgctgagagttgggcctcaggtagaagagttctctgtggagccacccctggatgacctgtctctggatgatactcagtatgtcctggctcctaactgctgctcccttgattctgcggtttccacacctgacgtagaagaggactatggggaagaagtcttcttgagtgcctatgatgatctgagtccccttctggggcctaaacccatcaactgggaaggtgtagggagtctggaggaagaggcagcagggtgtgggaaacaacctccaacacaggatgaagaagaacaggcctgctcagaaaccaggcaggaaaaggaggctaagccccggagcacatcagataaccgggaagaagcagaggcaactccagagactgagatggaggctggaaaggctgatgcggaaggaggggaggctgagagaagccaaaaggtgatggatagttttaaagaagggagtagggaagagctagaggccaaggaagaaaattccgaaggtcgagaggttgaaagtataaaggagaccaaggatgtggaaaaaataataggagaaccgggtaaagatgaggagagagagattgggagagaagaaggagctgagaaaggagatgacaccccagtagactctgatatggatccagagcatgtgttccaggaagacctggttcttgaggagagctgggaagttgtccacaagcatgaggctgagaaaggcagagagagtgagaccaaagagctgaggaggaagagtgaccttaagtcaagagaagaccaaggacacagtgaagacagtggaagtccagaagagggtgatgataggaaggaaggggttttcagcaaggaacaaaaaagtatagacgtagaaactgaagtcatgagaggtgttggtgaccacttagaagagggggccctctctgaagggccaggtgtcgagttactgagggttgacagtacagaagaaatcaatgaacagacctctgagatgaaacaagccccgctacagccatctgaaccagagggcatggaggctgagggacagcttaatcctgagacatgtgacctgtattcttgtccctgtgggtcagctggtggtgtgggcatgcgtctggcttccaccctagttcaggtccgacaggtccgctctgtccctgtagtgccccccaaaccacagtttgccaagatgcccagtgcaatgtgtagcaagatccatgtagcacctgcaagcccatgtccaaggcctggtaggcttgatgggactcctggagaaaaagcttggggttctcgagcttcctggaggaatgggggcagtctttcttttgatgctgctgtggccctggcccgggaacgccagaggaccgagtctcagggagttctgcggacccagacctgtactggaggtggggattatagtctcagctccagaacccctccttgtagcatgatccttgcccattcttcccggccccttagctgtttggaacgcccacctgaaggcacagaggggtctgagcccaggagtcggcttagtctgccccctagagagcttcaccctgttgtccctcttgtggcccctcagcgccagacatatgcttttgaaacacagactaatcatgggaaagatgaaggggtattaattaa</t>
  </si>
  <si>
    <t>gtcgacaccatgaagaacaagggtgctaagcagaagctgaaacgaaagggagccgccagcgcgtttggctgtgacctgacggagtatctggaaagctcgggacaggatgttccatacgttttgaagagctgtgcagaatttatagagactcacggcatcgtggatggaatctatcggctttcaggagtcacctcaaacatacaacggctaaggcaagagtttggctcagatcaatgtccagatctgacaagggaagtgtacctccaggacatccactgtgtgggctcgctttgcaagctctactttagggagctgcccaaccccctcctgacttatgagctctatgagaaattcacggaggcagtgtcgcattgccctgaagaaggccaactggcccgaatccaaaatgttatccaggagcttcctccatcccactataggaccttggaatacctgattcgacacctggcccatatcgcctccttcagcagcaagaccaacatgcacgcccggaacctggccctggtgtgggcgccaaacctcctcaggtctaaagaaattgaagccactggttgcaatggagatgcagccttccttgcagtccgggtccagcaggtggtgattgagttcatattgaatcatgtagatcaaatctttaacaacggtgcacctgggtctctggagaatgatgaaaaccggcccatcatgaagagcctgaccttgccagccctctccctgcccatgaagctggtgagccttgaggaagctcaagcccgcagcctggccactaaccatcctgctcgcaaggaaaggagggagaacagcctgcctgagattgtccctcccatgggcaccctcttccacactgtccttgagttaccagacaacaagcgaaagctctccagtaaatcaaagaagtggaaatcaatatttaacctgggacgttctggatcagactccaaatcaaaactgagtagaaatgggagtgtatttgtgagaggacagaggctctcggtggaaaaggctactatccgaccagctaaaagcatggactcactatgttcagtgcctgtggaaggaaaagaaaccaagggaaatttcaatcgaacagttaccaccggtggatttttcattccagcaacaaagatgcactccaccggcaccggcagctcatgtgacctcaccaagcaggagggcgaatggggccaggaggggatgcctcccggggctgagggtggctttgatgtgagcagtgatcgcagccatctccagggcgctcaggcccggcccccaccggaacagctgaaggttttccggcctgttgaggatccggagagcgagcaaacagccccaaagatgttgggtatgttctacacttcgaacgacagccctagcaaatccgtcttcaccagcagcctcttccagatggagccctcgccgcgtaaccagcgcaaggcgctgaacatctccgagccctttgcggtatctgtgccgctccgcgtgtccgcagtcatcagcaccaacagcacgccgtgcagaacacccccgaaggagctgcagtctctttccagcctggaagagttttcttttcatggatcagagagcggaggctggccagaagaagagaaaccgctgggagctgagacttctgcagcttctgtacctaagaaggcaggtcttgaggatgccaaggcagtacctgaagcaccagggacagtggaatgcagcaaaggcctgtcccaggagccaggcgcccacctggaggagaagaaaaccccagaaagctccttgagctctcaacatttaaatgaattagagaagaggccaaatccggagaaggtggtggaggagggacgagaggctggtgagatggagtccagcaccctgcaggagagccccagggccagagccgaagctgtgcttctccatgagatggatgaagatgatctggccaatgccctgatctggcctgagattcaacaggagctgaaaatcattgaatctgaggaggagctctcatcgttgccacctcctgctctgaagaccagcccaattcagcctattctcgagtcgagtctggggccctttattccctcagagcctcctgggagcttgccttgtggctccttccctgctccagtctccacccctctggaggtgtggactagggatccagccaatcagagcacacagggggcttccacagcagccagcagagagaagccggaacctgagcagggcctgcacccagacctcgccagcctggctcctctggaaatagttccttttgagaaggcatctccacaagcaacagtggaagtaggaggcccaggcaatctgtctcctccactcccacctgctcctccccctccaactcctctggaggagtcaactccagtcctgctttcaaagggcagcccggaaagagaagactcatccaggaaattgaggacagatctctacatagaccagctgaagtcccaagacagccctgagatctctagcctctgtcagggagaggaggcaaccccaagacacagtgacaagcaaaattcaaagaatgctgcttctgaggggaaaggctgtggttttccaagcccaaccagggaggttgagatcgtctcacaagaagaggaggatgtaacccattcagtacaggagccttcagactgtgacgaagatgacactgtgacagacattgcccagcatggcctggagatggtggagccctgggaggaaccccagtgggtgacgagtccccttcactctcccaccctgaaagacgcgcacaaggcccaggtacagggccttcagggtcaccagttggagaagaggctttcccacaggcccagccttcgccagagccattctctagatagcaaacccacggttaaaagccagtggactctcgaggttccctcctccagcagctgtgctaatcttgaaacagagaggaattctgaccctcttcagccccaggcacccaggagagagattactggatgggatgagaaagccctgaggtccttcagagagttctctggcctgaaaggggcagaggctcctcccaaccagaagggaccaagtggtgtgcaacccaacccagcagaaaccagccccatcagcctagcagagggaaaggagctagggacacacctggggcacagcagtccacagattaggcaaggtggtgttcctgggccagagagcagcaaggagagttcacccagcgtgcaggacagcacttcgcctggagagcaccccgcaaagttacagctaaagagcacagagtgtgggcccccaaaagggaaaaacaggccttcttccctcaacttggaccctgccattcccattgctgacctcttctggtttgagaatgtggcctcatttagttcacctggaatgcaggtctctgagccaggagacccaaaggtcacatggatgacctcatcttactgtaaagcagacccctggagggtttactcccaggacccccaggacctggacattgttgctcatgcactgacaggccgccgtaactcagctcctgtgagtgtgtcagctgtgagaacctccttcatggtcaaaatgtgccaggccagggcggtcccagtcatccctcccaagattcagtacacccagatcccacagcccctgccctctcagagctcaggggagaatggggttcagcctctggagaggagccaggagggacccagctcaaccagtgggaccactcagaaacctgccaaagatgattctccctcctccctggaaagctcaaaggaagaaaaaccaaagcaagatcccggagccattaagtcctcaccagtggatgccactgcaccctgcatgtgcgagggacctaccctttctccagaaccaggctcgtctaacctgctctccacccaggatgcagtagtgcaatgcagaaagcgcatgtcagagacagagccatctggggacaaccttctttcttcaaaactagagcgaccatctgggggttctaagcctttccacaggtcaaggccaggaagacctcagagcctaatcttattcagtcctcctttccccattatggaccacctgcccccttcatccacagtgacagattccaaggtcctgctgtcccctatcagaagtcccacccagacagtttcccctggccttctttgtggagagttggcagaaaacacatgggtcacaccagaaggggttacacttaggaataaaatgaccatccctaagaatggccagagactagagacctcaaccagctgtttttaccagcctcagcggagatcagtaattctggatggaagaagtgggaggcaaatagaaggaagctt</t>
  </si>
  <si>
    <t>ggcgcgccatggagactgaaagtgagagtagcactttaggggatgacagtgtcttctggttggagtctgaagttataatccaggtgactgactgtgaagaggaagaaagggaagagaagttcaggaagatgaagtcctcagtacattctgaagaagatgattttgttccagagctacatagaaatgtacaccctcgagagcggcctgattgggaagaaactcttagcgcaatggcaagaggcgcagatgttccagagattcctggagatcttactcttaagacgtgtggcagtacagccagtatgaaggttaagcatgtgaaaaagttacccttcactaaaggtcactttccgaagatggctgaatgtgcgcatttccattatgagaatgttgagttcggcagcatacagctttcactttcagaagaacagaatgaagtaatgaaaaatggctgtgaatctaaagagctggtctacctcgtgcagattgcttgtcagggaaaaagttggattgttaaaagaagttatgaagattttcgggtacttgataaacatcttcatctgtgtatttatgaccgaagattttcccagctctcagaacttccccgttctgacaccctgaaggacagtccagagtcggtcactcagatgcttatggcttacctgtcacgcctttcagctatcgctggcaacaagatcaactgtgggcccgcccttacctggatggagattgataataagggaaatcaccttttggttcatgaggagtcatccatcaacactcctgctgtcggtgctgcccatgttatcaagaggtacactgctcgggcccctgacgaactgaccttagaggtgggagacattgtttctgttattgacatgcccccgaaagtgttaagcacatggtggagaggcaagcacggattccaggtgggactcttccctggacactgtgttgagttgattaaccaaaaagttccccagtcagtgaccaactcagtgccaaaaccagtgtctaaaaagcacggcaagctcattacgttcttacgaacattcatgaagtctcgtccaacaaaacagaagctgaagcagcggggaatcttgaaagagagggtgtttggttgtgacctgggggaacaccttctaaattctggttttgaagtgccgcaggttcttcaaagctgcacagcattcattgagagatatggcatcgtggatggaatctatcgcctttctggtgttgcctccaatatccagagactacgccatgaatttgactctgagcacgtccccgacctgacgaaagaaccgtatgttcaggacatccattctgtgggttccctatgtaagctgtacttccgggaactcccaaaccctctgcttacctaccagctgtatgagaaattttctgatgcagtttcagcagcaacagatgaagaaaggctgataaaaatccacgatgtcatccagcagctccccccaccacactacagaacactggagttcctgatgagacacttgtctcttctagctgactattgttccatcacaaatatgcatgcaaaaaatctagcaattgtttgggctccaaacctgttaagatcaaaacagatagaatctgcctgcttcagtggaacagcagctttcatggaagtgaggattcagtctgtggttgttgagttcatcctgaatcacgttgatgtgctgttcagcggcagaatcagcatggccatgcaagagggggcagcttctctatcaaggcccaagtccctcctggtatcctctccatccaccaaactgctgacattggaagaggcccaggcacgaacacaagctcaggtcaattctccaattgtgacggaaaataaatatatcgaagtaggagaaggacctgctgcacttcaggggaaatttcataccataattgagttcccacttgaaagaaagaggcctcaaaataagatgaaaaagtctcctgtgggtagctggcgttcctttttcaacttggggaaatcatcatctgtttctaaacgaaagctgcagcggaatgagagtgagccttcagagatgaaagccatggctctgaaaggtggcagggcagaaggaaccctccgttcagctaaaagtgaggagtctcttacatctctccatgcagttgatggtgattctaagctcttccgacccagaagacccagatcttccagtgatgcactgtctgcctcttttaatggagaaatgctggggaaccgctgtaactcctatgataatctgcctcatgacaatgagagtgaggaggaaggagggctgcttcatatcccagcccttatgtctcctcattcagctgaggatgttgacttgagcccaccagacattggagtagccagcctggattttgatccaatgtcatttcaatgtagtcctcctaaggccgaatcagaatgtctggagagtggtgcttcctttttagattcaccaggatactccaaggataaaccaagtgccaataaaaaggatgcagaaacaggtagtagccaatgtcagactccaggaagcacagcaagctctgaacctgtctctcctcttcaggagaaactgagtccattctttaccctggacttgagcccaactgaagataaatcatctaagccatcctcctttactgaaaaggtcgtctatgctttctctccgaagataggacggaaattaagcaaatcaccttctatgagcatatctgagccaatttcagtgaccctaccaccacgggtgtcagaagtcattggtacagtctcaaataccacagctcagaatgcatcatcttcaacctgggacaaatgcgttgaagaaagggatgccacaaatagatcccccacccagatagtaaagatgaaaacaaatgagacagttgcccaagaagcatatgaatctgaagtccagcccctggaccaggtggctgctgaagaagtagaattgccagggaaagaggatcagtctgtctcaagcagtcagagtaaggctgtagcttctggacagactcagacaggagcagttacccatgacccccctcaggattccgttcctgtcagttcagtctctcttatcccaccaccaccgcctccgaaaaatgttgcccgaatgttggcgctagcattagctgagtccgcacagcaagcctcaactcagtcattgaagagaccagggacctctcaggctgggtatacaaattatggagacatagcggtggctacaactgaagataatctgtccagttcttactctgcagttgctctagataaggcctatttccaaaccgatcgaccagcagagcagttccacctccagaataatgcaccaggaaactgtgaccatcctctaccagagacaacagctactggggatcctacccattccaacacaactgaatctggggagcaacatcaccaagtagacttaacagggaatcagccacatcaagcatatttatctggggacccagaaaaggccagaattacttcagttcccttagactcagagaagtctgatgatcatgtaagtttccctgaagaccagtctgggaagaacagtatgccaactgtctccttcttggatcaggaccagtctccaccccgtttctacagtggagatcagcctccttcttatcttggtgcaagtgtggataaactccatcaccctttagaatttgcagacaaatctcccacacctcctaatttacctagcgataaaatctaccctccttctgggtcccccgaagagaataccagcacagccaccatgacttacatgacaactactccagcaacagcccaaatgagcaccaaggaagccagctgggatgtggctgaacaacccaccactgctgattttgctgctgccacacttcagcgcacgcacagaactaatcgtccccttccccctccgccttcccagagatctgcagagcagccaccagttgtggggcaggtacaagcagcaaccaatataggattaaataattcccacaaggttcaaggagtagttccagttccagagaggccacctgaacctcgagccatggatgaccctgcgtctgccttcatcagtgacagtggtgctgctgctgctcagtgtcccatggctacagctgtccagccaggcctgcctgagaaagtgcgggacggtgcccgggtcccgctgctgcacctgcgcgccgagtctgtccctgcgcatccctgtggctttcctgcaccactgccccccaccaggatgatggagagtaagatgattgctgccatacactccagcagtgcagatgccaccagcagttcaaattatcattcctttgtcactgcttcatccacctctgtggacgatgcattgcctttaccacttcctgtcccacaacctaagcatgcttctcagaaaacagtttactcctcctttgctaggcccgatgtcaccactgaaccctttggtccagataactgtttgcatttcaatatgactccaaactgccagtaccgtccccagagtgtacctccccatcacaataaattggagcagcaccaagtgtatggtgccaggtcagagccaccagcctccatgggtcttcgttataacacatatgtggccccaggaagaaacgcatctggacaccactccaagccatgcagccgggtcgagtatgtgtcttctttgagctcctctgtcaggaatacctgttaccccgaagacattccaccgtaccctaccatccggagagtgcagtctctccatgctccgccgtcttccatgattcgctctgttcccatttcacggacagaagttcccccagatgatgagccagcctactgcccaagacctctgtaccaatataagccatatcagtcctcccaggcccgctcagattatcatgtcactcagcttcagccttactttgagaatggccgggtccactacaggtatagcccatattccagttcttctagttcctattacagtccagatggggccctgtgtgatgtggatgcctatggcacagtccagttgagaccccttcaccgccttcccaatcgagactttgctttctacaatcctaggctgcaaggaaagagcttgtacagttatgctggtttggctccacgtccccgggccaacgtgactggctatttctctcccaacgaccataatgtagtcagcatgcctccggctgctgatgtgaagcacacctacacctcatgggatcttgaggacatggaaaaataccgcatgcagtccatccggagagagagccgtgctcggcagaaggtgaaagggcctgtcatgtcccaatatgataacatgaccccggcggtgcaggacgacttgggtgggatctatgtcatccatctgcgtagtaaatcagatcctgggaaaactggacttctctcagtggcagaaggaaaggagagccgccatgcagccaaggccatcagtcccgagggagaggaccgcttctataggaggcatcccgaggcagagatggacagagcccaccatcacggaggccatggtagcacgcagccggagaagccatccctgcctcagaagcagagcagcctgaggagcaggaagcttcctgacatgggctgcagtcttcctgagcacagggcacaccaagaagcaagccataggcagttctgtgagtcaaagaatgggcccccttatccccagggagctggccagttagattatgggtccaaagggattccagacacttctgagccagtcagctaccacaactctggagtaaaatatgctgcatccgggcaagaatctttaagactgaaccacaaagaggtaaggctctccaaagagatggagcgaccctgggttaggcagccttctgccccagagaaacactccagagactgctacaaggaggaagaacacctcactcagtcaatcgtcccaccccctaaaccagagaggagtcatagcctcaaactccatcatacccagaacgtggagagggaccccagtgtgctgtaccagtaccaaccacacggcaagcgccagagcagtgtgactgttgtgtcccagtatgataacctggaagattaccactccctgcctcagcaccagcgaggagtctttggagggggcggcatggggacgtatgtgccccctggctttccccatccacagagcaggacctatgctacagcgttgggtcaaggggccttcctgcccgcagagttgtccttgcagcatcctgaaacacagatccatgcagaattaattaa</t>
  </si>
  <si>
    <t>ggcgcgccatgctccaggcacagaaacagtcagatcccatcctgccttggggagcttcatgggctggcaggggacagactctgagggcccgcagcactgacagcctggatggcccaggggagggctcagtgcagcccgtacccactactggggggccgggtacaaaggggaagcctgggaagaggctctcagctcctcgaggccctttcccccggctggctgactgtgcccatttccactatgagaatgttgactttggccacattcagctcctgctgtctccagagcgtgagggccccagcctctctggagaaaatgagctggtctttggggtacaggtgacctgtcagggccgctcctggccagtcctccggagctatgacgatttccgttctctggatgcccatctccaccggtgcatatttgaccggagattttcctgcctcccagagctccctccacctccagagggtaccagggctgcccagatgctggtaccgctgctgctgcagtacctggagaccctgtcaggactggtggacagtaacctcaactgtggacctgtgctcacttggatggagctggacaaccatggccggcgcctgctcctcagtgaggaagcctccctcaatatccctgctgtggctgctgcccacgtggtcaagcggtacactgcccaggcgccagatgagctgtcctttgaggtgggagacattgtctcagtgatcgacatgccacctacagaggatcggagctggtggcggggcaaacggggcttccaggttggtttcttccccagtgagtgtgtggaactcttcacggagaggccagggcctggcctaaaggcagatgctgacagtcccctgtgtggcatcccagctccccagggcatctcttctctgacctcagctgtgccccggccacgtgggaagctggcaggactcctccgcaccttcatgcgctctcgtccttctcgccagcggctgcgccaacggggaatcctgcggcagagggtgtttggttgtgatcttggagagcacctcagcaactcaggccaagacgtgccccaagtgctgcgctgctgctctgagtttattgaggcccatggtgtggtggatggaatctacaggctctctggcgtgtcctccaacatccagaggcttcggcatgagtttgatagtgagaggatccctgagctgtctggccccgccttcctacaagatatccacagtgtgtcctccctctgcaagctctacttccgggaactgcccaaccccttgctcacctaccagctctatgggaagttcagtgaggctatgtcagtgcctggggaggaagaacgcctagtgcgagtgcatgacgtcatccagcagctgcctccaccacactacaggaccctggagtacctgctgaggcacctggcccgcatggcaagacacagcgctaacaccagcatgcatgcccgcaacctggccattgtctgggcacccaacctgctacggtctatggaactggagtcggtggggctgggtggggcagccgccttccgggaggtccgggtgcagtcggtggtggtggagttcctgcttacccacgtggaggttctgttcagcgatacgttcacctctgctggcctggaccctgcaggtcgctgcctccttcccagacccaagtcccttgcggggagcagtccctccactcgcctgctaacactggaagaagcccaggcacgaactcagggccgtcttggaacacctacagagcccacgactcctaagacgccagcctcaccagtggaaaggaggaaaagagagagggcggagaaacaaaggaagccaggaggtagcagctggaagacattctttgctctggggcggggccccagcataccccggaagaagccgctgccatggctgggtggcagccgagccccaccacagccttcaggcagcagacctgacactgtcacgctgagatctgccaaaagtgaggagtctctgtcatcccaggccagcggggctggcctccagaggctgcaccggctgcgacgaccccactccagcagcgatgcttttcccgtgggcccagcacctgctggctcttgcgagagcttgtcctcttcttcttcctcttcttcctcttcctcctcctcctcctcctcagagtcttcagcaggtggcctggggccactctctggctccccctcacaccgcacctcagcctggctagatgatggcgatgatctggatttcagtccaccccgctgtctggaaggacttcggggacttgactttgatccccttacctttcgctgcagcagccccaccccaggggaccctgcacctcctgccagcccagcacctccagcctcagcctctgccttcccacctcgggcaaccccacaggctctgtcaccccatggacccactaagcctgcttcacccactgccctggacatctcagagcccctggctgtatcagtaccacctgctgtcctggaactactgggagctggaggaacgcctgcctcagccaccccaacaccggctctcagccctcatctcatccccctgctgctgcgtggagctgaggcccagctaagtgacacctgtcagcaggagatcagcagcaagctagcaccaacccggggagctccaggccagcaaagtcctggcggcatggattcaccgttattgcccccacccttgcctctgctgcgccctggtggggctccgccccctccccccaagaacccagctcgtctcatggccctggccttggctgagcgagctcagcaggtagcagagcaacagagccaacaagagcaggggggcaccccacctgctccccactccccctttcgacgctctctgtccctagaggtgggtggggagcctgtggggacttcagggagtgggatacaccctccctccttagctcacccaggtgcctgggctccaggtcccccaccttacctcccaaggcaacagagtgatgggagcctggtaagaagccagcggcccttggggacctcaaggagaagtcccagagggccttcccaggtcagtgcccatctcagggcaagcggggcttacagggatgctccagagatggcagcccagtcaccatgttctgtcccctcacagggttctaaccccagcttcttctcaaccccccgagagtgtttgccacctttccttggcgtccccaaacaaggcttgtactctctgggacccccatccttcccacctagctctccagccccagtctggaggaactctctgggtgccccctcagcattggacaggggagagaatctgtactatgaaattggggtaggggaggggacctcctactcaggccccagccggtcctggagtccgtttcgctccatgcctcccgacaggcataatgcctcctatggtatgcttggccagtcaccaccgctccacaggtcccctgatttcctgctcagctacccgcctcccccctcctgctttcccccagagcaccttacccactcagtttcacagcgccttgcccggcgccctacccgtcctgagcccctctatgtcaacctagccctagggcccaggggcccttcacctgcctcttcttcctcttcctctcctcctgcccaccccaggagccggtcagatcctgggcctcctgttccccgcctccctcagaaacagcgggctccttggggtccacatactccccatcgggtgcctggaccttggggttcccccgaaccttttctgctctataggccagctccaccatcctatgggaggggaggggaggtccgaggatccttgtacagaaatggaggacatagaggagagggggctggtccccctcctccttaccccacacccagctggtccttacattcagaaggacagaccagaagttactgcttaattaa</t>
  </si>
  <si>
    <t>ggcgcgccatgatgatggcaagaaagcaagatgtccgaattcccacctacaacatcagtgtggtgggattatctgggaccgagaaggaaaagggccagtgtgggattggaaagtcttgtttgtgcaaccgcttcgtgcgcccgagtgctgacgagtttcacttggaccatacctccgtcctcagcaccagtgactttggagggcgagtggtcaataatgaccactttctctactggggagaagttagccgctccctggaggattgtgtggaatgtaagatgcacattgtggagcagactgaatttattgatgatcagacttttcaacctcatcgaagcacggccctgcagccctatatcaagagagctgctgcgaccaagcttgcatcagctgaaaaactcatgtacttttgcactgaccagctggggctggagcaggactttgagcagaaacaaatgccagacggaaagctgctggttgatggttttcttcttggtattgatgttagcaggggcatgaataggaactttgatgaccagctcaagtttgtctccaatctctacaatcagcttgcaaaaacaaaaaagcccatagtggtggtcctgactaagtgtgacgaaggtgttgagcggtacattagagatgcacatacttttgccttaagcaaaaagaacctccaggttgtggagacctcagcgagatccaatgtaaacgtggacttggctttcagcaccttagtgcaactcattgataaaagtcggggaaagacaaaaatcattccttattttgaagctctcaagcagcagagtcagcagatagctacagcaaaagacaagtatgagtggctggtgagtcgcattgtgaaaaaccacaatgagaactggctgagtgtcagccgaaagatgcaggcctctccagaataccaggactatgtctacctggaagggactcagaaagccaagaagctgtttctacagcacatccaccgcctcaagcatgagcatatcgagcgtaggagaaagctgtacctggcagccctgccattagcttttgaagctcttatacctaatctagatgaaatagaccacctaagctgcataaaagccaaaaagctcttagaaaccaagccagaattcttgaagtggtttgttgtgcttgaagagaccccatgggatgccaccagtcacattgacaacatggaaaacgaacggattccctttgatttaatggataccgtccctgcagagcagctatacgaggcccacttagagaagctgaggaacgaaaggaaaagagttgagatgcgaagggcgtttaaagaaaacctggagacttctcctttcataactcccggaaagccttgggaagaggcccgtagttttattatgaatgaggatttctaccagtggctggaggaatctgtatacatggatatttatggcaaacaccaaaagcaaattatagataaagcaaaggaagaatttcaggagttgcttttggaatattcagaattgttttatgaactggagctggatgctaagcccagcaaggagaagatgggtgttattcaggatgttctgggagaggaacagcgatttaaagcattacaaaagctccaagcagagcgtgatgcccttattctgaaacacattcattttgtgtaccacccaacaaaggagacatgccccagctgcccagcttgtgtggacgctaagattgagcacttgattagttctcggtttatccggccgtctgaccggaatcagaaaaattcactctctgaccctaacattgatagaatcaacttggttatattgggcaaagacggccttgcccgagagttggccaatgagattcgagctctttgtacaaatgatgacaagtatgtgatagatggtaaaatgtatgagctttccctgaggccaatagaggggaatgtcaggcttcctgtgaactctttccagacgccaacatttcagccccacggctgtctctgcctttacaattcaaaggaatcgctatcctatgtagtggaaagtatagagaagagtagagagtccacgctgggccggcgggataatcatttagtccatctcccccttacattaattttggttaacaagagaggagacaccagtggagagactctgcatagcttaatacagcaaggtcaacaaattgctagcaaacttcagtgtgtctttctcgaccctgcttctgctggcattggttacggacgcaacattaatgaaaagcaaatcagtcaagttttgaagggactcctggactctaagcgtaacttaaacctggtcagttctactgctagcatcaaagatttggctgatgttgatctgcgaattgttatgtgtctgatgtgtggagatccttttagtgcagatgacatactttttcctgtccttcagtcccaaacctgtaaatcttcccattgtggaagcaacaactctgttttacttgaactaccaatcggactgcacaagaagcggattgaactgtctgttctttcataccattcctcctttagcatcagaaagagccggttggttcatgggtacattgttttttattcagccaaacgtaaggcctctttggctatgttacgtgcctttctttgtgaagtgcaggatattatccctattcagcttgtagcactcactgatggcgctgtagatgtcctggacaatgacttaagtagggaacagctaactgagggggaggagattgctcaagaaattgacggaaggttcacaagcatcccctgtagccaaccccagcataaacttgagatctttcacccattttttaaagatgtggtggaaaaaaagaacataatcgaggctactcatatgtacgataatgctgccgaggcctgtagcaccaccgaagaggtgtttaactccccccgggcaggatcaccgctctgcaactcaaacctgcaggattcagaagaagatatcgagccatcttacagcctgtttcgagaagacacatcactgccttctctgtccaaagaccattctaagctctctatggaactggagggaaatgatgggctgtctttcattatgagcaattttgagagtaaactgaacaacaaagtacctccgccagtcaaaccaaagcctcctgtccattttgaaattacaaagggggatctatcttatttagaccaaggccatagggatggacagaggaagtctgtgtcttctagcccctggctgcctcaggatgggtttgatccttctgactatgctgaacccatggatgctgtggtgaagccaaggaatgaagaagaaaacatatactccgtgccccatgacagcacccaaggcaaaatcatcaccattcggaatatcaacaaagcccagtccaacggcagcgggaatggttctgacagtgaaatggacaccagctctctagagcgagggcgcaaggtttccatcgtgagcaagccagtgctgtacaggacgagatgcacccggctggggcggtttgctagttaccggaccagcttcagcgtggggagtgatgatgagctggggcccatccggaagaaagaggaggatcaggcatcccagggttataaaggggacaatgctgtcattccatacgaaacagacgaagacccgcggaggaggaatattcttcgcagcctaaggaggaacactaagaaaccaaagcccaaaccccggccatccatcacaaaggcaacctgggagagtaactattttggggtgcccttaacaactgtcgtgactccagagaagccgatccccatttttattgaaagatgtattgagtacattgaagccacaggactgagcacggaaggcatctaccgggtcagcgggaacaagtctgagatggagagtctgcagagacagtttgatcaagaccacaacctggacctggcagagaaagactttacggtgaataccgtggctggtgccatgaagagctttttctcagaactgcctgaccccctggtcccgtataacatgcagatcgacttggtggaagcacacaaaatcaacgaccgggagcagaagttgcatgcccttaaggaggtattaaagaaatttccaaaggaaaaccacgaagtcttcaagtatgtcatctctcacctaaacaaggtcagccacaacaacaaggtgaatctcatgaccagcgagaacctctccatctgcttctggcccaccttgatgagacctgatttcagcactatggacgccctcacagccacgcgcacctaccagacaatcattgaactctttatccagcagtgccccttcttcttctacaatcggcccatcaccgagccccccggcgccaggcccagctccccctctgccgtggcttccaccgtccccttcctcacttccacgcctgtcacaagtcagccgtcgcccccacagtcgcctccacccaccccccagtccccaatgcagccactgcttccctcccagcttcaagccgaacacacgctgttaattaa</t>
  </si>
  <si>
    <t>ggcgcgccatgagtgtcttgggaggagccccaggacacaaccccgaccgcaggacgaagatggtatcgatacacagcctctctgagctggagcgtctgaagctgcaagagactgcttaccacgaactcgtggccagacatttcctctccgaattcaaacctgacagagctctgcctattgaccgtccgaacaccttggataagtggtttctgattttgagaggacagcagagggctgtatcacacaagacatttggcattagcctggaagaggtcctggtgaacgagtttacccgccgcaagcatcttgaactgacagccacgatgcaggttgaagaagccaccggtcaggctgcgggccgtcgtcggggaaacgtggtgcgaagggtgtttggccgcatccggcgctttttcagtcgcaggcggaatgagcccaccttgccccgggagttcactcgccgtgggcgtcgaggtgcagtgtctgtggatagtctggctgagctggaagacggagccctgctgctgcagaccctgcagctttcaaaaatttcctttccaattggccaacgacttctgggatccaaaaggaagatgagtctcaatccgattgcgaaacaaatcccccaggttgttgaggcttgctgccaattcattgaaaaacatggcttaagcgcagtggggatttttacccttgaatactccgtgcagcgagtgcgtcagctccgtgaagaatttgatcaaggtctggatgtagtgctggatgacaatcagaatgtgcatgatgtggctgcactcctcaaggagtttttccgtgacatgaaggattctctgctgccagatgatctgtacatgtcattcctcctgacagcaactttaaagccccaggatcagctttctgccctgcagttgctggtctacctgatgccaccctgccacagtgataccctggagcgtctgctgaaggccctgcataaaatcactgagaactgcgaggactcaattggcattgatggacagttggtcccaggcaaccgtatgacttccactaacttggccttggtgtttggatctgctctcctgaaaaaaggaaagtttggcaagagagagtccaggaaaacaaagctggggattgatcactatgttgcttctgtcaatgtggtccgtgccatgattgataactgggatgtcctcttccaggtgcctccccatattcagaggcaggttgctaagcgcgtgtggaagtccagcccggaagcacttgattttatcagacgcaggaacttgaggaagatccagagtgcacgcataaagatggaagaggatgcactactttctgatccagtggaaacctctgctgaagcccgggctgctgtccttgctcaaagcaagccttctgatgaaggttcctctgaggagccagctgtgccttccggcactgcccgttcccatgacgatgaggaaggagcgggtaaccctcccattccggagcaagaccgcccattgctccgtgtgccccgggagaaggaggccaaaactggcgtcagctacttctttccttagttaattaa</t>
  </si>
  <si>
    <t>ggcgcgccatgtcccagacgcaggactacgagtgcaggagccataatgtcgacctgccggagtcgaggattccagggtcgaacactcggttggagtgggtggagatcatcgaaccgcgcacccgcgagcgcatgtacgccaacctggtcaccggtgagtgcgtgtgggacccgccggccggcgtccgcatcaagcgcaccagcgagaaccagtggtgggagctgttcgaccccaacacgtcccgcttctactactacaatgccagcacgcagcgcacggtgtggcaccggccgcagggctgcgacatcatcccgctggccaagctgcagacgctgaagcagaacacggagtccccgcgcgcctcggcggagagcagccccgggcgcggcagcagcgtcagccgtgagggcagcaccagctcctccctggagcccgagcccgacactgagaaagcgcaggagttgccagcgagggccgggcggcccgcggcgtttgggacagtgaaggaggacagcggcagctcttcaccaccaggagtgttccttgagaaggactatgagatttaccgggattacagtgcggacggccagcttcttcactacaggacctcctcgctgcggtggaactcgggcgccaaagagcgcatgctcatcaaggtcgctgatcgggagcccagcttcctcgccgcccagggcaatggctacgccccagacggcccacctggggtccgctcccgcagaccctccggcagccagcactcacccagcctgcagaccttcgccccggaggctgacggcaccatcttcttcccagagaggaggccgtcacccttcctgaagagggccgagctcccagggagcagctccccgctgctggcccagccccgaaagccctccggggactcgcagccctcctccccgcgctatggctatgaacccccgctctacgaggagcccccagtggagtaccaggcccccatctacgatgagccccccatggacgtgcaattcgaggctggcgggggctaccaggccggctctccccagcggtcgccgggccgtaagccccggccgttcctccagcccaacaagcagggccccccctcgccctgccagcagctggtgctcaccaagcagaagtgtcccgagcgcttcctgagcctggagtacagtcccgccggcaaggagtacgtgcggcagctggtctacgtggagcaggcgggctccagccccaagctgcgcgccggcccgcggcacaagtacgcgcccaaccccggcggtggttcgtactccttgcagcccagcccctgcctgctgagggaccagcgcctgggcgtcaagtccggagactacagcaccatggagggacctgagctgcggcacagccagccgcccacgccgctgccacaggcccaggaggatgccatgtcctggtccagccagcaggacaccctgtcctccacaggctactccccgggcacgcgcaagcggaagagcagaaagccctctttgtgccaagccaccagcgccacccccactgagggccccggggacctgcttgtggagcagcccctggccgaggaacagcccccgtgcgggaccagcctcgcccccgtgaagcgagcggaaggtgaggccgaaggggcgcggggcgcggccgagcccttcctggcgcaggctcggctggcctgggaggcgcagcaggcccacttccacatgaagcagaggagcagctgggactcccagcaggacggctctggctacgagagcgacggcgccctgccactgcccatgcccgggccggtggtgcgggccttcagcgaggacgaggcgctggcccagcaggagaacaggcactggaggaggggcaccttcgagaagctaggcttcccccagatcctgctggagaagagcgtctccgtgcagaccaacctggcctcaccagagccctacctccacccctcacagtctgaggacctcgctgcctgtgcccagttcgagagcagccggcagagccgcagcggcgttcccagctccagctgcgtcttccccactttcacgctgcgcaagccctcctcggagacggacatcgagaactgggcctccaagcacttcaacaagcacacgcagggcctcttccggcggaaggtgtccatcgccaacatgctggcctggagcagcgagtccatcaagaagcccatgatcgtgacaagcgaccggcacgtgaagaaggaggcctgcgagctcttcaagctgatccagatgtacatgggtgaccggcgggccaaggccgacccactgcacgtggccctggaggtggccaccaagggctggagcgtgcagggcctgcgggacgagctctacatccagctgtgccggcagaccaccgagaacttccgcctggagagcctggcccgcggctgggagctcatggccatctgcctggcctttttcccgcccacccccaagttccactcctacctggaaggctacatctaccggcacatggaccccgtcaatgacactaaagtgacacagcacataaaagagctcctggaaagaaacactaagaagaagtccaaattgagaaagaaacccaagccttatgttgaagagccggatggggtggcgataagcacgtatgccaagtactgttaccacaagctacagaaggcagccctgaccggggccaagaaggggctgaagaagcccaacgtggaggagatccggcatgccaagaacgccgtgttcagcccgtccatgttcggcagcgcactgcaggaggtcatgggcatgcagagagagcgctaccccgagcgccagctgccctgggtgcagacacggctctctgaggaggtgctggcgctcaacggtgaccagacagagggcatcttcagggtccctggggacattgacgaggtgaatgccctgaagctgcaggtggaccagtggaaggtgcccacaggcctggaagacccccacgtccctgcgtccctgctgaagctgtggtaccgggagctggaggagcccctgatcccgcacgagttctacgagcagtgcatcgcgcactacgacagccccgaggcggcggtggccgtggtgcacgcgctgccccgcatcaaccgcatggtgctgtgctacctcatccgcttcctgcaggtcttcgtgcagccggccaacgtcgcggtcaccaagatggatgtcagcaacctggccatggtgatggcgcccaactgcttgcgctgccagtccgacgacccgcgcgtcatcttcgagaacacccgcaaggagatgtccttcctgcgggtgctcatccagcacctggacaccagcttcatggagggtgtgctgttaattaa</t>
  </si>
  <si>
    <t>ggcgcgccatggatcagcttccccagaagaatctcctgcgactacaccctgctggctctgctggctgttccactggagtggagagctccagcatggatggcttttggatggaggtggaacagatccaacagagagatgagctgagggaagaggacagtggcgggaatgaaggccagcttccagaggaaggggaagctgaatcccagtggctgcaggacacaggcctgtcgggcctccttggtggcctgggcttggatggtgatcaccaggagctcctgtccaccctgacacagacccaggtggccgctgtgtgccgccggctggacatctatgctcgctcagtgcgaagacaacacaagacacctgtcagagatgtcagggatgtctttggggtcttcaattcagggaaaatgtcgtcagagaatggcgactccggtatgaagggggcccagctcagttccggggcctctaagtttcctccagcagcagagcctggggggctgcaggagcaggctgggagggaagaagccttcaacatggactctgcctactcagaacaagctgcggtgctcctgcagaggagcaggccatcccggggaggcacctctgcctggggcaagtgttccctgccgaagtttaccgtccccaaaggcagacttggcgtgacgaggataggagacttgtccctgcaggatatgaggaaggtaccttctctggccctcatagagctgaccgcgctctgtgacatcctcggcttggacctgaagaggagcaaggcggggaagtggaaagcggcagaaactcgcctctttggtgtgccccttgacagcctgctagaagctgaccacaaagtcctccccagcacacaggtcccgctggtccttcaagccctgctgtcctgtttggaaaagagaggactggacatggaaggcattctcagggtgcccggatcccaggccagggtcaaggggctggaacagaaactggagagagacttctatgctggcctttttagctgggacgaggttcatcacaatgacgcctctgatttgctcaaaaggttcatccggaagctgccgacacctttgctcacggctgagtacctcccggccttcgccgtggtgcctaacatccccaacctgaagcagcgcctgcaggttcttcacctgctcatcctcatcctcccagaacccaacagaaatgccttaaaggcactgctggaattcctcaggaaggtggtggcccgggaacagcacaacaagatgactctgaggaatgtttccaccgtgatggcccctaacctctttctgcaccaagggcggccccccaagctccccaaaggcaaggagaagcagctggcagaaggggcagccgaggtggtgcagataatggtgcactaccaggatctgctgtggacggtcgcctctttcctggtcgcccaggtgcgaaaactgaacgacagtagcagcaggcgcccccagctctgcgacgcaggcctcaagacttggctgcggaggatgcacgcagacagggacaaggcgggggacggcctcgaggcgactcccaaggtggcaaagatccaggtggtctggcctatcaaggaccccttgaaggtgcctctcacccccagcaccaaagtggcccacgtcctgaggcagttcacagagcacctcagccctggttccaagggtcaagaagacagtgaggacatggacagcctccttctacaccataggtccatggagtcagccaacatcctcctctatgaagttggagggaatatcaatgagcatcgcctggacccagatgcctacctcttagatctgtaccgtgccaacccgcatggtccttttggcttttgggaggcggagactgagactggagtccagaggaccaaggaggacgaggtaactgccgtggtccaggtgggagaaaatgtcgagacccgggtaattgcggctgagctgtccgaggtgctgacggctgggcgagaggagcggttgaatgtatgcacaacgcccagagggactgctattggcaaagtgatggccccacagggaccaaatgtgaagctaaagcaggatacgcaggtcggagataaggccaagaacagattccctttagcgctcaagtgctgtttgtcagaaattgacagccccacggccctggccggaatgtactgcatgaataaagacccctctgtggtgggacccagctgcccgaaggtcagcccctgtgaattaattaa</t>
  </si>
  <si>
    <t>ggcgcgccatggggctgcccactctggagttcagcgattcctacttggacagcccagatttcagggagcgcttgcagtgtcacgagattgagctggagcgaaccaacaagttcatcaaggagctcattaaggacggctctctgctcattggggcgttgaggaatctgtctatggcagtgcagaaattttcccagtcattgcaagatttccagtttgaatgtattggtgatgctgaaacagatgatgaaattagtattgctcagtcactaaaagaatttgcaagactactcattgcagtagaagaagaaaggcgaagactgatccaaaacgctaatgatgtattaattgcaccacttgagaaatttcgaaaagaacagataggtgcagcaaaagatggaaagaagaagtttgacaaagagagtgaaaaatattactctatccttgaaaagcatttaaatttgtccgcaaagaaaaaggagtctcatttacaagaggcagatacacaaattgaccgagaacatcagaacttctatgaagcatcattagaatatgtctttaaaattcaagaggtccaagaaaaaaagaagtttgaatttgttgaaccgcttttgtcatttcttcagggcttatttactttttaccatgagggatatgaacttgcccaggaatttgcaccgtataagcaacagctgcagttcaacttgcagaatacaaggaataattttgaaagtactcgacaagaggtagagcggttgatgcaaaggatgaaatctgccaaccaggactacagaccacccagccagtggacgatggaaggctatctgtatgtccaggagaaacgaccgcttggttttacatggattaaacattattgtacatatgataagggaagtaaaacatttacaatgagtgtttcagaaatgaaatccagtgggaaaatgaatggccttgttactagctcaccggaaatgtttaaattaaaatcttgtatccgacgaaagacagattcaattgacaaacgattctgctttgacatagaagtagttgaaaggcatgggatcatcacgttacaggccttctcagaagctaataggaaactctggcttgaagccatggatgggaaggaaccgatttatactctgcctgccattataagcaagaaagaagaaatgtatttgaatgaagcagggttcaactttgtgagaaaatgcattcaagctgtggaaacaagaggtatcaccattttaggactctaccgaataggaggagtgaactccaaagttcaaaaactcatgaataccacattttctcctaaatcccctcctgatattgatattgatattgaactgtgggacaataagacgataacaagtgggctgaaaaactacctcaggtgccttgcagaaccactgatgacttacaagttgcacaaagattttatcattgctgttaaatctgatgaccaaaactacagggtggaggctgtacatgcattggtgcacaaattgccggagaaaaacagagagatgctggacatcttaataaagcatctggtcaaagtatcactacacagccaacaaaatctcatgactgtctcaaatcttggtgtcatatttggcccaactctaatgagagcacaggaagaaactgtggctgctatgatgaatattaaatttcagaatattgtggtagaaattctgatagagcactatgaaaagatttttcatactgctccagacccaagcattcctcttcctcagcctcagtctcgatctggatcccgaaggacgcgagcaatctgcctctctacagggtctaggaagcccagagggaggtatactccatgcctggctgaacctgatagtgactcctatagcagcagcccagacagcacacctatggggagcattgagtcactctcttctcattcctctgaacaaaatagcactacaaagtcagcttcctgccagcccagggagaaatctggagggattccttggattgcaaccccgtcatcttccaatggacagaaaagccttggtctctggacaactagtcctgaatcaagttccagagaagatgcgaccaagacagatgcagaatcagactgccagagtgttgcttcggtcactagcccaggagacgtttccccacccatagacctagtcaagaaagagccttatgggctttcaggactgaaaagagcttctgcttcttctctcagatccatctctgcagctgaaggaaacaagagctacagtggatctattcaaagcttaacttctgtaggttccaaggagacacccaaagcttcaccaaacccagacctgcctccgaaaatgtgcaggagattaagactagacactgcctcaagcaatggctatcagcgtcctggctcagtagtggcagcaaaagctcaactgtttgaaaatgttggttcacctaaaccagtttcttctgggcgccaagccaaagccatgtactcctgtaaagcagagcacagtcatgagctttccttcccacaaggagcgatattttctaatgtgtacccatcagtggaaccaggatggttaaaggcaacttatgaaggcaaaacaggactagttccagaaaattatgttgtcttcctcttaattaaa</t>
  </si>
  <si>
    <t>ggcgcgccatgaagaagcagttcaatcgcatgcgccagctggccaaccagacggtgggcagggctgaaaagacagaagttttgagtgaagaccttcttcaggtggagaagcgtctggagctggtgaaacaggtgtcccacagcacgcacaagaagctcaccgcatgtctgcagggccagcaaggggcagaggctgacaagcgctccaaaaagttgcctttgacaacactggctcagtgtctgatggaggggtcagctatcctgggagatgacacacttcttgggaagatgctgaaactctgtggagagacggaggacaagctggctcaggagctgatacattttgagttgcaagtagagagagacgtgattgagcccctgtttttgctggcggaggtggaaatcccaaatattcaaaagcagaggaaacacttagccaagttggtgctggacatggattcctcacgaaccaggtggcagcagacttccaagtcttcaggtttgtccagcagcttacagcctgcgggtgccaaggctgatgccctcagggaagaaatggaagaggctgccaacagagtggagatttgcagggaccagctctcagctgatatgtacagttttgtggccaaagaaattgactatgcaaactactttcaaacgctaatagaagtgcaagctgaataccacaggaagtccctgacactattgcaggctgtattgcctcagatcaaagcacaacaggaggcctgggtagagaagccttccttcgggaagccgctggaggagcacctcaccatcagcggccgggagatcgccttccccatcgaggcgtgtgtgaccatgctgcttgagtgtgggatgcaggaggagggactcttccgagtagccccctctgcctccaaactgaagaagctgaaagcggccctggactgctgcgtggtggatgtgcaggagtactcggcagacccccacgcaattgcaggagctttgaaatcttacctccgagagttgccagaacctcttatgacctttgaactctatgatgagtggatccaggcttccaatgtccaggagcaagacaagaagcttcaggctctatggaatgcttgtgaaaagttgcccaaggccaatcacaacaacatccgatacttgataaaatttttatccaagctgtcagaatatcaagatgtaaacaagatgactcccagtaatatggcaattgttttaggacccaacctcctatggccacaagcagaagggaacattacagagatgatgaccacagtgtcgctgcaaattgttgggatcattgaacctatcatccagcatgcagactggttcttccctggggagatagagttcaacattactggcaattatgggagtccagtacacgtgaaccataatgccaactacagctcaatgccctccccagacatggaccctgctgaccggcgccagcccgagcaggcccgccggcccctcagcgtcgccacggataatatgatgctggagttttacaaaaaggatggccttaggaaaatccaaagcatgggtgtgagggtcatggacacaaactgggtggctcgaagaggctcctcggccggtcggaaagtgtcctgcgccccgccctccatgcagcctcccgccccgcccgccgagctggctgcgcccctgccttcgccgctgccggagcagcccctggacagccccgcggcccccgcgctctctccatccggcctgggcctccagcctgggcccgagcgcaccagcacaacaaaaagcaaggaactttctccaggctctgcacagaaaggaagtccaggctccagccagggcacagcctgtgcagggactcaaccaggggctcaacctggagctcagccgggcgccagccccagccccagccagccgcctgcagaccagagtcctcacaccctccggaaagtttcaaagaagctggcaccgattccacccaaggtcccctttggccagccgggggctatggcagaccagtccgctggccagctgtccccagtcagcctgtcccccaccccgcccagcaccccgtcaccctatggactgagctaccctcaggggtactccttggcctcgggccagctctccccagctgcagctcctcccctggcctctccttctgtctttacaagcactttgagcaaatcgcggcccactcctaagccgcgacagagacctactctgccgcctcctcagcctcccacagtaaacctctcggcctctagtccacagtccacggaggcccccatgctagatggcatgtcccctggggaaagcatgtctacagatcttgtccactttgatattccctcgatccacatagagctcgggtcgacgctccgcctgagtcccctggagcacatgcggcgacactcagtaactgacaagagggactcggaggaggagtctgagagcaccgccctcttaattaa</t>
  </si>
  <si>
    <t>ggcgcgcccaatgtggtcccgaagcggccagcgccgggagctgcagcgctgagacccccagcccgccccctcgggctcccggccggggccccatcatgttctccaggaagaaacgagagctcatgaaaaccccttccatctcgaaaaagaaccgcgcgggaagccccagcccgcagccctcgggggagctgcccaggaaggatggggctgacgcggtgttccccggaccaagcctggagccgcccgctgggtcctccggcgtcaaggccacagggaccctcaagcggcccaccagcctgagccgccacgccagcgcggctggcttccccctgtcgggtgctgcctcctggacactgggccggagccaccggagcccactgacagccgccagcccgggcgagctgcccaccgagggtgccggcccggacgtcgtcgaggacatctcccatctgctggcggacgtggcccgcttcgctgagggccttgagaaacttaaggagtgtgtgttgcgtgacgacctccttgaggcccgccgcccgcgggcccacgagtgcctgggtgaggctctgcgtgtcatgcatcagatcatctccaagtacccgctgctgaacaccgtggagacgctcaccgcagccggcaccctcattgccaaggtcaaagccttccattatgagagcaacaatgatctggagaaacaggagttcgagaaggccctggagacgattgctgtggccttcagtagcacagtgtccgagttcctcatgggtgaagtggacagcagcaccctcctagcagtgcctcctggggactcgagccagtccatggaaagcctgtatggaccgggcagtgagggcacgcctcccagcctggaagactgtgacgccggctgcctgcccgccgaggaggtggacgtgctgctacagcgctgtgaggggggcgtggatgccgcactgctgtatgccaagaacatggccaagtacatgaaggacctcatcagctacctggagaagcggacgacgctggagatggagtttgccaagggcctgcagaagatcgctcacaactgcagacagagcgtcatgcaggagccccacatgccgctcctgtccatctactcgctggccctggagcaggacctggagttcggccacagcatggtgcaggcggtgggcaccttgcagacccagaccttcatgcagcccctgaccctgcggcggcttgaacacgagaagcgcaggaaggagatcaaggaggcctggcaccgtgcccagaggaagctgcaagaggcggagtccaacctgcgcaaggccaagcagggttacgtgcagcgctgcgaggaccacgacaaggctcgcttcctcgtggccaaggcggaggaggagcaggctggcagcgcgccgggagcaggcagcacggccaccaagaccctggacaagcggcggcggctggaggaggaggccaagaacaaggcggaggaagctatggccacctaccgcacctgcgtggccgacgcgaagacgcagaagcaggagctggaggataccaaggtgacggcgctgcggcagatccaggaggtcatccggcagagcgaccaaaccatcaagtcggccacgatctcctactaccagatgatgcatatgcagacggcgccgctgcccgtgcacttccagatgctgtgtgagagcagcaagctgtatgacccaggccagcagtacgcctcccacgtgcgccagctgcagcgggaccaggagcccgatgtgcactacgactttgagccccacgtctccgccaacgcctggtcccccgtcatgcgtgcccggaagagcagcttcaacgtgagtgatgtggcgcggccggaggctgccgggagccccccagaagaaggcgggtgcactgagggcacacctgccaaggaccacagggccgggcgaggacaccaggttcacaagtcatggccgctctcgatctcagactcggacagtgggctggaccccggccctggcgcaggggactttaagaagttcgagcggacgtcatccagtggtaccatgtcgtccacggaggagctggtggacccagacggtggagccggggcttcagcctttgagcaggctgacctcaacggcatgacccccgagctgccggtggccgtgcccagtggaccgttccgccacgaggggctgtccaaggcggcccgtactcaccggctccggaagctccgcacgcccgccaagtgccgcgagtgcaacagctacgtctacttccagggtgctgagtgtgaagagtgctgcctggcctgccacaagaaatgtctggagacgctggccatacagtgcgggcacaagaagctgcaaggccgcctgcagctgttcggccaggacttcagccacgcggcccgcagcgcccccgacggcgtgcccttcatcgtcaagaagtgcgtctgcgagatcgagcggcgggcgctgcgcaccaagggcatctaccgggtcaatggggtaaagacacgcgtggagaagctgtgccaggccttcgagaacggcaaggagctggtcgagctgtcgcaggcctcgccccacgacatcagcaacgtcctcaagctctacctgcgtcagcttcccgagccgctcatctccttccgcctctaccacgagctcgtagggctggccaaggacagcctgaaggcagaggccgaggccaaggcggcgtcccggggccggcaggacggctcggagagcgaggcagtggcggtggccctggcaggtcggctgcgggagctcctgcgggacctgccgcctgagaaccgggcctcgctgcagtacctgctgcgtcacctacgcaggatcgtggaggtggagcaggacaacaagatgacccccgggaacctgggcatcgtgttcgggcccacgctgcttcggccacggcccaccgaggccaccgtgtccctctcctccctggtggattatccccatcaggcccgcgtcatcgagactctcatcgtccactacggcctggtcttcgaggaggagccggaggagacccccgggggccaggacgagtcatccaaccagcgagctgaggtagtcgtccaggtgccgtacctggaggcgggcgaggcggtggtctacccgctgcaggaggcggcggcggacgggtgcagagaatcccgagttgtgtccaacgattcggactcggacctagaggaggcctccgagctgctgtcctcatcggaggccagtgccctgggccacctcagcttcctggagcagcagcagagcgaggccagcctagaggtggcttctggcagccacagcggcagtgaggagcagctggaggccacagcccgggaggacggggacggggacgaggacggcccggcccagcagctctcaggattcaacaccaaccagtccaacaacgtgctgcaggccccactgccccccatgaggctccgtggcgggcggatgacactgggctcctgcagggaaaggcagccggaattcgtgttaattaa</t>
  </si>
  <si>
    <t>ggcgcgccatggaagacttcgcccgaggggcggcctccccaggcccctcccggcctggcctggttcccgtcagcatcatcggggctgaggatgaggattttgagaacgagctggagacaaactcagaagagcaaaacagccagttccagagcctggagcaggtgaagcggcgcccagcccacctcatggccctcctgcagcacgtggccctgcagtttgagccaggacccctggttctccgggtgccggtccctcccaacgtcgcctttgaacttgaccgcactagggctgacctcatctccgaggatgtccagcggcggttcgtgcaggaggtggtgcaaagccagcaggtagccgtgggccggcagctggaggacttccgttccaagcggctcatgggcatgacgccctgggagcaggagctggcccagctggaggcttgggttgggcgggaccgagccagctacgaggcccgggagcggcacgtggcggagcggctgctcatgcacctggaggagatgcaacataccatctctaccgacgaagaaaagagtgctgccgtggtcaacgccattggcctgtacatgcgccaccttggggtgcggaccaagagtggagacaagaagtcggggaggaacttcttccggaaaaaggtgatggggaaccggcggtcggacgagcctgccaagaccaagaaggggctgagcagcatcctggatgccgcccgctggaaccggggagagccccaggttccagattttcgacacctcaaagcagaggttgatgccgagaagccaggtgctacagaccggaagggaggcgtggggatgccctctcgggaccggaatatcggggctcctgggcaggacacccctggagtctctctgcaccctctgtccctggacagcccagaccgggaaccaggtgctgacgcccccctggagctgggggactcatccccgcagggcccaatgagcctggagtccttggcgcccccagagagtaccgacgagggggccgaaaccgagagccccgagcctggagatgagggggagccggggcggtcgggactggagcttgaaccagaagagcctcccggctggcgggaactcgtccccccagacaccctgcacagcctgcccaagagccaggtgaagcggcaggaggtcatcagcgagctgctggtgacagaggcggcccacgtgcgcatgctgcgggtgctgcacgacctcttcttccagcccatggcagaatgcctgttcttccccttggaggagctgcagaacatcttccccagcctggacgagctcatcgaggtgcattccctgttcctcgatcgcctgatgaagcggaggcaggagagtggctacctcatcgaggagatcggagacgtgctgctggcccggtttgatggtgctgagggctcctggttccagaaaatctcctcccgcttctgcagccgccagtcatttgccttagagcagctcaaagccaagcaacgcaaggaccctcggttctgtgccttcgtgcaggaagctgagagccgcccgcggtgccgccgcctgcagctgaaggacatgatccccacggagatgcagcggctgaccaagtaccccctgctcctgcagagcatcgggcagaacacagaagagcccacagaacgggagaaagtggagctggcagccgagtgctgccgggaaattctacaccacgtcaaccaagccgtgcgtgacatggaggacctgctgaggctcaaggactatcagcggcgcctggacttgtcccaccttcggcagagcagcgaccctatgctgagcgagttcaagaacctggacatcaccaagaagaaattggtccacgagggcccactgacgtggcgggtgactaaggacaaggcagtggaggtgcatgtgctgctgctggacgacctgctgctgctgctccagcgccaggacgagcggctgctgctcaagtcccatagccggacactgacgcccacgcccgatggcaagaccatgctgcggcccgtgctgcggctcacctccgccatgacccgcgaggtggccaccgatcacaaagccttctacgtcctttttacctgggaccaggaggcccagatatacgagctggtggcacagactgtgtcggagcggaaaaactggtgtgctctcatcactgagactgccggatccctgaaagtccctgcccctgcctctcgccctaagccccggcccagcccgagcagcacccgagaacccctcctcagcagctctgagaacggcaatggtggccgagagacgtctccagctgatgcccggaccgagagaatcctcagtgacctcctgcccttctgcagaccaggccccgagggccagctcgctgccacggcccttcggaaagtgctgtccctgaagcagcttctgtttccggcggaggaagacaatggggcggggcctcctcgagatggggatggggtcccagggggcggccccctgagcccagcacggacccaggaaatccaggagaacctgctcagcttggaggagaccatgaagcagctggaggagttggaggaggaattttgccgcctgagacccctcctgtctcagcttggggggaactctgtcccccagcctggctgcactttaattaa</t>
  </si>
  <si>
    <t>ggcgcgccatgtctcggatcgaatccctcactcgcgcgcggatcgaccggagcaaggagcaggcaaccaagacccgggaaaaggagaagatgaaggaagctaaagatgcccgctataccaacggccacctcttcaccaccatctccgtctccggcatgaccatgtgctatgcctgtaacaagagcatcacagccaaggaagccctcatttgtcctacatgtaacgtgaccatccacaaccgctgtaaagacaccctggccaactgtaccaaggtcaagcagaagcaacagaaagctgcactgctgaggaacaacactgctttgcagtctgtctcccttcgaagtaagacgaccaccagagagcggccaacgtctgccatttacccttccgacagcttccggcagtccctcctgggttctcggcggggcctctcctccttatctttggccaaaagtgtttccactaccaacattgctggacatttcaatgatgagtctcctctggggctgcgtcagatcctctcccagtccacagactccctcaacatgcggaaccgaaccctgtccgtggaatcccttattgatgaaggtgtagaagtgttctacaatgagctgatgagcgactttgagatggatgagaaggactttgaggcggattcttggagccttgccgtggacagcagcttcctgcagcagcacaaaaaggaagtgatgaagaagcaagatgtcatctatgagctgatccagacagagctgcaccacgtgagaaccttgaagattatgacccgcctctttcgcactgggatgctggaagagttgcagatggagccagaagtggtccagggcctgttcccctgcgtggatgaactcagtgacattcacacacgtttccttaatcagcttctggaacggcggcgccaggctctatgtccaggcagcacccggaactttgtcatccatcgtttgggtgacttgctcatcagtcagttctcaggttccaatgctgagcagatgcgcaagacctactcagagttctgcagccgccacaccaaggccttaaagctctataaggagctgtatgctcgagacaaacgcttccaacagttcatccggaaaatgacccgctcagctgtgttgaagcggcatggagttcaggaatgcattctcctggtgactcagcggatcaccaaataccctgtgctcatcaaccgaatcctgcagaattcccacggggttgaagaagagtaccaagacttggcgtcagccctaggactagtgaaggagttgttgtccaatgtggaccaggatgtgcacgagctggagaaagaggcccgcctgcaggagatttacaaccgaatggatccccgggctcagacccccgtacctggcaagggccccttcggccgagatgaacttttacggagaaaacttatccatgaaggctgcctgctctggaagacagccacaggccgcttcaaagatgtcctgttgctgctgatgacagacgtgctcgtgtttctccaggaaaaggaccagaaatacattttcacatccctggacaagccctcagtggtgtccttgcagaacctcatcgtaagagacatagccaaccaggcgaaagggatgtttctgattagttctggaccgcctgagatgtatgaggtgcatgcggcgtcccgagacgaccggactacctggatccgtgtcatccagcagagtgtgcgcctgtgcccgtccagggaggactttcctctgatcgagacagaggataaggcgtatctccggaggatcaagacgaaactgcagcagaaaaaccaggcgctagtggagctgctacagaagaatgttgagctgtttgccgagatggtccacttccaggccttaaaggctggcttcgttggaatgcccccacccgccctgcccaggggccttttccgtcttgagtcctttgagtccctccgaggcgagcgcctgctaaaggatgccctccgtgaagtggaaggcctgaaagacctgctgttgggcccatgtgtggacctgccaacgacatcccgagaaccagccttacccttggactctgacagcggtagctgtcctggggtcactgccaatggagaggccagaaccttcaatggctccattgaactctgtagagcagactcagattccagccagaaggatcggaatggaaatcagttgaggtcaccacaggaggaggtgttacagccattgatcaatctttatggacttctacatggcctgcaggctgttgtggtccagcaggaaagactgatggaagccctgttccctgagggccctgaacggtgggaaaagctatcccgagccaactctcgggatggtgaagctggccgggctgcggttgcttctgtaactcctgagaagcaggccacggagctggcactactgcagaggcaacacaccctgttgcaggaagagctgcggcgctgccagcggctcggggaagagcgggcaactgaagctggcagcctggaagccaggctccgagagagcgagcaagcccgggccctgctggagcgggaggctgaagagatccgccggcagcttgcagccttgggccaaaacgagccactcccggcagaagcgccctgggctcgcaggcctctggacccacggcgccgcagccttccagcgggcgacgctttatacttgagcttcaatcccccccagcccagtcgaggccatgaccgcctggatttgcctgtgactgttcgttccctccaccgaccctttgatgaccgagaggcgcaagaacttggtagccccgaggatcgactgcaggacagcagtgaccctgatactggtagtgaggaggaagtcagtagccgcctgtctccacctcacagtcctcgagacttcacccgaatgcaggacattcctgaagagacagaaagccgagatggggagcccacagcttcagagagcttaattaa</t>
  </si>
  <si>
    <t>ggcgcgccatggtggccaaggattaccccttctacctcactgtcaagagggcaaactgcagcttggaggcgcccctgggcagcggggtggccaaggacgaggaacctagtaacaaaagggtcaaacccctttccagagtcacatcgctagcaaacctcattccacctgtgaagaccacaccattaaagcgcttcagccagaccttgcagcggtccatcagcttccgcagcgagagccgccccgacatccttgccccccgagcttggtccagaaatgccacctcctcaagcacaaagcggagagacagcaaactgtggagtgagaccttcgatgtgtgtgtcaatcaggtgctcacggccaaggagatcaagagacaggaggcgatctttgaactttctcaaggtgaagaagacttgatagaggacttgaaattagcaaaaaaggcctaccacgaccccatgctgaaactctccataatgacggaacaggaactgaatcagatttttgggaccctggactctctaattcctctccatgaagagctcctcagtcagcttcgagatgttcggaaacccgatggctcgactgagcacgttggtcccatcctcgtgggctggctgccctgtctcagctcctacgacagctactgcagcaatcaagtcgccgccaaagccctgctggaccacaaaaagcaggaccacagagtgcaggacttcctccagcgctgtttagaatcacccttcagtcgcaaactcgatctctggaatttccttgatattccccggagccggctagtgaagtatcctctgctccttcgagaaatcctgaggcatacaccaaatgataacccagaccagcagcacctggaagaagctataaacatcatccagggaattgtggcagaaatcaacaccaagactggggaatcggaatgccgctattacaaagagcggctcctttacctggaagaaggccagaaagattctctgattgacagctcaagggtcctgtgttgtcatggagagctgaaaaataaccggggtgtgaaactccatgttttcctgttccaagaagtgctggtgatcacccgagctgtcactcacaacgagcagctctgctatcagttgtaccggcagcccatccctgtgaaggacctcacgctggaagacctgcaggatggagaagtgcggctgggtggctccctgcgcggggccttcagcaacaacgagagagttaaaaacttcttcagagtcagtttcaaaaatggatcccaaagtcagacccactcactacaagccaacgacaccttcaacaaacagcagtggctcaactgtatccgtcaggcaaaagaaactgttctgtctgctgccggccaggctggcttgcttgactctgagggactggtccagggtcccggcactgagaacagggagccacagggagaaacaaaacttgagcagatggaccaatcggacagcgagtcggactgcagtatggacaccagtgaggtcagccttgagtgtgagcggatggaacagacagacgcttcctgtgcaaacagcaggcccgaggagagtgtctgaattaa</t>
  </si>
  <si>
    <t>ggcgcgccgaaggaggccagggtccgcgcggcttgggcacagtgccctggctcagggaccttcctgggagtgagaaccacatgccctgggaagaaccagcaggtgagaagcccagttgctctcacagtcagaaggcgttccacatggagcctgcccagaagccctgcttcaccactgacatggtgacatgggccctcctctgcatctctgcagagactgtgcgtggggaggctccttcacagcctaggggcatccctcaccgctcgcccgtcagtgtggatgacctgtggctggagaagacacagagaaagaagttgcagaagcaggcccacgtcgaaaggaggctgcacataggggcagtgcacaaagatggagtcaagtgctggagaaagacgatcattacctctccagagtctttgaatctccctagaagaagccatccactctcccagagtgctccaacgggactgaaccacatgggctggccagagcacacaccaggcactgccatgcctgatggagctctggacacagctgtctgcgctgacgaagtggggagcgaggaggacctgtatgatgacctgcacagctccagccaccactacagccaccctggagggggtggggagcagctggctatcaatgagctcatcagcgatggcagtgtggtctgcgctgaagcactctgggaccatgtcaccatggacgaccaggagctgggcttcaaagctggggacgtcatcgaagtgatggatgccaccaacagagagtggtggtggggccgggtcgccgatggcgagggctggtttccagccagcttcgttcggctgagggtgaatcaggacgagcccgcggatgacgacgcccctctggccgggaacagcggagcggaggacggcggggcggaggcgcagagcagcaaggaccagatgcggaccaacgtcatcaacgagatcctcagcactgagcgggactacatcaagcacctgcgcgacatctgcgagggctacgtccggcagtgccgcaagcgcgcagacatgttcagcgaggagcagctgcgtaccatcttcgggaacatcgaggacatctaccgctgccagaaggccttcgtgaaggccctggagcagaggttcaaccgcgagcgcccacacctgagcgagctgggtgcctgcttcctggagcatcaagccgacttccagatctactcggagtactgcaataaccaccccaacgcctgcgtggagctctcccggctcaccaagctcagcaagtacgtgtacttcttcgaggcctgccggctgctgcagaagatgattgacatctccctggatggcttcctgctgactccggtgcagaagatctgcaagtaccctctgcagctggccgagctgctcaaatacacgcacccccagcacagggacttcaaggatgttgaagccgccttgcatgccatgaagaacgtggcccagctcatcaacgagcggaagcggagacttgagaacatcgacaagattgctcagtggcagagctccatagaggactgggagggagaagatctcttggtcaggagctcagaactcatctactcgggggagctgactcgagttacacagcctcaagccaaaagccagcagcgaatgttctttctctttgaccaccagctcatctactgtaagaaggacctgctccgccgcgacgtgttgtactacaagggccggctggacatggacggcctggaggtggtggacctggaggacgggaaggacagagacctccatgtgagcatcaagaacgccttccggctgcaccgtggcgccacaggggacagccacctgctgtgcaccaggaagcccgagcagaagcagcgctggctcaaggcctttgccagggagagggagcaggtgcagctggaccaggagacaggcttctccatcactgaactgcagaggaagcaggccatgctgaatgccagcaagcagcaggtcacagggaagcccaaaggtaggcggacagcagccccacctcctcggctgcccggtccttaccctgctgacatcattcccttctctgaaccacaaagccaagccagcttaattaa</t>
  </si>
  <si>
    <t>ggcgcgccatggaggctgaggaggcccagcgtggagcctctcctcccatctctgccatagaggaattcagcattatccctgaggctcccatgaggagcagccaggtctctgccttggggcttgaagctcaagaagatgaggacccatcctataagtggagagaggaacacagactctcagcaactcagcagagtgagttaagggatgtgtgtgactatgcgattgagacgatgccctcttttcccaaggaaggttctgcagatgtggagcccaatcaggaaagccttgtggctgaggcctgtgacactccggaacactgggaggcagtaccccagagcctagcaggccgacaagcaaggactctagctcccccagagctctgggcctgccccattcagagtgagcatctagacatggccccattttccagtgacctgggaggcgaagaagaggaggtggaattttggccaggacttacttctttgacattgggatctggacaggcagaagaagaagaggaaacctcttcagataactctggtcagaccagatattattctccctgcgaagagcatcctgcagagaccaaccagaatgaaggcgctgaaagtgggactatcaggcagggggaagagctgccatctgaggagctgcaggaaagtcaagggctcttgcatccccaggaggtccaagttctggaggagcagggacagcaggaagcaggatttcggggggaaggaactctgagggaggatgtttgtgccgatgggctattaggggaggaacagatgatagagcaggttaatgatgaaaaaggagaacagaagcaaaaacaggaacaggtacaagatgtgatgcttgggagacaaggagaaagaatggggctcactggggagccagagggtctgaatgacggtgagtgggagcaggaggatatggagaggaaggctcagggtcagggaggtccagaacagggagaagagaggaagagggagctgcaggtgccagaagagaacagggcggactctcaggacgaaaagagtcaaacctttttgggaaaatcagaggaagtaactggaaagcaagaagatcatggtataaaggagaaaggggtgccagtcagcgggcaggaggcgaaagagccagagagttgggatgggggcaggctgggggcagtgggaagagcgaggagcagggaagaggagaatgagcatcatgggccttcaatgcccgctctgatagcccctgaggactctcctcactgtgacctgtttccaggtgcctcatatctcgtgactcagattcccgggactcagacagagtccagggctgaggaactgtcccccgcagctctgtctccctcgctagagcccatcaggtgctctcaccagcccatttctctactgggctcctttttgactgaggagtcacctgacaaggaaatagatcaaaacagccagcaagagggatccaggctgaggaagggaacagtgtccagccaagggactgaggtggtctttgccagtgcatctgtgactcctccaaggacaccagattcagctcctcccagtcctgctgaagcctaccccatcacacctgcctcggtatctgccaggcccccagttgcctttcccaggagggaaacctcttgtgctgcacgtgctccagaaactgccagtgcccctctctcaatggatgacccatctccctgtgggacttctgagatgtgcccggctgccctctatggcttcccctccaccgggaccagccctccgaggcccccagccaactccacaggcaccgtccagcacttacggagtgactccttccctggttctcacaggacagagcagactccagacctggtgggaatgttgctttcctactcccactcagagctgccccagaggccccccaaacctgccatctacagctctgtgaccccaagaagggacagaaggagtggtagggactacagcaccgtttcagcatcccctactgccttatccacgctgaagcaggactctcaagaatccatctcaaatctagagagacccagcagtcctcccagcatccagccctgggtctccccacataatccagcctttgccacagagtctcccgcctacggttcttccccatcctttgtctccatggaggatgtgaggatccacgaacctctgccccctcctcccccacagaggagggacacccatccctccgtggtggagacagatggccatgctcgtgtagtggttcccacgctgaagcagcatagccaccctcctccattggccctaggttcagggctgcatgccccccataaaggcccacttccccaagcctctgaccccgctgtggccaggcagcaccgacctctgccatctaccccagacagctcccaccatgctcaggccacccccaggtggagatacaacaagccgctaccccctacccctgatttgccgcagccccaccttcctcccatttctgctcctggtagctcaaggatctacaggcctctacccccactacccatcatagaccctcccaccgaaccacccccattgcccccaaagtccagggggaggagcaggagcactcggggaggacatatgaactcagggggtcatgccaaaacaagacctgcttgtcaagactggacagtccccctccctgcctctgctggacgcacctcctggcccccagccacagctagatcaacagagtctttcacttccaccagcaggagtaagagcgaagtgtcccctggcatggctttcagcaacatgacaaacttcctatgcccctcttcccctaccactccctggactccggagctccagggacccacctctaaggatgaagcaggggtctcagaacaccctgaggcccctgcgagagaacctttgagaaggacaacccctcagcaaggagccagtggcccagggaggtcacctgtgggccaagcaaggcagccagaaaaacccagccatctgcacctggagaaggcgtccagctggccccacaggcgggactcagggaggccaccaggggacagcagtggacaggctgtggctcctagtgagggggccaacaagcacaagggctggagccggcagggcctgcgcagaccttccatcttgcctgagggctcttcagattcaagaggtccagccgtggagaaacatccgggaccctcagacactgttgtttttcgggagaaaaaaccaaaggaggtgatgggaggcttttcaagacgctgctccaaactcatcaactcctcccagctgctttaccaggagtatagtgatgttgtcctgaataaggagatccagagccagcagcggctggagagcctgtccgagacacccgggcctagctctccgcggcagcctcggaaggccctggtctcctccgagtcgtacctgcagcggctctccatggcctccagcggctccctctggcaggaaatccccgtggtgcgcaacagcaccgtgctgctctccatgacccatgaagaccaaaagctgcaagaggtcaaatttgagctgattgtgtcagaggcctcctacctgcgcagtctaaacatagctgtggatcatttccaactttcaacttcactccgggccacactttccaaccaggagcaccaatggctcttctctcgtttacaggatgtgcgagacgtcagcgccacgttcctttcagacctggaagagaactttgagaacaatatcttctccttccaagtatgtgacgtagtcctgaaccacgccccagacttccgccgggtctacctgccttatgtcaccaaccagacctatcaggaacgcaccttccagagcctgatgaatagcaacagcaatttccgggaggtcttggagaagctggagagcgaccccgtctgccagcgcctttccctcaagtcctttctgattctgcccttccaacgcatcacccgcctcaaactgctgctccagaacattctgaagagaacacagcctggctcctcggaggaggcagaggccacgaaggcacaccacgccctggagcagctgatccgggactgcaataacaatgtccagagtatgcgacggacagaggagctaatctacctgagccagaagattgagtttgagtgcaaaatattcccgctcatttctcagtcacgctggctggtgaaaagtggggagctgacagccttggagttcagtgcttccccagggctacgaaggaagctgaacacgcgtccagtccacctgcacctcttcaatgactgtctgctgctgtctcggccccgagagggtagccgattcctggtatttgaccatgctcccttctcctccattcggggggaaaagtgtgaaatgaagctacatggacctcacaaaaacctgttccgactctttctgcggcagaacactcagggcgcccaggccgagttcctcttccgcacggagactcaaagtgaaaagcttcggtggatctcagccttggccatgccaagagaggagttggaccttctggagtgttacaactccccccaggtacagtgccttcgagcctacaagccccgagagaatgatgaattggcactggagaaagccgacgtggtgatggtgactcagcagagcagtgacggctggctggagggcgtgaggctctcagacggggagcgaggctggtttcctgtgcagcaggtggagttcatttccaacccagaggtccgtgcacagaacctgaaggaagctcatcgagtcaagactgccaaactacagctggtggaacagcaagcctaattaattaa</t>
  </si>
  <si>
    <t>ggcgcgccgaagaacaaatcgtgacatggcttatatctttgggagttttagagtcccctaaaaagaccatctgtgatccggaggagtttttaaagtcctcgctgaaaaatggggtagttctgtgcaaactgatcaacagactcatgcctggctctgtggaaaagttttgtctggatccccaaactgaagctgactgcatcaacaacatcaatgacttcctgaaaggatgtgcaaccctccaagtggaaatatttgatcctgatgacctttattcaggggtcaatttctccaaggtactgagtactcttttagctgtcaacaaagcaacagaagatcagctatcagaaagaccatgtggacgttcctcttctcttagtgctgctaatacttctcagacaaacccacagggagcagtttctagcacagtttcagggctgcaaaggcagtcaaagacagtggagatgacggaaaatggaagtcatcagttgatagtaaaagcaagattcaactttaagcagactaatgaggatgaactgtcagtttgtaagggggacatcatttacgtcacacgagttgaagaaggaggctggtgggaaggcacattaaatgggagaacaggctggttccccagtaattatgtccgtgaaattaaatccagtgagagacctctctccccaaaagccgtcaaaggatttgaaactgctccacttaccaagaattattatactgtggtgttacagaacatcctggacactgaaaaagaatatgctaaagaacttcagtctcttcttgttacttacttaagacccctgcagtccaataacaatctgagtactgtggaggttacatctttactgggaaacttcgaggaagtatgcacatttcaacagacactctgccaagccttggaagaatgttcaaagtttccagaaaaccagcacaaagtaggaggttgtctactgagtctcatgcctcattttaaatctatgtatctggcttactgtgcaaaccatccttcagctgtaaatgtgctcactcagcacagtgatgagttggaacaattcatggaaaatcaaggtgcatcgagcccaggtatcctcattttaacaacaaacctcagcaaaccattcatgcgactggagaaatatgttactctcttgcaagagttagaacggcatatggaggatactcatccagatcatcaggatattctgaaagcaatcgtagcattcaaaactctcatggggcaatgtcaagatctgaggaagagaaaacagctggagttacagatactgtccgaacctattcaggcatgggaaggagaagatattaaaaacttgggaaatgtgatttttatgtcacaagtaatggtgcagtatggagcatgtgaggaaaaagaggagcggtaccttatgttattttcaaatgtcctgataatgttatctgcaagtcctcggatgagtggctttatctatcagggaaaaataccaatagcaggaacggtggtgactagattagatgaaattgaagggaatgactgcacatttgaaatcactggtaacacagtggagagaattgtggtccattgtaacaacaaccaggacttccaggaatggttggagcagctgaacagactgatcagaggacctgcctcttgcagttcattatccaaaacctcatcgtcatcatgtagtgctcattcttcttttagctctaccggacagccccgaggacccttggagcctcctcaaattataaaaccgtggagtttaagttgtctacgacctgcacctccacttagaccatcagcagcactaggttataaagagaggatgtcttatatcttaaaggagtctagtaaaagccctaaaacgatgaagaaatttcttcataaaaggaagactgagagaaaaccatcggaggaggaatatgtgattaggaaaagtacagctgctctggaagaggatgctcaaatccttaaagtgatcgaagcctactgcaccagcgcaaattttcaacaaggccatggctcaagtactcgaaaagattccattccacaagtcctactccctgaggaagagaaactcatcattgaagaaaccagaagcaacggccagaccatcatggaagaaaagagccttgttgatactgtttacgccttgaaggacgaggtcagagaactgaagcaggaaaataaaagaatgaagcaatgcctggaagaagaactgaaatcaagaagggacctagaaaagctggtgcggaggcttttgaagcaaacagatgagtgtattcgaggcgagtccagtagcaagacctcaattcttccattaattaa</t>
  </si>
  <si>
    <t>ggcgcgccatgaattccgccgagcaaaccgttacgtggctcatcactctgggggtgctggagtcgcccaaaaaaaccatctcggacccggagggctttctgcaggcgtcgctgaaggatggggtggtcctctgcaggctgctggagcgcctgctccccgggaccatcgagaaagtctaccccgagccccggagcgagagcgagtgcctgagcaacatccgcgagttcctgcgcggctgcggggcttccctgcggctggagctcctgtttcctccttcccagcctcctcagcatctggtaaccaccattctcttgtctgcttctacgtttgatgcaaatgatttgtatcaggggcagaattttaacaaggtcctcagttccttagtgactctaaataaagtaacagcagacatcgggctggggagtgactccgtgtgtgcccggccctcgtctcaccgcataaagtcttttgactcccttggatcacagtctttgcacactcggacttcaaaactgttccagggccagtatcggagtttggacatgaccgataatagcaacaatcaactggtagtaagagcaaagtttaacttccagcagaccaatgaggacgagctttccttctcaaaaggagacgtcatccatgtcacccgtgtggaagagggaggctggtgggagggcacactcaacggccggaccggctggttccccagcaactacgtgcgcgaggtcaaggccagcgagaagcctgtgtctcccaaatcaggaacactgaagagccctcccaaaggatttgatacgactgccataaacaaaagctattacaatgtggtgctacagaatattttagaaacagaaaatgaatattctaaagaacttcagactgtgctttcaacgtacctacggccattgcagaccagtgagaagttaagttcagcaaacatttcatatttaatgggaaatctagaagaaatatgttctttccagcaaatgctcgtacagtctttagaagaatgcaccaagttgcccgaagctcagcagagagtcggaggctgctttttaaacctgatgccacagatgaaaaccctgtacctcacgtattgtgccaatcacccttctgcagtgaatgtcctcacggaacacagtgaggagttgggggagttcatggagaccaaaggtgccagcagccctgggattctcgtgctgaccacgggcctgagcaaacccttcatgcgcctggataaataccctacgctgctcaaagagctcgagagacacatggaggattatcatacagatagacaagatattcaaaaatccatggctgccttcaaaaacctttcagcccaatgtcaagaagtccggaagaggaaagagcttgagctgcagatcctgacggaagccatccggaactgggagggcgatgacattaaaactctgggcaacgtcacttacatgtcccaggtcctgattcagtgtgccggaagtgaggaaaagaatgaaagatatcttctactcttcccaaatgttttgctaatgttgtctgccagtcctaggatgagtggctttatctatcagggaaagcttccaacgacaggaatgacaatcacaaagcttgaggacagtgaaaatcatagaaatgcatttgaaatatcagggagcatgattgagcggatattagtgtcgtgcaacaaccagcaggatctgcaggaatgggtggagcacctacagaagcaaacgaaggtcacgtctgtgggaaaccccaccataaagcctcattcagtgccatctcataccctcccctcccacccggtcactccgtccagcaagcacgcagacagcaagcccgcgccgctgacgcccgcctaccacacgctgccccacccctcccaccacggcaccccgcacaccaccatcaactggggacccctggagcctccgaaaacacccaagccctggagcctgagctgcctgcggcccgcgcctcccctccggccctcagctgctctctgctacaaggaggatcttagtaagagccctaagaccatgaaaaagctgctgcccaagcgcaaacctgaacggaagccttcagatgaggagttcgcgtcccggaaaagcacagctgctttggaagaagatgctcagattctgaaagtcattgaagcttactgcaccagcgccaaaacaaggcaaacactcaattcaacatggcaaggcactgacctgatgcataatcacgtcttggctgatgatgaccaaccaagcctagactccctggggcgtcgcagtagcctttctcgtttggagccttcagacctctcggaagactctgactatgacagtatatggacagcccatagttacagaatgggttctacatctcgtaagagctgttgctcatatatctctcaccagaacttaattaa</t>
  </si>
  <si>
    <t>ggcgcgccatgacgttgctgatcactggagattccatcgttagtgctgaggcagtatgggatcacgtcaccatggccaaccgggagttggcatttaaagctggcgacgtcatcaaagtcttggatgcttccaacaaggattggtggtggggccagatcgacgatgaggagggatggtttcctgccagctttgtgaggctctgggtgaaccaggaggatgaggtggaggaggggcccagcgatgtgcagaacggacacctggaccccaattcagactgcctctgtctggggcggccactacagaaccgggaccagatgcgggccaatgtcatcaatgagataatgagcactgagcgtcactacatcaagcacctcaaggatatttgtgagggctatctgaagcagtgccggaagagaagggacatgttcagtgacgagcaactgaaggtaatctttgggaacattgaagatatctacagatttcagatgggctttgtgagagacctggagaaacagtataacaatgatgacccccacctcagcgagataggaccctgcttcctagagcaccaagatggattctggatatactctgagtattgtaacaaccacctggatgcttgcatggagctctccaaactgatgaaggacagccgctaccagcacttctttgaggcctgtcgcctcttgcagcagatgattgacattgctatcgatggtttccttttgactccagtgcagaagatctgcaagtatcccttacagttggctgagctcctaaagtatactgcccaagaccacagtgactacaggtatgtggcagctgctttggctgtcatgagaaatgtgactcagcagatcaacgaacgcaagcgacgtttagagaatattgacaagattgctcagtggcaggcttctgtcctagactgggagggcgaggacatcctagacaggagctcggagctgatctacactggggagatggcctggatctaccagccctacggccgcaaccagcagcgggtcttcttcctgtttgaccaccagatggtcctctgcaagaaggacctaatccggagagacatcctgtactacaaaggccgcattgacatggataaatatgaggtagttgacattgaggatggcagagatgatgacttcaatgtcagcatgaagaatgcctttaagcttcacaacaaggagactgaggagatacatctgttctttgccaagaagctggaggaaaaaatacgctggctcagggctttcagagaagagaggaaaatggtacaggaagatgaaaaaattggctttgaaatttctgaaaaccagaagaggcaggctgcaatgactgtgagaaaagtccctaagcaaaaaggtgtcaactctgcccgctcagttcctccttcctacccaccaccgcaggacccgttaaaccacggccagtacctggtccccgacggcatcgctcagtcgcaggtctttgagttcaccgaacccaagcgcagccagtcaccattctggcaaaacttcagcaggttaacccccttcaaaaaattaattaa</t>
  </si>
  <si>
    <t>gtcgacaccgggtcgcgggggacgcgggggacgcgggggacgcgggggacggcggggaacggcggggaacagcgggggacggcggggaacagcgggggacggcggggaacagcaggggactgcgggtcgcgtcctggccgccgaggagctccttcccttaacagagctgagagaggcatctggagctgcagcatggaccagcgagagcccctgcctcccgctcctgcagaaaatgaaatgaaatatgataccaataataatgaagaggaagagggagaacagttcgattttgacagtggagatgaaatcccagaagcggacagacaggccccatccgcccctgagacaggaggtgctggagccagtgaagcccctgcacccacaggaggtgaggatggagctggagcagaaaccaccccagtggcagagcctactaagctggtgctcccgatgaaagtcaacccatattctgtcatcgacatcacgccattccaggaggaccagccgcccacccccgtgcccagcgctgaggaggagaatgtgggtctccatgtgccctgcgggtacttggtgcctgtaccctgcggctatgcggtgccctccaacctgcccctcctgctgcccgcctactccagcccggtcatcatctgcgccacgtccctggacgaagaagaaacaccagaagtcacagaagatcgccagcccaattctctgagttccgaggagcctccaaccagtgaagatcaagtcggtcgagaggacagcgcacttgcccgctgggccgcagacccggccaacacagcctggatggagaatccagaggaagcaatttacgatgacgttccaagggaaaactcagactctgaaccagatgaaatgatttatgatgatgttgagaatggggatgaaggtggaaacagctccttggaatacggatggagttcgagtgaatttgaaagttacgaagagcagagtgactcggagtgcaagaatgggattcccaggtccttcctgcgcagcaaccacaaaaagcaactttctcatgacctaacccgtttaaaggagcactatgagaaaaagatgagagatttgatggcaagcacggtgggcgtggtggagattcagcagctcaggcagaagcatgaactgaagatgcagaagctcgtgaaggccgcgaaggacggcaccaaggacgggctggagaggaccagggcagccgtgaagaggggccgctccttcatcaggaccaagtctctcatcgcacaggatcacagatcttctcttgaggaagaacagaatttgttcattgatgttgactgcaagcacccggaagccatcttgaccccgatgcccgagggtttatctcagcagcaggttgtaagaagatatatactgggttcagttgtcgacagtgaaaagaactacgtagatgctcttaagaggattttggagcaatatgagaagccgctgtctgagatggagccaaaggttctgagtgagaggaagctgaagacggtgttctaccgagtcaaagagatcctgcagtgccactcgctatttcagatcgcgctggccagccgcgtttccgagtgggactccgtggaaatgataggcgatgtcttcgtggcttcgttttctaagtccatggtgctggatgcatacagtgaatatgtgaacaatttcagcacagccgtggcagtcctcaagaaaacatgtgccacaaagcccgcttttcttgaatttttaaagcaggaacaggaggccagccccgatcgaaccacgctctacagcctgatgatgaagcccatccagaggttcccacagttcatcctcctgctccaggacatgctgaagaacacctccaaaggccaccccgacaggctgcctcttcagatggccctgacagagctcgaaacactagcagagaagttaaatgaaagaaagagagatgctgatcaacgctgtgaagtgaagcaaatagccaaagccataaacgaaagatacctgaacaagcttctcagcagtggaagccgatacctcattcgatcagatgatatgatagaaacagtttacaacgacagaggagagattgttaaaaccaaagaacgccgagtcttcatgttaaatgatgtgttaatgtgtgccaccgtcagctcacgcccctctcatgacagccgtgtgatgagcagccagaggtacttgctgaagtggagcgttccactgggacatgtggacgccatcgagtatggcagcagcgcaggcacgggcgagcacagcaggcaccttgccgttcacccgccggagagcctggccgtggttgctaacgcgaaaccaaacaaagtttacatggggccaggacaactgtatcaagatttacaaaacttgttgcatgacttaaatgtaattggccaaatcactcagctgataggaaaccttaaaggaaactatcagaacttaaaccagtcagtagcccatgactggacatcaggtttacaaaggcttattttgaagaaagaagatgaaatcagagctgcggactgctgcagaattcagttacagcttcccgggaagcaggacaaatctgggcgaccgacgttctttacagctgtgttcaatacgttcacccctgccatcaaggagtcctgggtcaacagcttacagatggccaagctcgccctagaagaggagaaccacatgggctggttctgtgtggaagacgatgggaatcacattaaaaaggagaagcatcctctcctcgtcggacacatgcccgtgatggtggccaagcagcaggagttcaagattgaatgtgctgcttataaccctgaaccttacctaaataatgaaagccagccagattcattttccacggcacatggtttcctgtggatcggaagttgcacccatcaaatgggtcagattgccatcgtctcgtttcaaaattccactcccaaagtcattgagtgcttcaacgtggaatctcgcatcctgtgcatgctgtacgttcccgtcgaggagaagcgcagagagcctggggcacccccggaccccgagaccccggccgtgagagcttctgatgtccccacgatctgtgtagggacggaggagggaagcatttccatttataaaagcagtcaaggctccaagaaagtgagacttcagcactttttcactcctgagaagtccacagtcatgagcctggcttgcacgtctcagagcctgtacgctggcctggtcaacggggcagtcgccagctacgccagagccccagatggatcctgggattcagaacctcaaaaagtgatcaagttaggcgtcctaccagttagaagtctactcatgatggaagacacgttgtgggcggcttccggaggtcaagtcttcatcatcagtgtggagactcatgctgtagagggtcagctggaggcccaccaggaggaaggcatggtgatctcccacatggccgtgtccggcgtcgggatctggattgccttcacctcagggtccacgctccgcctttttcacacggaaactctcaagcacctgcaggacatcaacatcgccacccctgttcacaacatgctgccagggcaccagcggctgtcggtgacgagcctgctcgtctgccacggattgctgatggtcggcaccagcctgggagtcctcgtggccctgccggtcccacgtctgcaagggattcccaaagtgaccggaagaggcatggtctcctaccatgcacacaacagtcctgtcaaattcatcgtcctggccacggctctgcacgagaaagacaaggacaaatccagggacagcctggctcctggccccgagcctcaggacgaagaccagaaggacgcacttccgagtggaggagctggttcatctctgagccagggtgaccctgacgcagccatctggttgggagattcgctgggatcgatgactcagaaaagcgacctgtcctcctcatctgggtccctgagcttgtctcacggctccagctctctagagcacagatcagaggacagcaccatctatgatctcctgaaggatcctgtctcgctgagaagcaaagcacgccgggccaagaaagccaaggccagctcggcgctggtggtctgtggagggcagggccaccgccgggtgcacaggaaggcccggcagccccaccaggaagagctggcgccgaccgtcatggtctggcagatccctctgctgaatataggaagctt</t>
  </si>
  <si>
    <t>ggcgcgccatggcttcctccaaccctcctccacagcctgccataggagatcagctggttccaggagtcccaggcccctcctctgaggcagaggacgacccaggagaggcgtttgagtttgatgacagtgatgatgaagaggacaccagcgcagccctgggcgtccccagccttgctcctgagagggacacagaccccccactgatccacttggactccatccctgtcactgacccagacccagcagctgctccacccggcacaggggtgccagcctgggtgagcaatggggatgcagcggacgcagccttctccggggcccggcactccagctggaagcggaagagttcccgtcgcattgaccggttcactttccccgccctggaagaggatgtgatttatgacgacgtcccctgcgagagcccagatgcgcatcagcccggggcagagaggaacctgctctacgaggatgcgcaccgggctggggcccctcggcaggcggaggacctaggctggagctccagtgagttcgagagctacagcgaggactcgggggaggaggccaagccggaggtcgaggtcgagcccgccaagcaccgagtgtccttccagcccaagctttctccagacctgactaggctaaaggagagatacgccaggactaagagagacatcttggctttgagagttggggggagagacatgcaggagctgaagcacaagtacgattgtaagatgacccagctcatgaaggccgccaagagcgggaccaaggatgggctggagaagacacggatggccgtgatgcgcaaagtctccttcctgcacaggaaggacgtcctcggtgactcggaggaggaggacatggggctcctggaggtcagcgtttcggacatcaagcccccagccccagagctgggccccatgccagagggcctgagccctcagcaggtggtccggaggcatatcctgggctccatcgtgcagagcgaaggcagctacgtggagtctctgaagcggatactccaggactaccgcaaccccctgatggagatggagcccaaggcgctgagcgcccgcaagtgccaggtggtgttcttccgcgtgaaggagatcctgcactgccactccatgttccagatcgccctgtcctcccgcgtggctgagtgggattccaccgagaagatcggggacctcttcgtggcctcgttttccaagtccatggtgctagatgtgtacagtgactacgtgaacaacttcaccagtgccatgtccatcatcaagaaggcctgcctcaccaagcctgccttcctcgagttcctcaagcgacggcaggtgtgcagcccagaccgtgtcaccctctacgggctgatggtcaagcccatccagaggttcccacagttcatactcctgcttcaggacatgctgaagaacacccccaggggccatccggacaggctgtcgctgcagctggccctcacagagctggagacgctggctgagaagctgaacgagcagaagcggctggctgaccaggtggctgagatccagcagctgaccaagagcgtcagtgaccgcagcagcctcaacaagctgttgacctcaggccagcggcagctgctcctgtgtgagacgttgacggagaccgtgtacggtgaccgcgggcagctaattaagtccaaggagcgtcgggtcttcctgctcaacgacatgcttgtctgtgccaacatcaacttcaagcctgccaaccacaggggccagctggagattagcagcctggtgcccctggggcccaagtatgtggtgaagtggaacacggcgctgccccaggtgcaggtggtggaggtgggccaggacggtggcacctatgacaaggacaatgtgctcatccagcactcaggcgccaagaaggcctctgcctcagggcaggctcagaataaggtgtacctcggccccccacgcctcttccaggagctgcaggacctgcagaaggacctggccgtggtggagcagatcacgcttctcatcagcacgctgcacggcacctaccagaacctgaacatgactgtggctcaagactggtgcctggccctgcagaggctgatgcgggtgaaggaggaagagatccactcggccaacaagtgccgtctcaggctcctgcttcctgggaaacccgacaagtccggccgccccattagcttcatggtggttttcatcacccccaaccccctgagcaagatttcctgggtcaacaggttacatttggccaaaatcggactccgggaggagaaccagccaggctggctatgcccggatgaggacaagaagagcaaagccccattctggtgcccgatcctggcctgctgcatccctgccttctcctcccgggcactcagcctgcagcttggggccctggtccacagtcctgtcaactgtcccctgctgggtttctcagcagtcagcacctcccttccacagggctacctctgggtcgggggcggacaggaaggcgcagggggccaggtggaaatcttttccttgaaccggccctcgccccgcaccgtcaagtccttcccactggcagcccctgtgctctgcatggagtatatcccggagctggaggaggaggcggagagcagagacgagagcccgacagttgctgacccctcggccacggtgcatccaaccatctgcctcgggctccaggatggcagcatcctcctctacagcagtgtggacactggcacccagtgcctggtgagctgcaggagcccaggtctgcagcctgtgctctgcctgcgacacagccccttccacctgctcgctggcctgcaggatgggacccttgctgcttaccctcggaccagcggaggtgtcctgtgggacctggagagccctcccgtgtgcctgactgtggggcccgggcctgtccgcaccctgttgagcctggaggatgccgtgtgggccagctgtgggccccgggtcactgtcctggaagccaccaccctgcagcctcagcaaagcttcgaggcgcaccaggacgaggcagtgagcgtgacacacatggtgaaggcgggcagcggcgtctggatggccttctcctccggcacctccatccgcctcttccacactgagaccctggagcatctgcaagagatcaacatcgccaccaggaccaccttcctcctgccaggccagaagcacttgtgtgtcaccagcctcctgatctgccagggtctgctctgggtgggcactgaccagggtgtcatcgtcctgctgcccgtgcctcggctggaaggcatccccaagatcacagggaaaggcatggtctcactcaatgggcactgtgggcctgtggccttcctggctgtggctaccagcatcctggcccctgacatcctgcggagtgaccaggaggaggctgaggggccccgggctgaggaggacaagccagacgggcaggcacacgagcccatgcccgacagccacgtgggccgagagctgacccgcaagaagggcatcctcttgcagtaccgcctgcgctccaccgcacacctcccgggcccgctgctctccatgcgggagccggcgcctgctgatggcgcagctttggagcacagcgaggaggacggctccatttacgagatggccgacgaccccgacgtctgggtgcgcagccggccctgcgcccgcgacgcccaccgcaaggagatttgctctgtggccatcatctccggcgggcagggctaccgcaactttggcagcgctctgggcagcagtgggaggcaggccccgtgtggggagacggacagcaccctcctcatctggcaggtgcccttgatgctatagttaattaa</t>
  </si>
  <si>
    <t>ggcgcgccatgagtgtaaggttaccccagagtatagacaggttaagtagcctgtcttctctgggagattctgcaccagagcgcaagtccccttcccaccatcgccagccttcggatgcctctgagacaacaggtctcgttcaacgctgtgtcattatccaaaaggaccagcatggcttcggcttcacagtcagtggggatcgcattgttctggtgcagtctgtgcggcctggaggtgcagccatgaaggccggtgtgaaagagggcgaccggatcatcaaagtcaacggcaccatggtgaccaatagctcacacctggaagtggtaaagctgatcaaatctggcgcctatgtcgcactcaccctcctgggctcttcaccttcatccatgggcatctctgggctccagcaggacccatccccagcaggagctccccgaatcacgtcagtgatcccctcaccaccacctcctccacctctaccacctccacaacgcatcacaggacccaaacctctgcaggatcccgaagttcaaaaacatgccacccagatcctcaggaatatgctgaggcaggaagaaaaagaattacaggacatacttccactatatggtgacaccagccagagaccatcagaaggccggctctctctggattcccaggagggggacagtggcttggactctgggacagaacgctttccttccctcagtgagtcattgatgaatcggaactcggtactgtcagaccctgggctagacagtcctcgaacctcccctgtgatcatggccagggtggcccagcaccacaggcggcagggctcggatgcagcagtcccctcaaccggtgaccagggtgtagatcaaagcccaaagcctttaattattggcccagaggaagactatgacccgggttatttcaacaacgagagcgacatcatattccaggatctggagaaactgaagtctcggccagctcacctgggggtttttctacgttacatcttctctcaggcggaccccagtccactgcttttttacctgtgtgcagaagtttatcagcaggcaagccccaaggattcccgaagcttggggaaagacatctggaatattttcctggagaaaaatgcgcctctgagagtgaagatccctgagatgctacaggctgaaattgactcgcgcctgcggaacagcgaagatgcccgtggtgttctctgtgaagctcaagaggcagccatgcctgagatccaagagcagatccacgactacagaacgaagcgcacactggggctgggcagcctgtatggtgaaaatgacctgctggacctggatggggaccctctccgagagcgccaagtggctgagaagcagctggctgcccttggagatattttgtccaagtatgaggaagacaggagcgcccccatggacttcgccctcaatacctacatgagccatgctgggatccgtcttcgagaggcacgaccttccaacacagctgaaaaggcccagtctgctcctgacaaggacaagtggctaccgttcttccctaagaccaagaagagcagcaattccaagaaagaaaaggatgccttggaggacaagaagcgaaaccctatcctcaaatacattgggaagcccaaaagctcttctcaaagcacatttcatattcccttgtcccctgtggaagtcaaaccaggcaatgtgaggaacatcattcagcactttgagaacaaccagcagtatgatgccccagaacctgggacacaacgactctcgaccggaagctttcctgaggacctgctggagagtgacagttcacgctcagagattcgcctgggccgctctgaaagcctcaagggccgggaagagatgaaacggtctcgaaaggcagagaacgtgccccgctctcgcagtgatgttgacatggatgctgctgcggaggctactcgcctgcaccagtcagcctcgtcctctacctccagcctctccaccaggtctcttgagaacccaacccctccattcactcccaaaatgggccgcaggagcattgagtcccccagtttggggttctgcacagataccctccttccccacctcctagaggatgatctgggccagctgtctgacctggagccagagccagatgcccaaaattggcagcatacagtgggcaaggatgtggtggctgggctaacccagcgggagattgaccggcaagaggtcatcaatgagctgtttgtgactgaagcttcccacctgcgcacactccgggtcctggacctgatcttctaccagcgaatgaagaaggagaacctgatgccccgggaggagctggcccggctcttcccgaacctgcctgaactcatagagattcacaattcctggtgtgaagccatgaagaagctccgggaggaaggccccatcatcaaagagatcagtgacctcatgctggcccggtttgatggccctgcccgagaggaactccagcaagtggctgcacagttctgttcctatcagtcaatagccctagagctaatcaagaccaagcaacgcaaggagagtcgattccagctcttcatgcaggaggctgagagccaccctcagtgtcggcggctgcagctgagagacctcatcatctctgagatgcagcggctcaccaagtacccgctgctgctggagagcatcatcaagcacacagagggtggcacctctgagcatgagaagctgtgccgggcccgggaccagtgccgggagattctcaagtatgtgaatgaagcggtaaaacaaacagagaaccgccaccgtttagagggctaccagaaacgcctggatgccaccgccctggagagggccagcaaccccctggcagcagagttcaagagcctggatcttacaaccagaaaaatgatccatgagggacccctgacctggaggatcagcaaggataagaccttggacctccacgtgctgctgctggaggacctcctagtgctgctacagaaacaggatgagaagctattgctgaagtgccacagcaagactgctgtgggctcctcagacagcaagcagaccttcagccccgtgctcaagctcaatgctgtgctcatccgctctgtggccacagataaacgggccttcttcatcatctgcacctccaagctgggcccaccccagatctatgagctggttgcattgacgtcatcagacaagaacacatggatggagctcttagaagaggccgtgcggaatgccaccaggcaccccggagctgccccaatgcccgtccatcctccacccccaggtccccgggagccagcccagcagggccccacacccagcagggtagaactggatgactcagacgtgttccatggtgaacctgaacctgaggagctgcctggaggcactgggtcccagcagagggtccaagggaagcaccaggtcctgctagaggaccctgagcaggagggcagtgcagaggaagaggaactgggtgtcctgccttgcccttccacatccctggatggagagaacaggggcatcaggacaaggaaccccatccacttggccttcccaggccctctgttcatggaagggctcgctgactccgctctggaagatgtggagaacctgcgacatctgatcctgtggagcctgctgccaggtcacaccatggaaactcaggctgcccaggagcccgaggacgacctgacacccacaccttctgtcatcagcgtcacctctcacccctgggacccaggctccccagggcaagcaccccctgggggtgaaggggacaacacccagcttgcagggctggagggggaacggccagagcaggaagacatgggtctctgttctctggaacacctacccccaaggaccagaaattctgggatatgggagtctccagaactggacaggaatctggctgaagatgcttcaagcacagaggcagcaggaggttacaaagttgtgagaaaagctgaggtggcaggcagcaaggttgtccctgcactaccagagagtggccagtcagagcctgggccacctgaagtggaaggcggaacaaaggctacggggaactgcttttatgtcagcatgccatcaggacccccggactcaagcaccgaccactcagaggcacccatgagcccccctcagcctgacagcctccctgcagggcagacagagcctcagcctcagctgcagggaggcaacgatgatccaagacgccccagccgctctcctccaagcctggccctcagggacgtgggcatgatcttccataccattgagcagctcactctcaagctcaacaggctcaaggatatggagctggcccacagagagctgctcaagtcccttgggggagagtcatctggtggcaccacgcctgtgggcagtttccacacagaagcagctagatggacagatggctccctctcacctcccgctaaggagcccctagcttctgactccaggaacagccatgaactggggccctgccctgaggatggctctgacgcccccctggaagacagcacagcagacgcagccgcgtcaccaggaccattaattaa</t>
  </si>
  <si>
    <t>gtacaaaaaagcagaagggccgtcaaggcccaccatgagtggcacacagtctactatcaccgacaggtttcccctcaaaaaacctataaggcatggaagtattttgaaccgagagtcaccaacagataagaagcagaaagttgagcgcattgcatcacatgattttgaccccacagatagctcctccaagaagacaaagtctagttcagaggagagtagatccgagatatatggtcttgttcagcgttgcgtaatcatccagaaagatgacaatggatttgggctgacggtcagtggagacaatccagtcttcgtacagtctgtcaaagaagatggagcagccatgcgggctggagtacagacaggtgatcgaatcatcaaggtgaatggaactctggtgactcattcaaatcatctggaggtggtgaagctaatcaaatctggttcctatgtagctctcactgttcagggacgcccacctgggtcgccccagattccacttgccgactctgaagtagagccgtcagtcattggacatatgtctcccatcatgacatctcctcattcacctggagcatctgggaatatggagagaatcactagtcctgtgctcatgggggaggaaaacaatgtggttcataaccagaaagtagaaattctgagaaaaatgttacagaaagaacaggaacggctacagttattgcaggaagattacaaccgaacacctgcccaaagattgctaaaagagatccaagaggccaagaaacacattcctcagctgcaagagcagttatccaaagccacaggctctgctcaggatggagctgtagttacaccctccagacctttaggggacaccctaacagtcagtgaggcagaaacagatcctggagatgtactgggcaggactgactgtagcagtggagatgcttctcggcccagtagtgacaatgcagatagtcccaagagtggcccaaaagagagaatttatctagaggaaaacccagagaaaagtgaaacaattcaggacactgacactcaatcacttgtcggaagtccctcaacccgtatagcacctcatattattggagcagaagatgatgattttggtactgaacatgaacagatcaatggacagtgcagctgtttccagagcattgaattactaaaatctcgcccggctcatttggctgttttcttacaccatgtagtttcacaatttgaccctgcgactttgctctgttatctctattcagacctgtataaacataccaattccaaagaaactcgtcgcatcttccttgagtttcatcagttctttctagatcgatcagcacacctgaaagtttctgttcctgatgaaatgtctgcagatctagaaaagagaagacctgagctcattcctgaggatctgcatcgccactatatccaaactatgcaagaaagagtccatccagaagttcaaaggcacttagaagattttcggcagaaacgtagtatgggactgaccttggctgaaagcgagctgactaaacttgatgcagagcgagacaaggaccgattgactttggagaaggagcggacatgtgcagaacagattgttgccaaaattgaagaagtattgatgactgctcaggctgtagaggaagataagagctccaccatgcagtatgttattctcatgtatatgaagcatttgggagtaaaagtgaaagagcctcgaaatttggagcacaaacggggtcggattggatttcttcccaaaatcaagcaaagtatgaagaaagataaagaaggggaagaaaaagggaagcgaagaggattccccagcatcctgggacccccacggagaccaagccgtcatgacaacagtgcaattggcagagccatggaactacagaaggcgcgccaccctaagcacttatccacaccctcatctgtgagtcctgaacctcaggactctgccaagttgcgccagagtgggttagcaaatgaaggaacagacgctggatacctgcctgccaattccatgtcttctgtagcttcaggggcctctttttcccaggaaggagggaaagagaatgatacaggatcaaagcaagttggagaaacatcagcacctggagacaccttagatggcacacctcgtactctcaatactgtctttgatttcccaccacctccattagaccaagtgcaggaggaggaatgtgaagtagaaagggtgactgaacatgggacaccaaagccctttcgaaagtttgacagtgtagcttttggagaaagtcaaagtgaggatgaacaatttgaaaatgacttagagacagacccacccaactggcagcagcttgttagtcgagaagtgttactgggactaaaaccttgtgaaatcaaaagacaggaagtgattaatgaattgttctacactgaaagagctcatgttcgaacactgaaggttcttgatcaagtgttctatcagcgagtatccagagaaggaattctgtcaccctcagagctacggaaaattttttcaaacttggaagatattcttcaacttcatattggattgaatgaacaaatgaaggctgttcgaaagagaaatgagacctctgttatcgatcagattggggaagatttgctgacatggttcagcggaccaggagaggagaaattgaaacatgctgctgctaccttttgcagtaaccaacctttcgccctggaaatgatcaaatctcgtcagaaaaaggattctcgatttcagacttttgtgcaagatgctgaaagtaatccactgtgtcgtcgtcttcaactgaaggatattattcccactcaaatgcaaaggcttactaagtacccacttctgttggataatattgccaaatacacagaatggccaacagaaagggagaaggtgaagaaagctgcagatcactgtcgtcagatcttaaattatgtaaatcaggctgtcaaggaggcagaaaacaagcagcgcctagaagattatcagcgtcgccttgatacctccagcctgaagttgtcagagtacccaaatgttgaagagctcaggaatttggatttaacaaaaaggaagatgattcatgaagggccattggtttggaaggtgaatagagataaaactattgatttatacacgttgctgctggaagacattcttgtattgttacaaaagcaggatgatagactggttttaaggtgtcatagtaagattctggcatctacagctgatagcaaacacacgtttagccctgtcattaagttgagtacagtgttggttcgacaagtggcaacagataacaaagctttattcgtcatttccatgtcagacaatggcgctcagatttatgaactggtggcacagacagtttctgaaaagactgtctggcaggacctaatctgtcggatggctgcatcagtgaaggagcaatccacaaagccaattccattaccacagtcaacacctggcgaaggagataatgatgaagaagatccttcaaaattaaaagaggagcagcatggcatttcagtcactggtttgcagagtccagacagagatttgggattagaatctaccttaatatcgtcaaaacctcagtctcattcactgagtacctctgggaaatcagaggtacgtgatctgtttgtggctgagagacagtttgcaaaggaacaacatacagatgggacactaaaggaagttggagaagattatcaaatcgcaatcccagattcacacctgcctgtctcagaagaacggtgggcattggatgcactaagaaatttgggtttgttgaagcagttgctggtgcaacagctaggtttgactgagaagagcgttcaggaagactggcaacatttcccaagatacagaacagcctctcaggggccgcagacagacagtgtcatccagaactctgaaaatattaaggcctatcattctggtgaaggacatatgccctttagaactggaactggtgacattgcaacttgttacagtccacggacttcaactgaatcttttgctccacgggattcagtgggactggcaccccaggatagccaggcaagtaacattttagtaatggaccacatgattatgaccccagagatgcctaccatggagccagaagggggtcttgatgacagtggagagcacttttttgatgcccgtgaagcacatagtgatgagaatccatcagaaggtgatggagcagttaacaaggaagagaaggatgttaatttacgcatctcaggaaactatttgatccttgatggctatgacccagtgcaggagagttccacagatgaggaggttgcttcctcacttaccctgcagcccatgacaggcatccctgctgtggaatccacccaccagcagcaacattctcctcagaatactcactccgatggggcaatttcaccattcacccccgaatttctggtccagcagcgctggggagctatggagtattcctgttttgagatccagagtccctcctcttgtgcagattcacagagccagatcatggagtacattcataagatagaggctgaccttgaacacttaaagaaggtggaggaaagttacaccattctttgccaaaggctggctggatcagccctcacagacaagcactcagataaaagttcaggcctcatgggcccagctttcttgtac</t>
  </si>
  <si>
    <t>ggcgcgccatgtcagcccagtcccttcctgcagcaacaccccccacgcagaagccccctcggatcatccgcccccgccctccttctcgttccagggctgcccagtccccagggcctccccacaatggctcctctccacaagaactaccccgaaactccaatgatgcaccaaccccaatgtgcacccccatcttctgggagcccccagctgcatccctcaagccccctgctcttttgcccccctcagcttctagagccagcctcgactcccagacttccccagactcaccttccagcacccccacacctagtccagtgtcccggcgctccgcctccccagaacctgctccccggtctccagtccccccacccaagccgtctgggtcaccctgcacgcctctgctccccatggctggagtcctggctcagaatggctctgcctcagctcctggcactgtgcggaggctggctggcaggtttgaagggggtgctgaaggccgggctcaggatgcagatgccccggagccaggtctccaagcgagagcagatgtgaatggggagagagaagctcccctcaccgggagtgggtcccaggagaacggtgctccagatgctggcctggcctgccctccctgctgcccctgtgtctgccacaccacccggcctggcctggagctcagatgggtgcctgtggggggctatgaggaggtccccagggtcccccgtcgggcctccccgctgcggacctctcgctcccgcccccaccctccaagcatcggtcaccctgccgttgtcctcacatcctaccgctccactgctgagcgcaaactcctgccactcctcaagcctcccaaaccaactcgtgtcaggcaggatgccaccattttcggggaccccccacagccagatcttgatctgctttctgaagatggaatccaaacaggggacagtcctgatgaagctcctcagaatactcctccagcaactgtggaggggagggaagaggaggggctagaggtgctgaaggagcagaattgggagctgcccctgcaggatgaacctctgtaccagacctaccgagcagccgtgctgtcagaggagctgtggggggtgggtgaggatgggagtccttctccagcaaatgctggagatgcacccaccttcccacgaccccctggacctcgcaacaccctgtggcaggagcttccggctgtgcaagccagcggtcttctggataccctcagcccccaggagaggcgcatgcaggagagtcttttcgaggtggtgacgtccgaggcttcctacctgcgctccctgcggctgctgaccgacaccttcgtgctgagccaggcactccgggacacgctcaccccccgtgatcaccacacactcttctccaatgtgcagcgagtccagggagtcagcgagcggtttctagcaacgctcctgtcccgtgtgcgctcttccccccacatcagcgacttgtgtgatgtggtgcatgcccacgctgtggggcctttctcggtgtatgtggattatgtgcggaaccagcagtatcaggaggagacctacagccgcctcatggacaccaacgtgcgcttctccgccgagctgcgccggctgcagagcctccctaagtgtgagcggctcccgctgccgtccttcctgctactgcccttccagcgcatcacccggctgcgcatgctgctgcagaatatcctgcgccagacagaagaggggtccagccgtcaggagaatgcccagaaggccctgggtgctgtcagcaagatcatcgagcgttgcagcgctgaggtggggcgcatgaagcagactgaagagctgatccggctcacccaaaggctgcgcttccacaaagtcaaggccctgcccctggtctcctggtcacggcgcctggaattccagggagagctgactgagttagggtgccggagggggggcgtgctctttgcctcgcgcccccgcttcacccctctttgcctgctgctctttagcgacctgctgctcatcactcagcctaagagtgggcagcggttacaggttctggactatgcccatcgctccctggtccaggcccagcaggttccggatccatctggaccccctaccttccgcctctcccttctcagcaaccaccagggccgccccacccaccgactactccaagcttcttccctatcagacatgcagcgctggctgggagccttcccaaccccaggcccccttccctgctccccagacaccatctatgaggactgtgactgttcccaggaactgtgttcagagtcgtctgcacctgccaagactgaaggacggagtctggagtccagggctgcccccaaacacctgcacaagacccctgaaggttggctgaaggggcttcctggggccttccctgcccagctggtgtgtgaagtcacaggggaacacgaaaggaggaggcaccttcgccagaaccagaggcttctcgaggctgttggaccttcttcaggcacccccaatgcccccccacccttaattaa</t>
  </si>
  <si>
    <t>ggcgcgccatggcccagcggcactcagacagctccttggaggagaagctcctgggacaccgcttccactcggagctccggctcgatgccggggggaacccagcctccgggctcccaatggtccgtggctccccgcgtgttagagacgatgccgccttccagccccaggtcccggcacccccacagcctcggcccccggggcacgaggagccatggcccatcgtcctgagcacagagagcccggcggccctcaagctgggcacccaacagctgatccctaagagcctggctgtggccagcaaggcaaagaccccagcccgccaccagagcttcggggcggctgtacttagcagggaggccgcccggcgggaccctaagctcctcccagcccccagcttctccctggatgacatggacgtggacaaggaccccgggggcatgctgaggcggaacctgcggaaccaatcctaccgggcggccatgaagggcctggggaagccaggtggccagggagatgccatccagctaagccctaagctccaggctctggctgaggaacccagccagcctcatactcggagcccggccaaaaacaagaagacgctggggaggaaacgtgggcacaagggttccttcaaggacgacccccagctctaccaggagatccaggagcggggcctgaacaccagccaggagtctgatgacgacatcctcgatgagtcctccagccccgagggaacccagaaggtggacgccaccattgtggtcaagagctaccggcccgcccaggtcacctggagccagctcccagaggtggtggaattgggcatcctggaccagctctccactgaggagcggaaaaggcaggaggccatgttcgagatcctcacgtcggagttctcctaccagcacagcctgagcatcctggtggaggagttcctgcagtccaaggagctgcgggcgaccgtgacccagatggagcaccaccacctcttctccaacatcctggatgtcctgggtgccagtcagaggttcttcgaggacctggagcagcggcacaaggcccaggtgctggtcgaggacatcagtgacatcctggaggagcacgctgagaagcacttccacccctacatcgcctactgctccaacgaggtctaccaacagcgcacgctgcagaagctgataagcagcaacgccgccttccgagaggccctgagagagattgagaggcggccggcgtgcgggggcctgcccatgctctccttcctgatcctccccatgcagcgggtgacccggctgcccctcctgatggatacgctctgcctcaagacccagggccactccgaaaggtacaaggctgccagccgtgcactgaaggccatcagcaagctggtgaggcagtgcaacgagggggcccacaggatggagcgcatggagcagatgtacacgctgcacacacagctggacttcagcaaggtcaagtccctcccactgatctccgcctcccggtggctgctgaagcgcggagagctgttcttagtggaagaaaccggactttttcgaaaaattgccagccggccaacgtgctaccttttcctgttcaacgatgtcctggttgtgaccaagaagaagagcgaggagagctacatggtccaggactacgcccagatgaaccacatccaggtggagaagatagagccgtctgagctccctctgcccgggggcggcaaccgtagctcctccgtgccccaccccttccaggtgaccctgcttcgcaacagcgagggccgccaggagcagctcctgctctcctcggactccgcgagtgaccgggcacggtggatcgtggcgctcacacacagtgagagacagtggcagggcctctccagcaaaggagacctgccccaggtggagatcaccaaggccttcttcgcgaagcaagcagacgaggtcacactgcagcaggcggacgtggtcctggttctgcagcaggaggatgggtggctctatggcgagaggctccgggacggagagacgggatggttccccgaggactttgcccgcttcatcaccagccgtgtggccgtggagggcaatgtccgcaggatggagcgtctgcgggtggagacggacgtgttaattaa</t>
  </si>
  <si>
    <t>ggcgcgccatggcggacggggcaccccggccccagctttaccgcagcgtctcgttcaagctgctggagcgctggagcggcggccccgggctgagggaggaggacacggacacccccggcttgaggcgacgcgcctcgtgccggccgaccacggctgcccggggccagccctctcggcgcgtgtccaagctggcgtctgggcccctggccgcccccgcgcagccgcgcccgctccgcagcctctcgccgtcggttcgccagctctcccggcgcttcgacgcgccgcgtctggacgacggctccgctgggacccgagacggaggcgtcttacccgcggccgcggaagaagcggccgagggcccagcgcgaggagcctggcccagcgtcaccgagatgcgcaagctcttcggcggtcctggctccaggaggcccagcgccgactctgaatccccaggaacgcccagccccgacggtgccgcgtgggagcctccggctcgggagtcgcggcagccaccgacgccaccccctcggacatgcttccccctggcgggtctgcgttcggcgcggcccctgaccgggccggagaccgaagggaggctgcgccggccgcagcagcaacaggagcgggcgcagcgtccagcggatggtttacattcttggcatatcttctcccaaccgcaggccggggcccgggcctcctgctcctcctcctccatcgccgcctcctatcctgtcagccgcagtcgtgctgccagctccagcgaggaggaagaggagggcccgccgcagctgcctggagcccagagtccggcctaccacggcggccactcctcgggcagtgacgacgaccgagacggtgagggcggccaccgctggggagggaggcccgggctcaggcctggaagctccctattggatcaggactgcaggcctgacagtgatgggttaaatctaagcagcatgaactcagcaggggtttctgggagccctgagcccccaacatctccaagagcccctagagaagaaggactccgggagtggggtagtggctctccgccctgcgtcccaggtccccaggagggacttcggcctatgtctgactctgtgggaggagctttccgtgtggccaaggtgagctttccctcgtacctggccagccccgcaggctcccgcggtagcagccgttattccagcacggagaccctcaaggacgacgacctatggtctagtaggggttctgggggctggggcgtgtaccgctcccctagctttggagctggggaagggctcctgcggtcccaggctcgaacccgtgccaaaggacctggaggcacctctagggcattgagggatggaggatttgagcctgaaaagagtcgacagcggaagtccctgtcaaatccagatatcgcctcagagaccctgacgcttctcagtttcctgcgctcagacctttcagagctgagggtccgaaaacctggtgggagctccggggaccgtggaagcaaccccctagatggcagagactcaccatccgcaggtggccctgtggggcaacttgaacccatacccatcccagccccagcatcacctggcacgcgccccacactcaaggacttgacagccactctgcggagagcaaagtcattcacctgctctgagaagcccatggcccgccgcctgccccgcaccagtgctctgaagtccagctcctccgagctcctgctcacaggccctggtgccgaggaggatccgctgcccctcatcgtccaggaccaatatgtgcaggaggcccgccaggtttttgagaagatccagcgcatgggtgcccaacaagatgatggaagcgatgccccccctggaagccctgactgggcaggggatgtgacccgagggcagcggtcccaggaggagctctcaggccctgagtccagtctgacagatgaaggcattggggcagaccctgagcctcctgttgcagcattttgcggcctgggtaccacagggatgtggcgacctctttcctcatcctcggcccagacgaaccaccatggccctgggactgaggacagtctgggcgggtgggccctggtgtcgcctgagacccctcccacaccaggtgccctccgccgacgacgcaaagtcccaccttcaggttctggtgggagcgaattgagcaatggggaggcaggggaggcctacaggtccctgagtgacccaattcctcagcgccaccgggctgccacctctgaagagcctactgggttctctgtggacagcaacctcctgggctcactgagccccaagacagggctccctgccacctcagccatggatgagggcttgaccagtggtcacagtgactggtctgtgggcagtgaagagagcaagggatatcaggaggttattcagagcatagttcaggggcctggcaccctggggcgtgtggtggacgacaggattgctggcaaagcccccaagaagaaatccctgagtgaccccagccgccgtggggagctggctgggcctggattcgagggccctggaggggagcccatccgagaagttgagcccatgctgcctccatccagcagcgagcccatccttgtagagcagcgggcagagccagaagaacctggtgccaccaggagccgggcacagtctgaaagggccctacctgaggctctgcctccccctgccactgcccaccgaaactttcaccttgaccccaagctggctgacattctgtccccgaggctaatccgccgaggctccaagaagcgcccagctcggagtagtcaccaggagcttcggagagacgagggcagtcaggaccagactggcagcctgtctcgggcccggccctcctccagacacgttcgccatgccagtgtgcccgccacatttatgcctattgtggtgcctgagccaccaacttctgttggtccccctgtggctgtgccagaacccataggcttccctacccgagcccatcccacgttgcaggcaccatcgctcgaggacgtcaccaagcagtacatgctgaacctgcactccggtgaggtccctgccccagtgccagtggacatgccctgcttgcctctggctgcaccgccctctgctgaggccaagccccctgaggcagctcggcctgcagatgagcctacccctgccagcaagtgctgcagcaagccacaggtggacatgcggaagcacgtggccatgaccctgctggacacagagcagtcgtatgtggagtcgctgcgcaccctgatgcagggctacatgcagccgctgaagcagccagagaactccgtgctctgtgacccttcactggtggacgagatcttcgaccagatccccgagctcctggagcaccacgagcaattcctggagcaggttcggcactgcatgcagacctggcatgcccagcagaaggtgggagccctgctcgtccagtcgttctccaaggatgtcctagtaaacatctattctgcctatatcgataacttcctcaatgcaaaggatgctgtgcgtgtggccaaggaggcgaggcctgcctttctcaagttcctagagcaaagcatgcgtgagaacaaggagaagcaggcgctgtctgacctcatgatcaagcctgtgcagcggatcccacgctacgagcttctggtgaaggacctcctgaagcatacacctgaggaccacccggaccatccactcctgctggaggcgcagcggaacatcaagcaggtggctgagcgcatcaacaagggtgtgcggagtgccgaggaggcggagcgccatgcccgtgtgctgcaggagatagaggctcacatcgagggcatggaggatctccaggcccctctgcggcggttcctgagacaggagatggtcattgaagtgaaggcgatcggtggcaagaaggaccggtctctcttcctgttcacggacctcatcgtctgcaccactctgaagcgaaagtcaggctccctgcggcgcagctccatgagcctgtacacggcagccagtgtcattgacacagccagcaagtacaagatgctgtggaagctgccgctggaagacgcagacatcatcaaaggggcatcccaagccaccaatcgggagaacatccagaaggccatcagccgccttgatgaggacctcaccaccctgggccaaatgagcaagctctctgagagccttggtttcccccaccagagcctggacgatgcactgcgggacctctcagctgccatgcaccgggacctgtcggagaagcaggcgctgtgctacgcgctttccttcccgccaaccaagctggagctgtgcgccactcggcccgagggcaccgactcctacatttttgagttccctcaccctgacgcccgccttggttttgaacaggccttcgatgaggccaagaggaagctggcatccagcaaaagctgtctagaccctgagttcctgaaggccatccccatcatgaaaacccgcagtggcatgcagttctcctgtgcggctcccaccctgaacagctgcccggagccctcgcctgaggtatgggtctgcaacagcgacggctacgtgggccaggtgtgcctgctgagcctgcgcgccgagccggacgtggaggcctgcatcgccgtctgttccgcccgcatcctctgcatcggggcggtgcccgggctgcagcctcgctgccaccgggagcctcctccgtcgctgaggagtcctccagagacggcaccggagcccgccgggccggagctggacgtcgaggccgctgcagacgaggaagccgcgacgctcgcggagccggggccgcagccctgccttcacatctccattgcaggctcgggcttggagatgacgccgggcctcggcgagggtgacccccgcccagagctggtgccctttgacagtgactctgacgatgagtcttcgcccagcccctcggggacgctgcagagccaggccagccggtccaccatctcctccagctttggcaatgaggagaccccgagttccaaggaggccacggcagagaccaccagctcagaggaggagcaggagccaggcttcctgccactgtctggctcctttgggcctggtggtccctgcggcaccagcccaatggatgggagagcccttcgccgctccagccacggctccttcacccggggcagccttgaggacctgctgagtgtcgaccctgaggcctaccagagctccgtgtggctgggcactgaggatggctgtgtccacgtgtaccagtcctccgacagcatccgtgaccgcaggaacagcatgaagctccagcatgcggcctctgtgacctgcatcttgtatctgaataaccaggtgtttgtgtctctggccaatggagagcttgtggtctaccaaagggaagcaggccatttctgggacccccagaacttcaaatcagtgaccttgggcacccaggggagccccatcaccaagatggtatctgtgggtgggcggctgtggtgtggctgccagaaccgagtccttgtcctgagccctgacacgctgcagctggagcacatgttttacgtgggtcaggattcaagccgctgcgtggcttgcatggtggactccagcctgggtgtgtgggtgacattgaaaggtagtgcccacgtgtgtctctaccatccagacacctttgagcagctggcagaagtagacgtcactcctcccgtgcacaggatgctggcaggctcggatgccatcatccggcagcacaaggctgcctgtctgcgaatcacagcgctgctggtgtgtgaggagctgctgtgggtgggcaccagtgctggtgtcgtcctcaccatgcccacttcgcccggtactgtcagctgcccacgggcaccactcagtcccacaggcctcggccagggacacaccggccacgtccgcttcttggctgcagtccagctgccagatggcttcaacctgctctgcccaaccccaccacctcccccagacacaggccccgagaagctgccatcactggagcaccgggactccccttggcaccgaggccccgcccctgccaggcctaaaatgctggttatcagtggaggtgatggctatgaggacttccgactcagcagtgggggcggcagcagcagtgagactgtgggtcgagacgacagcacaaaccacctcctcctgtggagggtgttaattaa</t>
  </si>
  <si>
    <t>ggcgcgccatgacggtctctcagaaagggggtccccagccaacaccgagcccggctggccctgggacgcaactcggaccaatcacaggagagatggatgaagccgattctgcgtttttaaaatttaagcagacagctgatgactctctgtcccttacatctccaaacaccgagtccatttttgtagaagatccctacaccgcctcgctgaggagtgagattgagtcagacggccacgagtttgaagctgagtcctggagcctcgccgtggatgcagcctacgccaagaagcaaaagagggaggtggtgaaaagacaagatgtcctttatgagctgatgcagacagaggtgcaccacgtgcggacgctcaagatcatgctgaaggtgtactccagggccctgcaggaggagctgcagttcagcagcaaggccattggccgcctcttcccatgcgctgacgacctgctggagacgcacagccacttcctcgctcggctcaaggagcgccgccaggagtccctggaggagggcagtgaccggaattatgtcatccagaaaatcggcgacctcctggttcagcagttttcaggtgaaaatggggagagaatgaaagaaaagtacggtgtgttttgtagtggccacaatgaagctgttagtcattacaagttgctgcttcagcaaaacaagaaatttcaaaacttgatcaagaaaattggcaacttctccatcgtgcggcggcttggcgtgcaggagtgcattctcctggttacacaacgcataaccaaatacccagtgctggtggagcgcatcatccagaacacggaagctggcactgaggactatgaagacctgacccaggccttgaacctcatcaaagatatcatctcacaagtggacgccaaggtcagtgagtgtgagaagggccagcgcctcagggagatcgcagggaagatggacctgaagtcttccagcaaactcaagaacgggctcaccttccgcaaggaagacatgcttcagcggcagctccacctggagggcatgctatgctggaagaccacatcagggcgcttgaaagatatcctggctatcctgctgaccgacgtacttttgctgctacaagaaaaagatcagaaatacgtctttgcttctgtggactcaaagccacccgtcatctcgttacaaaagctcatcgtgagggaagtggccaacgaggagaaagcgatgtttctgatcagcgcctccttgcaagggccggagatgtatgaaatctacacgagctccaaagaggacaggaacgcctggatggcccacatccaaagggctgtggagagctgccctgacgaggaggaggggcccttcagcctgcccgaagaggaaaggaaggtggtcgaggcccgcgccacgagactccgggactttcaagagcggttgagcatgaaagaccagctgatcgcacagagcctcctagagaaacagcagatctacctggagatggccgagatgggcggcctcgaagacctgccccagccccgaggcctattccgtggaggggacccatccgagaccctgcagggggagctaattctcaagtcggccatgagcgagatcgagggcatccagagcctgatctgcaggcggctgggcagcgccaacggccaggcggaagacggaggcagctccacaggcccgcccaggagggctgagaccttcgcgggctacgactgcacaaacagccccaccaagaatggcagtttcaagaagaaagtcagcagcactgaccccaggccccgagactggcgaggccccccaaacagcccggacttgaagctcagtgacagtgacattcctgggagctctgaggaatcgccgcaggtggtggaggcgccaggcacggaatccgatccccgtctgcccaccgtcctggagtcggagcttgtccagcggatccagacactgtcccagctgctcctgaaccttcaggcggtaatcgcccaccaggacagctatgtggagacgcagcgggctgccatccaggagcgggagaagcagttccggctgcagtcgacgcgtgggaacctgctgctggagcaggagcggcaacgcaacttcgagaagcagcgggaggagcgcgcggccctggagaagctgcagagccagctgcggcacgagcagcagcgctgggagcgcgagcgccagtggcagcaccaggagctggagcgtgcgggcgcgcggctgcaggagcgcgagggcgaggcgcggcagctacgcgagcggctggagcaggagcgggccgagctggagcgccagcgccaggcctaccagcacgacctggagcggctgcgcgaggcccagcgtgccgtggagcgcgagcgggagcgcctggagctgctgcgccgcctcaagaagcagaacaccgcgccaggcgcgctgccgcccgacacactggccgaggcccagcccccaagccaccctcccagcttcaacggggaagggctggagggccctcgggtgagcatgctgccatccggcgtggggccagagtacgcagagcgccccgaggtggctcgccgggacagcgcccccaccgagagccggctggccaagagcgatgtgcccatccagctgctcagcgccaccaaccagttccagaggcaggcggccgtgcagcagcagatccccaccaagctggcggcctccaccaagggtggcaaggacaagggcggcaagagcaggggctctcagcgctgggagagctcagcgtccttcgacctgaagcagcagctgctgctcaacaagctcatggggaaagatgagagcacctcacggaaccgccgctcgctgagccctatcctgcccggcagacacagtcctgcgcccccaccagaccctggcttccccgccccgagcccaccgccagctgacagcccctccgagggcttctctctcaaggccgggggcacagccctcctgcccggccccccagctccctcgccactgccggccacaccactcagcgccaaggaggacgccagcaaagaagacgtcatcttcttcttaattaa</t>
  </si>
  <si>
    <t>ggcgcgccatggactgtgggccacctgctaccctccagccccacctgactgggccacctggcactgcccaccaccctgtagcagtgtgccagcaggagagtctgtcctttgcagagctgcccgccctgaagcccccgagcccagtgtgtctggaccttttccctgttgccccagaggagcttcgggctcctggcagccgctggtccctggggacccctgcccctctccaagggttgctatggccattatccccaggaggctcagatacagagatcaccagcggggggatgcggcccagcagggctggcagctggccacactgtcctggtgcccagcccccagctctggagggaccctggagtccccgacacacacagccacagcgccgggccagccacggctcggagaagaagtctgcctggcgcaagatgcgggtgtaccagcgtgaagaggtccccggctgccccgaggcccacgctgtcttcctagagcctggccaggtagtgcaagagcaggccctgagcacagaggagcccagggtggagttgtctgggtccacccgagtgagcctcgaaggtcctgagcggaggcgcttctcggcatcggagctgatgacccggctgcactcttctctgcgcctggggcggaattcagcagcccgggcactcatctctgggtcaggcaccggagcagcccgggaagggaaagcatctggaatggaggctcgaagtgtagagatgagcggggaccgggtgtcgcggccagcccctggtgactcacgagagggcgattggtccgagcccaggctagacacacaggaagagccgcctttggggtccaggagcaccaacgagcggcgccagtctcgattcctccttaactccgtcctctatcaggaatacagcgacgtggccagcgcccgcgaactgcggcggcagcagcgcgaggaggagggcccgggggacgaggccgagggcgcagaggaggggccggggccgccgcgggccaacctctcccccagcagctccttccgggcgcagcgctcggcgcgaggctccaccttctcgctgtggcaggatatccccgacgtacgcggcagcggcgtcctggccacgctgagcctgcgggactgcaagctgcaggaggccaagtttgagctgatcacctccgaggcctcctacatccacagcctgtcggtggctgtgggccacttcttaggctctgccgagctgagcgagtgtctgggggcgcaggacaagcagtggctgttttccaaactgcccgaggtcaagagcaccagcgagaggttcctgcaggacctggagcagcggctggaggcagatgtgctgcgcttcagcgtgtgcgacgtggtgctggaccactgcccggccttccgcagagtctacctgccctatgtcaccaaccaggcctaccaggagcgcacctaccagcgcctgctcctggagaaccccaggttccctggcatcctggctcgcctggaggagtctcctgtgtgccagcgtctgccccttacctccttccttatcctgcccttccagaggatcacccgcctcaagatgttggtggagaacatcctgaagcggacagcacagggctctgaagacgaagacatggccaccaaggccttcaatgcgctcaaggagctggtgcaggagtgcaatgctagtgtacagtccatgaagaggacagaggaactcatccacctgagcaagaagatccactttgagggcaagattttcccgctgatctctcaggcccgctggctggttcggcatggagagttggtagagctggcaccactgcctgcagcaccccctgccaagctgaagctgtccagcaaggcagtctacctccacctcttcaatgactgcttgctgctctctcggcggaaggagctagggaagtttgccgttttcgtccatgccaagatggctgagctgcaggtgcgggacctgagcctgaagctgcagggcatccccggccacgtgttcctcctccagctcctccacgggcagcacatgaagcaccagttcctgctgcgggcccggacggaaagtgagaagcagcgatggatctcagccttgtgcccctccagcccccaggaggacaaggaggtcatcagtgagggggaagattgcccccaggttcagtgtgttaggacatacaaggcactgcacccagatgagctgaccttggagaagactgacatcctgtcagtgaggacctggaccagtgacggctggctggaaggggtccgcctggcagatggtgagaaggggtgggtgccccaggcctatgtggaagagatcagcagcctcagcgcccgcctccgaaacctccgggagaataagcgagtcacaagtgccaccagcaaactgggggaggctcctgtgttaattaa</t>
  </si>
  <si>
    <t>aagtcccggggggggcacaaagggggtcgctgtgcctgtccccgtgtgatccgaaaagtgctggcaaaatgcggctgctgcttcgcccgggggggacgtgaatcctattccattgcgggcagtgaggggagtatatcggcttctgctgcctccggtctggctgccccctctggccccagctctggcctcagctctggcccctgttccccaggccccccagggcccgtcagtggcctgaggagatggttggatcattccaaacattgtctcagtgtggaaactgaggcagacagtggtcaggcaggaccatatgagaactggatgttggagccagctctagccacaggagaggagctgccggaactgaccttgctgaccacactgttggagggccctggagataagacgcagccacctgaagaggagactttgtcccaagcccctgagagtgaggaggaacagaagaagaaggctctggaaaggagtatgtatgtcctgagtgaactggtagaaacagagaaaatgtacgtggacgacttggggcagattgtggagggttatatggccaccatggctgctcagggggtccccgagagtcttcgaggccgtgacaggattgtgtttgggaatatccagcaaatctatgagtggcaccgagactatttcttgcaagagctacaacggtgtctgaaagatcctgattggctggctcagctattcatcaaacacgagcgccggctgcatatgtatgtggtgtactgtcagaataagcccaagtcagagcatgtggtgtcagagtttggggacagctactttgaggagctccggcagcagctggggcaccgcctgcagctgaacgacctcctcatcaaacctgtgcagcggatcatgaaataccagctgctgctcaaggattttctcaagtattacaatagagctgggatggatactgcagacctagagcaagctgtggaggtcatgtgctttgtgcccaagcgctgcaacgatatgatgacgctggggagattgcggggatttgagggcaaactgactgctcaggggaagctcttgggccaggacactttctgggtcaccgagcctgaggctggagggctgctgtcttcccgaggtcgagagaggcgcgtcttcctctttgagcaaatcatcatcttcagtgaagccctgggaggaggagtgagaggtggaacacagcctggatatgtatacaagaacagcattaaggtgagctgcctgggactggaggggaacctccaaggtgacccttgccgctttgcactgacctccagagggccagagggtgggatccagcgctatgtcctgcaggctgcagaccctgctatcagtcaggcctggatcaagcatgtggctcagatcttggagagccaacgggacttcctcaacgcattgcagtcacccattgagtaccagagacgggagagccagaccaacagcctggggcggccaagagggcctggagtggggagccctggaagaattcggcttggagatcaggcccagggcagcacacacacacccatcaatggctctctcccctctctgctgctgtcacccaaaggggaggtggccagagccctcttgccactggataaacaggcccttggtgacatcccccaggctccccatgactctcctccagtctctccaactccaaaaacccctccctgccaagccagacttgccaagctggatgaagatgagctgtaaggtacc</t>
  </si>
  <si>
    <t>ggcgcgccatggacggcgagagcgaggtggatttttctagcaacagcataacccctttgtggcggaggcggtcgattcctcagccccaccagcttctgggccggagcaagccgaggccccagtcctaccagagccccaacgggttactaattacggatttcccggtggaggacggagggacgctctccgcagcgcagattcccgcccaggtgcccaccgcctcggacagcaggacggtacataggagccccctgcttctgggcgcccagcggagagcggtggccaatggtgggacggcatccccggagtacagggctgcctctcctcgacttcgacggcccaagtcacccaagctccccaaagcggtgcctggcggctccccgaaatccccagcaaatggcgcggtgaccttgcctgcgccgccgccgccgccggttctgcgccccccgcggactcctaacgcgcccgccccctgcacccccgaggaggaccttactgggttgactgccagcccggtgccttcgcccactgcaaatggccttgccgctaataacgactctcctgggtcaggttcgcagtccggccggaaggcaaaggaccccgaacgggggctctttcctgggccccagaaaagttcttcggaacaaaaactccccctccaaaggctgccctcccaggagaacgagctcctcgagaatccttccgtggttttgagtacaaacagccccgccgccctcaaagtggggaagcagcagatcattccgaagagtctggcctcggaaattaaaataagtaaatccaacaatcaaaatgtggagccccacaagagactcctcaaggtgcgcagcatggtggagggcctaggaggacccctgggtcacgcaggggaggagagtgaggtcgataacgacgtggatagcccagggtctctgcggagaggcttgcggtccacgtcttatcgcagggcagtggtcagtggctttgattttgacagtcctaccagctcgaagaagaagaacagaatgtcccagcctgttctgaaagtggtgatggaagacaaggagaagttttccagtctgggaaggataaagaaaaaaatgctgaaaggacaaggaacatttgatggggaagaaaatgctgtcctgtatcaaaactacaaggaaaaggcccttgacattgattctgatgaagagtcagagcccaaagaacagaagtcagatgaaaaaattgtgattcaccataagccattgagatccacatggagccaactctctgcggtgaaaagaaagggattatctcagacagtaagccaggaggaaagaaagagacaagaggctatctttgaagtcatatcctctgaacattcatatttactcagcttggagatcttgatacgaatgtttaaaaattctaaagaactgagtgatacaatgactaaaaccgagaggcaccatcttttctccaatattacagatgtctgtgaggcaagcaaaaagttctttatagagttggaagcaagacatcagaataatatcttcatagatgacataagtgacattgtggaaaaacacacagcatccacatttgacccatatgtgaaatactgcacaaatgaagtctaccaacaacgaacactacaaaaattgttagctaccaatccatcctttaaggaagtattgtcaaggattgagtcccatgaagactgtaggaacttacccatgatctcttttctcattctccccatgcagagggtgacccgccttcccctgctgatggatactatctgtcaaaaaacacctaaggactctccgaagtatgaagtctgcaaaagagccttgaaggaagttagcaagttggttcgactatgcaatgagggcgcccggaagatggaaaggactgagatgatgtacacaattaactcccagctggaatttaaaattaagccttttcctttagtctcctcttcccggtggttggtaaaaagaggtgaattgacagcctatgttgaagacactgtgcttttctcaagaaggacatccaaacagcaagtctacttctttctctttaacgatgtgctcattatcaccaagaagaagagtgaagaaagttacaacgtcaatgattataccttaagagatcagctattggtggaatcttgtgacaatgaagagcttaattcttctccagggaagaacagctccacaatgctctattcaagacagagctctgccagtcacctctttactctgacagtccttagtaaccacgcgaatgagaaagtggagatgctactaggagctgagacgcagagcgagcgagcccgctggataactgccctgggacacagcagcgggaagccgcctgcagaccgaacctcactgacccaggtggaaatcgttaggtcatttactgctaagcagccagatgaactctccctgcaggtggctgacgtcgtcctcatctatcaacgtgtcagcgatggctggtatgagggggaacgactacgagatggagaaagaggctggtttcctatggaatgtgccaaggagataacatgtcaagctacaattgataagaatgtggagagaatgggacgcttgctaggactggagaccaacgtgttaattaa</t>
  </si>
  <si>
    <t>ggcgcgccatggagttgagctgcagcgaagcacctctttacgggcagatgatgatctatgcgaagtttgacaaaaatgtgtatcttcctgaagatgctgagttttactttacttatgacggatctcatcagcgacatgtcatgattgcagagcgcatcgaggataacgttctccagtccagcgtcccaggccatgggcttcaggagacggtgacggtatctgtgtgcctctgctcggaaggttactctccggtgaccatgggctctggctcagtgacctacgtggacaacatggcttgcaggctggctcgtctgctggtgacgcaggccaatcgcctcacagcctgcagccaccagaccctgctgaccccatttgccttgacggcaggagcactgcctgccttggatgaggagctcgtgctggctctgacccatctggaattgcctctagagtggactgtgttgggaagttcttcacttgaag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agattaagaattcagtgtccagcagatcagcagctgaaaaggaagatataaagcgtgtcaaaagcctggtggttcaacacaatgaacatgaagaccagcacagcctagatttggatcgctccttcgatatcctaaaaaaatccaagccgccctcgacattgcttgctgcaggccggctttcagacatgctgaatggaggtgatgaagtctacgctaactgtatggtgattgatcaggttggtgatttggatatcagctatattaatatagagggaatcactgccactaccagccctgaatccagaggttgcactctgtggcctcagagcagcaaacacacccttcctacagaaaccagtcccagtgtgtacccacttagtgaaaatgtcgaagggacagcacacactgaagcccagcagtccttcatgtcaccatcaagttcgtgtgcttccaacttgaatctttcttttggttggcatggatttgaaaaggaacaaagtcatctaaagaaaagaagttctagccttgatgccttggacgccgacagtgaaggggaagggcattctgagccatcccacatctgttacactccagggtctcagagctcctcaagaactgggattcctagtggggatgaattggactcttttgagactaacactgaaccggattttaatatctccagggctgaatcccttcctctatcaagtaatctacagtcgaaggaatcactgctttctggagttcgctcacgttcttattcttgctcatcacccaaaatttctttaggaaaaactcgtttggtgcgtgaattaacagtatgcagttcaagtgaagagcaaagagcttacagcttatcggagccaccaagagaaaacagaattcaggaagaagaatgggataaatacatcatacctgccaaatcagagtctgaaaaatataaagtgagtcgaactttcagtttcctcatgaataggatgactagccctcggaataaatcaaagacaaaaagcaaggatgccaaagataaagagaagctgaatcgacatcagtttgccccaggaacattctctggggttctgcagtgtttggtttgtgataaaacactcctggggaaagagtcactgcagtgttctaactgtaatgcaaatgtgcacaaaggttgtaaagatgctgcgcctgcatgcaccaagaaattccaagagaaatataacaagaacaaaccacagaccatccttggaaattcttcatttagagacatcccacagcctggtctctccttgcacccttcttcctccgtgcctgttggattgccgactggaaggagggagactgtgggacaggtccatccattgtccagaagtgttccaggcaccaccttggaaagcttcaggaggtcagccacatccttggagtctgagagtgaccataacagctgcagaagcaggtctcattctgatgagctgctacagtccatgggctcttctccctctacagagtctttcataatggaagatgttgtggattcttctctgtggagtgacctcagcagtgatgcccaggagtttgaagcagaatcttggagtcttgtggtggatccctcattttgtaataggcaggagaaggatgtcatcaaaagacaggatgtcatttttgagctaatgcaaacagagatgcatcacatccagaccctgttcatcatgtctgagatcttcaggaaaggcatgaaagaggagctgcagctggaccacagcaccgtggataaaattttcccctgtttagatgagttgcttgaaatccacaggcatttcttctacagtatgaaggaacgaaggcaggaatcctgtgctggcagcgacaggaattttgtgatcgaccgaattggagatattttggtacaacagttttcagaagaaaatgcaagtaaaatgaagaaaatatatggagaattctgttgccatcataaagaagctgttaacctctttaaagaactccagcagaataaaaagtttcagaattttattaagctccgaaatagtaatcttttggctcgacgccgaggaattccagaatgcattctgttggtcactcagcgtattacaaaataccctgtcttggtggaaaggatattgcagtacacaaaggaaagaactgaggaacataaagacttacgcaaagcgctttgcttgattaaagacatgattgcaacagtggatttaaaagtcaatgaatatgagaaaaaccaaaaatggcttgagatcctaaataagattgaaaacaaaacatacacgaagctcaaaaatggacatgtgtttaggaagcaggcactgatgagtgaagaaaggactctgttatatgatggccttgtttactggaaaactgctacaggtcgtttcaaagatatcctagctctacttctaactgatgtgctgctctttttacaagaaaaagaccagaaatacatctttgcagccgttgatcagaagccatcagttatttcccttcaaaagcttattgctagagaagttgctaatgaggagagaggaatgtttctgatcagtgcttcatctgctggtcctgagatgtatgaaattcacaccaattccaaggaggaacgcaataactggatgagacggatccagcaggctgtagaaagttgtcctgaagaaaaagggggaaggacaagtgaatctgatgaagacaagaggaaagctgaagccagagtggccaaaattcagcaatgtcaagaaatactcactaaccaagaccaacaaatttgtgcgtatttggaggagaagctgcatatctatgctgaacttggagaactgagcggatttgaggacgtccatctagagccccacctccttattaaacctgacccaggcgagcctccccaggcagcctcattactggcagcagcactgaaagaagctgagagcctacaagttgcagtgaaggcctcacagatgggcgccgtgagtcaatcatgtgaggacagttgtggagactctgtcttggcggacacactcagttctcatgatgtaccaggatcaccgactgcctcattagtcacaggagggagagaaggaagaggctgttcggatgtggatcccgggatccagggtgtggtaaccgacttggccgtctctgatgcaggggagaaggtggaatgtagaaattttccaggttcttcacaatcagagattatacaagccatacagaatttaacccgtctcttatacagccttcaggccgccttgaccattcaggacagccacattgagatccacaggctggttctccagcagcaggagggcctgtctctcggccactctatcctccgaggcggccccttgcaggaccagaagtctcgcgacgcggacaggcagcatgaggagctggccaatgtgcaccagcttcagcaccagctccagcaggagcagcggcgctggctgcgcaggtgtgagcagcagcagcgggcgcaggcgaccagggagagctggctgcaggagcgggagcgggagtgccagtcgcaggaggagctgctgctgcggagccggggcgagctggacctccagctccaggagtaccagcacagcctggagcggctgagggagggccagcgcctggtggagagggagcaggcgaggatgcgggcccagcagagcctgctgggccactggaagcacggccggcagaggagcctgcccgcggtgctccttccgggtggccccgaggtaatggaacttaatcgatctgagagtttatgtcatgaaaactcattcttcatcaatgaagctttagtacaaatgtcatttaacactttcaacaaactgaatccatcagttatccatcaggatgccacttaccctacaactcaatctcattctgacttggtgaggactagtgaacatcaagtagacctcaaggtggacccttctcagccttcgaatgtcagtcacaaactgtggacagccgctggttccggccatcagatacttcctttccatgaaagcagcaaggattcttgtaaaaatggctccagtatgacaaagtgcagttgtacgttgacatctcccccgggactgtggactggaaccacatctactttgaaagatttggacacctcccacactgagtccccaaccccccatgactcaaattcacaccgccctcaactgcaggcgtttataacagaagcaaagctaaatctaccgacaaggacaatgaccagacaagatggggaaactggagatggagccaaagaaaatattgtttacctcttaattaa</t>
  </si>
  <si>
    <t>ggcgcgccatggagctctcctgccccggttcgcggtgcccggtgcaagagcagcgtgcccgctgggagcggaaacgcgcctgcaccgcccgggagctgctagagaccgagcggcgctaccaagaacagctggggctggtggccacgtactttttggggatcctgaaagccaaggggaccctgcgaccacctgagcgccaggccctgtttggctcctgggagctcatctacggcgccagccaggagctgcttccctacctggaaggaggatgctggggccaagggctggagggcttctgccgccacttggagctctataaccaatttgctgccaactcagagaggtcccagaccaccctgcaggagcagctaaagaaaaataaaggtttccggaggtttgtacggcttcaggaaggccgccctgagtttgggggccttcagctccaggacctgctccctctgcctctgcaacggctccagcagtatgagaatctcgtcgtagctttggctgaaaacacaggtcccaacagccctgaccatcaacagctcacacgggctgcccgactgataagtgagactgcccagagagtccatactattggtcagaaacagaagaatgaccagcaccttcggcgtgtccaggctctgctcagtggacgccaggcaaaggggctgacctcagggcgctggttcctacgccagggctggctgttagtggtgcctccccatggggagcctcggccccgcatgttcttcctcttcactgatgtgctcctcatggccaagcctcggcctccactgcacctgctgcggagtggcacctttgcctgcaaggccctctaccccatggcccagtgtcatctcagcagggtctttggccactcaggaggcccttgtggtgggttgctcagtctgtccttccctcatgagaagctactgcttatgtccacagaccaggaggagctgtcacgctggtaccacagtctgacttgggctatcagcagccagaaaaacttaattaa</t>
  </si>
  <si>
    <t>ggcgcgccatggagcctgagccagtggaggactgtgtgcagagcactctcgccgccctgtatccaccctttgaggcaacagcccccaccctgttgggccaggtgttccaggtggtggagaggacttatcgggaggacgcactgaggtacacgctggacttcctggtaccagccaagcacctgcttgccaaggtccagcaggaagcctgtgcccaatacagtggattcctcttcttccatgaggggtggccgctctgcctgcatgaacaggtggtggtgcagctagcagccctaccctggcaactgctgcgcccaggagacttctatctgcaggtggtgccctcagctgcccaagcaccccgactagcactcaagtgtctggcccctgggggtgggcgggtgcaggaggttcctgtgcccaatgaggcttgtgcctacctattcacacctgagtggctacaaggcatcaacaaggaccggccaacaggtcgcctcagtacctgcctactgtctgcgccctctgggattcagcggctgccctgggctgagctcatctgtccacgatttgtgcacaaagagggcctcatggttggacatcagccaagtacactgcccccagaactgccctctggacctccagggcttcccagccctccacttcctgaggaggcgctgggtacccggagtcctggggatgggcacaatgcccctgtggaaggacctgagggcgagtatgtggagctgttagaggtgacgctgcccgtgagggggagcccaacagatgctgaaggctccccaggcctctccagagtccggacggtacccacccgcaagggcgctggagggaagggccgccaccggagacaccgggcgtggatgcaccagaagggcctggggcctcggggccaggatggagcacgcccacccggcgaggggagcagcaccggagcctcccctgagtctcccccaggagctgaggctgtcccagaggcagcagtcttggaggtgtctgagcccccagcagaggctgtgggagaagcctccggatcttgccccctgaggccaggggagcttagaggaggaggaggaggaggccagggggctgaaggaccacctggtacccctcggagaacaggcaaaggaaacagaagaaagaagcgagctgcaggtcgaggggctcttagccgaggaggggacagtgccccactgagccctggggacaaggaagatgccagccaccaagaagcccttggcaatctgccctcaccaagtgagcacaagcttccagaatgccacctggttaaggaggaatatgaaggctcagggaagccagaatctgagccaaaagagctcaaaacagcaggcgagaaagagcctcagctctctgaagcctgtgggcctacagaagagggggccggagagagagagctggaggggccaggcctgctgtgtatggcaggacacacaggcccagaaggccccctgtctgacactccaacacctccgctggagactgtgcaggaaggaaaaggggacaacattccagaagaggcccttgcagtctccgtctctgatcaccctgatgtagcttgggacttgatggcatctggattcctcatcctgacgggaggggtggaccagagtgggcgagctctgctgaccattaccccaccgtgccctcctgaggagcccccaccctcccgagacacgctgaacacaactcttcattacctccactcactgctcaggcctgatctacagacactggggctgtccgtcctgctggaccttcgtcaggcacctccactgcctccagcactcattcctgccttgagccaacttcaggactcaggagatcctccccttgttcagcggctgctgattctcattcatgatgaccttccaactgaactctgtggatttcagggtgctgaggtgctgtcagagaatgatctgaaaagagtggccaagccagaggagctgcagtgggagttaggaggtcacagggacccctctcccagtcactgggtagagatacaccaggaagtggtaaggctatgtcgcctgtgccaaggtgtgctgggctcggtacggcaggccattgaggagctggagggagcagcagagccagaggaagaggaggcagtgggaatgcccaagccactgcagaaggtgctggcagatccccggctgacggcactgcagagggatgggggggccatcctgatgaggctgcgctccactcccagcagcaagctggagggccaaggcccagctacactgtatcaggaagtggacgaggccattcaccagcttgtgcgcctctccaacctgcacgtgcagcagcaagagcagcggcagtgcctgcggcgactccagcaggtgttgcagtggctctcgggcccaggggaggagcagctggcaagctttgctatgcctggggacaccttgtctgccctgcaggagacagagctgcgattccgtgctttcagcgctgaggtccaggagcgcctggcccaggcacgggaggccctggctctggaggagaatgccacctcccagaaggtgctggatatctttgaacagcggctggagcaggttgagagtggcctccatcgggccctgcggctacagcgcttcttccagcaggcacatgaatgggtggatgagggctttgctcggctggcaggagctgggccgggtcgggaggctgtgctggctgcactggccctgcggcgggccccagagcccagtgccggcaccttccaggagatgcgggccctggccctggacctgggcagcccagcagccctgcgagaatggggccgctgccaggcccgctgccaagagctagagaggaggatccagcaacacgtgggagaggaggcgagcccacggggctaccgacgacggcgggcagacggtgccagcagtggaggggcccagtgggggccccgcagcccctcgcccagcctcagctccttgctgctccccagcagccctgggccacggccagccccatcccattgctccctggccccatgtggagaggactatgaggaagagggccctgagctggctccagaagcagagggcaggcccccaagagctgtgctgatccgaggcctggaggtcaccagcactgaggtggtagacaggacgtgctcaccacgggaacacgtgctgctgggccgggctagggggccagacggaccctggggagtaggcaccccccggatggagcgcaagcgaagcatcagtgcccagcagcggctggtgtctgagctgattgcctgtgaacaagattacgtggccaccttgagtgagccagtgccaccccctgggcctgagctgacgcctgaacttcggggcacctgggctgctgccctgagtgcccgggaaaggcttcgcagcttccaccggacacactttctgcgggagcttcagggctgcgccacccaccccctacgcattggggcctgcttccttcgccacggggaccagttcagcctttatgcacagtacgtgaagcaccgacacaaactggagaatggtctggctgcgctcagtcccttaagcaagggctccatggaggctggcccttacctgccccgagccctgcagcagcctctggaacagctgactcggtatgggcggctcctggaggagctcctgagggaagctgggcctgagctcagttctgagtgccgggcccttggggctgctgtacagctgctccgggaacaagaggcccgtggcagagacctgctggccgtggaggcggtgcgtggctgtgagatagatctgaaggagcagggacagctcttgcatcgagaccccttcactgtcatctgtggccgaaagaagtgccttcgccatgtctttctcttcgagcatctcctcctgttcagcaagctcaagggccctgaaggggggtcagagatgtttgtttacaagcaggcctttaagactgctgatatggggctgacagaaaacatcggggacagcggactctgctttgagttgtggtttcggcggcggcgtgcacgagaggcatacactctgcaggcaacctcaccagagatcaaactcaagtggacaagttctattgcccagctgctgtggagacaggcagcccacaacaaggagctccgagtgcagcagatggtgtccatgggcattgggaataaacccttcctggacatcaaagcccttggggagcggacgctgagtgccctgctcactggaagagccgcccgcacccgggcctccgtggccgtgtcatcctttgagcatgccggcccctcccttcccggcctttcgccgggagcctgctccctgcctgcccgcgtcgaggaggaggcctgggatctggacgtcaagcaaatttccctggccccagaaacacttgactcttctggagatgtgtccccaggaccaagaaacagccccagcctgcaacccccccaccctgggagcagcactcccaccctggccagtcgagggatcttagggctatcccgacagagtcatgctcgagccctgagtgaccccaccacgcctctgttaattaa</t>
  </si>
  <si>
    <t>ggcgcgccatggtggacccggtgggcttcgcggaggcgtggaaggcgcagttcccggactcagagcccccgcgcatggagctgcgctcagtgggcgacatcgagcaggagctggagcgctgcaaggcctccattcggcgcctggagcaggaggtgaaccaggagcgcttccgcatgatctacctgcagacgttgctggccaaggaaaagaagagctatgaccggcagcgatggggcttccggcgcgcggcgcaggcccccgacggcgcctccgagccccgagcgtccgcgtcgcgcccgcagccagcgcccgccgacggagccgacccgccgcccgccgaggagcccgaggcccggcccgacggcgagggttctccgggtaaggccaggcccgggaccgcccgcaggcccggggcagccgcgtcgggggaacgggacgaccggggaccccccgccagcgtggcggcgctcaggtccaacttcgagcggatccgcaagggccatggccagcccggggcggacgccgagaagcccttctacgtgaacgtcgagtttcaccacgagcgcggcctggtgaaggtcaacgacaaagaggtgtcggaccgcatcagctccctgggcagccaggccatgcagatggagcgcaaaaagtcccagcacggcgcgggctcgagcgtgggggatgcatccaggcccccttaccggggacgctcctcggagagcagctgcggcgtcgacggcgactacgaggacgccgagttgaacccccgcttcctgaaggacaacctgatcgacgccaatggcggtagcaggcccccttggccgcccctgga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ttggaaaagggcttggagatgagaaaatgggtcctgtcgggaatcctggctagcgaggagacttacctgagccacctggaggcactgctgctgcccatgaagcctttgaaagccgctgccaccacctctcagccggtgctgacgagtcagcagatcgagaccatcttcttcaaagtgcctgagctctacgagatccacaaggagttctatgatgggctcttcccccgcgtgcagcagtggagccaccagcagcgggtgggcgacctcttccagaagctggccagccagctgggtgtgtaccgggccttcgtggacaactacggagttgccatggaaatggctgagaagtgctgtcaggccaatgctcagtttgcagaaatctccgagaacctgagagccagaagcaacaaagatgccaaggatccaacgaccaagaactctctggaaactctgctctacaagcctgtggaccgtgtgacgaggagcacgctggtcctccatgacttgctgaagcacactcctgccagccaccctgaccaccccttgctgcaggacgccctccgcatctcacagaacttcctgtccagcatcaatgaggagatcacaccccgacggcagtccatgacggtgaagaagggagagcaccggcagctgctgaaggacagcttcatggtggagctggtggagggggcccgcaagctgcgccacgtcttcctgttcaccgacctgcttctctgcaccaagctcaagaagcagagcggaggcaaaacgcagcagtatgactgcaaatggtacattccgctcacggatctcagcttccagatggtggatgaactggaggcagtgcccaacatccccctggtgcccgatgaggagctggacgctttgaagatcaagatctcccagatcaagaatgacatccagagagagaagagggcgaacaagggcagcaaggctacggagaggctgaagaagaagctgtcggagcaggagtcactgctgctgcttatgtctcccagcatggccttcagggtgcacagccgcaacggcaagagttacacgttcctgatctcctctgactatgagcgtgcagagtggagggagaacatccgggagcagcagaagaagtgtttcagaagcttctccctgacatccgtggagctgcagatgctgaccaactcgtgtgtgaaactccagactgtccacagcattccgctgaccatcaataaggaagatgatgagtctccggggctctatgggtttctgaatgtcatcgtccactcagccactggatttaagcagagttcaaatctgtactgcaccctggaggtggattcctttgggtattttgtgaataaagcaaagacgcgcgtctacagggacacagctgagccaaactggaacgaggaatttgagatagagctggagggctcccagaccctgaggatactgtgctatgaaaagtgttacaacaagacgaagatccccaaggaggacggcgagagcacggacagactcatggggaagggccaggtccagctggacccgcaggccctgcaggacagagactggcagcgcaccgtcatcgccatgaatgggatcgaagtaaagctctcggtcaagttcaacagcagggagttcagcttgaagaggatgccgtcccgaaaacagacaggggtcttcggagtcaagattgctgtggtcaccaagagagagaggtccaaggtgccctacatcgtgcgccagtgcgtggaggagatcgagcgccgaggcatggaggaggtgggcatctaccgcgtgtccggtgtggccacggacatccaggcactgaaggcagccttcgacgtcaataacaaggacgtgtcggtgatgatgagcgagatggacgtgaacgccatcgcaggcacgctgaagctgtacttccgtgagctgcccgagcccctcttcactgacgagttctaccccaacttcgcagagggcatcgctctttcagacccggttgcaaaggagagctgcatgctcaacctgctgctgtccctgccggaggccaacctgctcaccttccttttccttctggaccacctgaaaagggtggcagagaaggaggcagtcaataagatgtccctgcacaacctcgccacggtctttggccccacgctgctccggccctccgagaaggagagcaagctccctgccaaccccagccagcctatcaccatgactgacagctggtccttggaggtcatgtcccaggtccaggtgctgctgtacttcctgcagctggaggccatccctgccccggacagcaagagacagagcatcctgttctccaccgaagtcttaattaa</t>
  </si>
  <si>
    <t>ggcgcgccatggccctgaccctgtttgatacagatgaatatagacctcctgtttggaaatcttacttatatcagctacaacaggaagcccctcatcctcgaagaattacctgtacttgcgaggtggaaaacagaccaaagtattatggaagagagtttcatggcatgatctccagagaagcagccgaccagctcttgattgtggctgaggggagctacctcatccgggagagccagcggcagccagggacctacactttggctttaagatttggaagtcaaaccagaaacttcaggctctactacgatggcaagcactttgttggggagaaacgctttgagtccatccacgatctggtgactgatggcttgattactctctatattgaaaccaaggcagcagaatacattgccaagatgacgataaacccaatttatgagcacgtaggatacacaaccttaaacagagagccagcatacaaaaaacatatgccagtcctgaaagagacacatgatgagagagattctacaggccaggatggggtgtcagagaaaaggttgacatcacttgttagaagagcaactctgaaagaaaacgagcaaattccaaaatatgaaaagattcacaatttcaaggtgcatacattcagagggccacactggtgtgaatactgtgccaactttatgtggggtctcattgctcagggagtgaaatgtgcagattgtggtttgaatgttcataagcagtgttccaagatggtcccaaatgactgtaagccagacttgaagcatgtcaaaaaggtgtacagctgtgaccttacgacgctcgtgaaagcacataccactaagcggccaatggtggtagacatgtgcatcagggagattgagtctagaggtcttaattctgaaggactataccgagtatcaggatttagtgacctaattgaagatgtcaagatggctttcgacagagatggtgagaaggcagatatttctgtgaacatgtatgaagatatcaacattatcactggtgcacttaaactgtacttcagggatttgccaattccactcattacatatgatgcctaccctaagtttatagaatctgccaaaattatggatccggatgagcaattggaaacccttcatgaagcactgaaactactgccacctgctcactgcgaaaccctccggtacctcatggcacatctaaagagagtgaccctccacgaaaaggagaatcttatgaatgcagagaaccttggaatcgtctttggacccacccttatgagatctccagaactagacgccatggctgcattgaatgatatacggtatcagagactggtggtggagctgcttatcaaaaacgaagacattttatttttaattaa</t>
  </si>
  <si>
    <t>ggcgcgccatggcagcgtccagcaactccagcctgtccggctcgtcggtgtcctccgatgctgaagaataccagcctcctatatggaaatcatacttatatcagttacagcaagaggcacctcgtcccaagagaatcatttgtcctcgggaggtggaaaacagaccaaaatattatggaagagagtttcatgggatcatctctcgggagcaggcggatgagcttcttggaggcgtggagggtgcctacatccttagagaaagccagcggcaaccaggatgctacacgctggctctcaggtttggaaaccagaccttaaactacaggctcttccacgacgggaaacactttgtgggtgagaagaggtttgagtcgattcatgatctggtgacagatggcttgataacactgtacatagaaacaaaagctgccgagtacatttcaaaaatgacaactaaccccatctatgaacacattggatatgccaccctactcagagaaaaagtatccagaaggctgagcaggtctaaaaatgaaccaagaaaaacaaacgtcacacatgaagaacacacagcggtggaaaagatctcctccctggttcgaagggctgccctcacacacaacgacaaccacttcaattatgagaagacacacaactttaaggtccacacgttccgaggcccacactggtgtgaatattgtgccaatttcatgtgggggctcatcgcccaaggggtccggtgctcagactgtggattgaacgtacacaaacagtgttccaagcacgttcccaatgactgccaacctgatctcaagaggatcaagaaagtgtactgttgtgacctcacaacacttgtgaaggctcacaacactcagagacccatggtggtagacatatgcattcgggaaattgaagcaagaggattaaaatcggaaggcctttacagagtctctgggttcactgaacacattgaagatgtcaaaatggcatttgacagagatggtgaaaaggccgatatatctgccaatgtctatccagacataaacatcatcactggagcccttaaactgtatttcagagacttacccatccctgtcatcacatatgatacctattccaaatttatagatgcagcaaaaatctccaatgcagatgagaggctggaagccgtccatgaagtgctgatgctgctgcctcctgcccactatgaaaccctccggtacctaatgatccacctcaaaaaggttactatgaatgaaaaagacaatttcatgaatgcagaaaatctggggatcgtgtttgggcccactctgatgaggccccctgaggacagcaccctgaccaccctgcatgatatgcggtaccaaaagctgattgtgcagattttaatagaaaacgaagacgttttattctaattaattaa</t>
  </si>
  <si>
    <t>ggcgcgccatggagcgtcagggtgctcctcttggaccttaccgggccaccaagctgtggaatgaagtaaccacatcttttcgagtaggaatgcctttaagaaaacatagacaacatttaaaaaaatatagcaattgtttcactgcagttgaagctatagattggctttatgatctgttaagaagtaatagtaattttggtcctgaagttacaagacaacagactattcaactattgagaaaatttcttaagaatcatgtgattgaagatatcaaaggtagatggggatcggaaagccttgatgacaacaatcaactattcagatttcctgcaacttctccacttaaaacttttccacaaagacatacagaaatcaagaaaaccaacacagagtacttttccaaagacaaagatggtatttttaaattacgaaacttatctcaaaaaacttctaagaagcgtggattacatttctctcaggaaaatacagaaaagataaatcatgaaagaataaccaatgaagatctagaaattgcacctgacaaccaagaaataagccaggaagatgttgaagaagtttggagatacgttattatgatatacctgcaaaccattttaagtttgccatccatagaagaactcttaaacccaaaccaagtaattcctcaatatataatgtacaacatggccaacacaagtaagcatggagtggtcatactacaagacaaatcagacgatcttccacattgggttttatctgcaatgaagtgcctagcaaattggccaagaagtaatgacaccaataatctaacttatgttggatttgaacgtgatgtattcaaaacaattgcagattattttctaaatctccctgaacctctacttacatttgaatattatgaattatttgtgaacattttggttgtttgtggctacatcacagtttcagatagaacaagtggaatacataaaatacaagatgatccacgatcttcaaaaatccatgatttaagcaatttgaattccttcaaatcaactgagtgtcttcttctcagtctgctttacaaagacaaaagcaatgaagagttggattctactaaaagactacaaagaaatgatcaaggatttcaagaaagatgtgccaagaaaatgcagctagataatttaagaaacagaagagctagtgctaatgacataatgggaggaagctgtcataatttaataggcttaagtaatacaaatgccctgtcctctaacatcaaaccaaggtgctcttctttggaaggaattgtagataggccagtgaattcaagtgaaaagaagtccagtatcttctaccagtctgttctgaacatagaagaacaaaatagtaagcaatcgttagtgtctgcacccaaacagacacccctatttaatcttcactcagatgaaaatgctcagcagccacactgtgttggttttaacagaacctctgctttgactgttcaagaccaagaagagttatgtaatgaaaagtataagtcaaaacagctttgtagatctcagagtttacttttaagaagtagtacaagacagaatagttgtatcaataaaccagtggctgaaattataatgaaaccaaatgttggacaagggagtacaagtgagctcggagagtctagtaccacaatcaataaaagactgtgcaaaagcaccatagaactttcagagaaatctttacctccagctgcttctgtgttgactggcacacaaagtttgctgcaacctcacttagagagggttgccatcaatgctctacagttatgttgtttgttacttcccccaccaaatcgtagaaagcttcaactcttaatgcgcatgatttctagaatgagtcaaaatgttgatatgcccaaacttcatgaacaaataggtacaagatcattgatgataaatactttttctcgatgtgtactatgttgtgctgaagaagtggatcttgatgagcttctggcttcaagattagtttctttcctaatggatcatcatcaggaaattcttcaagtacccacttatttacaagctgcagtggagaaacatcttgactacattaaaaagggcaatgttaaaaatcatggagatggactagttgttcctttgccaacatattcttactgtaaacagattagtgctaaagaatttgatgaacagaaaatttcaacttcccaagctgcaattgcagaacttttggagaatattgtcagaagtaaaagcttgtctctaaaggagaaaagaagaaaattgaaacagaaggaataccccttgatatatcagaaaagatttccaaccactgagagtgaagcagcactttttgatgataaacctacaatcaagcaaccgatgctgaatttaagaaaccccaagcttcacagtctgcgttacttaattaa</t>
  </si>
  <si>
    <t>ggcgcgccatggagcatcgcatcgtggggcccgggccgtaccgagctaccaggctgtggaatgagaccgtggagctttttcgtgctaagatgccgttacggaaacatcgctgtcgtttcaagagctatgagcattgtttcacagcggccgaagctgtggattggctgcatgagctgctgaggtgcagtcaaaacttcggccctgaagtgacccgcaaacaaacggtccagctgctaaaaaaattcctgaagaatcacgttattgaagacatcaagggaaaatggggtgaggaagattttgaagacaatcgtcacttatacagatttcctccttcttcacccctgaaaccatatccaaagaagcccccaaaccaaaaggatgttattaaatttccagaatggaatgatctcccaccaggcacttcacaagagaacatcccagtgaggccagttgtgatgaattctgagatgtggtacaagcgtcacagtattgcaattggagaggtgccagcttgccgtcttgtccaccgcagacagctgacagaggccaatgtagaagagatatggaagtctatgacattatcatacttacagaaaattcttggcctggattccttagaagaagttttagacgtcaaacttgtcaattcgaagttcatcatccataatgtatatagtgttagcaagcagggagttgttattcttgatgacaagtcaaaagaacttcctcattgggtgctgtcagctatgaagtgtttggcaaattggcccaactgttctgatttgaagcagcctatgtacttgggatttgaaaaagatgtctttaaaaccatagctgattactatggtcacttgaaagagcctctacttacatttcatctttttgatgcttttgtcagtgtactgggtttgttacagaaggagaaagtggcagttgaagcatttcagatttgctgccttctcctacctcctgaaaataggagaaagttacagctattgatgatgatgatggcaaggatttgcttaaacaaagagatgccacccctgtgtgatggctttggtacccgaacactgatggttcagacattttcccgttgcatcttgtgttccaaggatgaagtggacttggatgagttattagctgctagattggtaacgtttctgatggacaattaccaggaaattctgaaactccctttggccttgcagacctctatagaggagcgtgtggctcatctacgaagagtccagataaaatacccaggagctgatatggatatcactttatctgctccatcattttgccgtcaaattagtccagaggaatttgaatatcaaagatcatatggctctcaggaacctctggcagccttgttggaggaagtcataacagatgccaaactctccaacaaagagaaaaagaagaaactgaagcagtttcagaaatcctatcctgaagtctatcaagaacgatttcctacaccagaaagtgcagcacttctgtttcctgaaaaacccaaaccgaaaccacagctgctaatgtgggcactaaagaagcctttccaaccatttcaaagaactagaagttttcgaatgtaattaattaa</t>
  </si>
  <si>
    <t>ggcgcgccatgtctgtagctatcagaaagagaagctgggaagaacatgtgacccactggatgggacagccttttaattctgatgatcgtaacacagcatgtcatcatggactagtagctgacagcttgcaggcaagtatggaaaaagatgcaactctaaatgtggaccgcaaagagaagtgtgtttcactacctgactgctgtcatggatcagagctgagagattttcctgggaggccaatgggtcatctttcaaaggatgtggacgaaaatgacagccatgaaggtgaagatcagtttctttctctggaagccagcacagaaacactagtgcatgtttctgatgaggataacaatgctgatttatgccttacagatgataaacaggttttaaatacccaagggcagaaaacatcaggccaacatatgatccaaggagcaggctccttagaaaaggcactgcccatcatacaaagtaaccaagtttcttctaactcctggggaatagctggtgaaactgaattagcactggtaaaagaaagtggggagagaaaagttactgactctataagtaaaagcctggagctttgcaatgaaataagcttaagtgaaataaaagatgcacccaaagtaaatgcagtggatactttgaacgtgaaagatattgcacctgagaaacaattgcttaactctgctgtaattgctcagcaacgaaggaaacctgacccccctaaagatgaaaatgaaagaagcacctgcaatgtagtacacgatgagttcttggatattccttgcacaaacagaggactgccattattaaaaacagattttggaagctgccttctgcagcctccttcctgccccaatggaatgtcagctgaaaatggcctggagaagagtggtttttcacaacatcaaaacaaaagtccaccaaaggtcaaggcagaagatggcatgcagtgtttacaattaaaggagaccctggccacccaggaacccacagataaccaagtcagacttcgtaagagaaaggaaataagagaagatcgagatagggcgcggctggactccatggtgctgctgattatgaaactggaccagcttgatcaggacatagaaaatgccctcagcaccagctcctctccatcaggcacaccaacaaacctgcggcggcacgttcctgatctggaatcaggatctgaaagtggagcagataccatttcagtaaatcagacacgagtaaatttgtcttctgacactgagtccacggacctcccatcttccactccagtagccaattctggaaccaaacccaagactacggctattcaaggtatttcagagaaggaaaaggctgaaattgaagccaaggaagcttgtgattggctacgggcaactggtttcccccagtatgcacagctttatgaagatttcctgttccccatcgatatttccttggtcaagagagagcatgattttttggacagagatgccattgaggctctatgcaggcgtctaaatactttaaacaaatgtgcggtgatgaagctagaaattagtcctcatcggaaacgaagtgacgattcagacgaggatgagccttgtgccatcagtggcaaatggactttccaaagggacagcaagaggtggtcccggcttgaagagtttgatgtcttttctccaaaacaagacctggtccctgggtccccagacgactccctcccgaaggacggccccagccccggaggcacgctgatggacctcagcgagcgccaggaggtgtcttccgtccgcagcctcagcagcactggcagcctccccagccacgcgccccccagcgaggatgctgccaccccccggactaactccgtcatcagcgtttgctcctccagcaacttggcaggcaatgacgactctttcggcagcctgccctctcccaaggaactgtccagcttcagcttcagcatgaaaggccacgaaaaaactgccaagtccaagacgcgcagtctgctgaaacggatggagagcctgaagctcaagagctcccatcacagcaagcacaaagcgccctcaaagctggggttgatcatcagcgggcccatcttgcaagaggggatggatgaggagaagctgaagcagctcaactgcgtggagatctccgccctcaatggcaaccgcatcaacgtccccatggtacgaaagaggagcgtttccaactccacgcagaccagcagcagcagcagccagtcggagaccagcagcgcggtcagcacgcccagccctgttacgaggacccggagcctcagtgcgtgcaacaagcgggtgggcatgtacttagagggcttcgatcctttcaatcagtcaacatttaacaacgtgatggagcagaactttaagaaccgcgagagctacccagaggacacggtgttctacatccctgaagatcacaagcctggcactttccccaaagctctcaccaatggcagtttctccccctcggggaataacggctctgtgaactggaggacgggaagcttccacggccctggccacatcagcctcaggagggaaaacagtagcgacagccccaaggaactgaagagacgcaattcttccagctccatgagcagccgcctgagcatctacgacaacgtgccgggctccatcctctactccagttcaggggacctggcggatctggagaacgaggacatcttccccgagctggacgacatcctctaccacgtgaaggggatgcagcggatagtcaatcagtggtcggagaagttttctgatgagggagattcggactcagccctggactcggtctctccctgcccgtcctctccaaaacagatacacctggatgtggacaacgaccgaaccacacccagcgacctggacagcacaggcaactccctgaatgaaccggaagagccctccgagatcccggaaagaagggattctggggttggggcttccctaaccaggtccaacaggcaccgactgagatggcacagtttccagagctcacatcggccaagcctcaactctgtatcactacagattaactgccagtctgtggcccagatgaacctgctgcagaaatactcactcctaaagctaacggccctgctggagaaatacacaccttctaacaagcatggttttagctgggccgtgcccaagttcatgaagaggatcaaggttccagactacaaggaccggagtgtgtttggggtcccactgacggtcaacgtgcagcgcacaggacaaccgttgcctcagagcatccagcaggccatgcgatacctccggaaccattgtttggatcaggttgggctcttcagaaaatcgggggtcaagtcccggattcaggctctgcgccagatgaatgaaggtgccatagactgtgtcaactacgaaggacagtctgcttatgacgtggcagacatgctgaagcagtattttcgagatcttcctgagccactaatgacgaacaaactctcggaaacctttctacagatctaccaatatgtgcccaaggaccagcgcctgcaggccatcaaggctgccatcatgctgctgcctgacgagaaccgggaggttctgcagaccctgctttatttcctgagcgatgtcacagcagccgtaaaagaaaaccagatgaccccaaccaacctggccgtgtgcttagcgccttccctcttccatctcaacaccctgaagagagagaattcctctcccagggtaatgcaaagaaaacaaagtttgggcaaaccagatcagaaagatttgaatgaaaacctagctgccactcaagggctggcccatatgatcgccgagtgcaagaagcttttccaggttcccgaggaaatgagccgatgtcgtaattcctataccgaacaagagctgaagcccctcactctggaagcactcgggcacctgggtaatgatgactcagctgactaccaacacttcctccaggactgtgtggatggcctgtttaaagaagtcaaagagaagtttaaaggctgggtcagctactccacttcggagcaggctgagctgtcctataagaaggtgagcgaaggaccccctctgaggctttggaggtcagtcattgaagtccctgctgtgccagaggaaatcttaaagcgcctacttaaagaacagcacctctgggatgtagacctgttggattcaaaagtgatcgaaattctggacagccaaactgaaatttaccagtatgtccaaaacagtatggcacctcatcctgctcgagactacgttgttttaagaacctggaggactaatttacccaaaggagcctgtgcccttttactaacctctgtggatcacgatcgcgcacctgtggtgggtgtgagggttaatgtgctcttgtccaggtatttgattgaaccctgtgggccaggaaaatccaaactcacctacatgtgcagagttgacttaaggggccacatgccagaatggtacacaaaatcttttggacatttgtgtgcagctgaagttgtaaagatccgggattccttcagtaaccagaacactgaaaccaaagacaccaaatctaggtacgtagttttaattaa</t>
  </si>
  <si>
    <t>ggcgcgccatggaggctggctcagtggttcgagccatttttgacttctgccctagcgtatcagaagaactgccgctctttgtgggagatattattgaggtgctggcagtggtggatgaattttggcttctaggaaagaaggaggatgttacaggacaattccccagcagttttgtggaaattgtgaccattcccagtctaaaagagggagagaggctgtttgtgtgcatttgtgaattcacatcccaagagttggataatcttcccctccatcgaggtgacctggtgattctcgatggcattcccactgcaggctggctgcagggccgaagctgctggggcgcacggggcttcttcccatcttcatgtgtccgcgagctctgcctctcctcacagagccggcagtggcactcccagagcgccctgtttcagattccggaatattccatgggacaagcccgggccctaatggggctttctgctcagctggatgaagagctggacttcagggaaggggatgtgatcaccattattggagttcctgaaccaggctggtttgaaggggagttagagggccgaagaggcatttttccagaaggttttgtagagctgttggggcccctgaggactgtggatgagtcagtaagttctggaaatcaagatgactgcattgttaatggtgaagtagatacccctgtaggagaagaagagatagggccggatgaggatgaggaggagccagggacctatggggtcgccctgtacagattccaagccctggagccaaatgagctggatttcgaggtcggggataaaatccgaattctggcgaccttggaagatggctggctggaaggatccctgaagggcaggacaggcatctttccttaccggtttgtgaaattatgtcctgacacacgggtggaggaaaccatggctctgccccaggaaggcagccttgccaggatcccggaaacttctttggattgtttggagaacaccttaggagtagaggaacaaagacatgaaaccagtgaccatggggccgaggagcctgactgcattatttctgaagcgcccacttctcccctcggtcatctgacttcagagtatgacacagacagaaactcttatcaggacgaggacaccgcaggagggcccccgagaagcccaggcgtggagtgggaaatgcctcttgccacagactctcccacatctgaccctacagaagtagtcaatggtatttcctcccaacctcaggtcccttttcatcccaacttgcagaaaagccagtattattctacagtgggagggagccacccgcactcagaacagtaccctgaccttcttcccctagaagcaaggactagagactatgccagcctacctcccaaaagaatgtattcccagctaaaaactcttcagaagccagtgctccctctttacaggggctcttctgtttcagcttcaagggtagtcaaacccagacaatcaagtcctcagctccacaacctagcaagttatactaaaaagcaccacacgtccagtgtttactccatctcagagagattggagatgaagcctggtccgcaagcccaagggcttgttatggaagcagcaacacattcacagggagacggcagcactgacctggactcgaagctgacacaacagctgatcgagtttgagaagagcttggcagggcccggcacagagccagataaaattttacgccacttttcaatcatggactttaactctgagaaggatattgtccgaggttcctcaaagttaatcaccgagcaggagctgccggaaaggagaaaggccctaaggccaccgccacctcgtccctgtactccggtatccacttctccccatttgctggttgaccagaacctaaaacctgcaccacccttggtggtgcgaccctctcgcccagctcccctgcctccctcagcacagcagagaacgaatgcggtatcccccaagctcctatctcgacaccgtcctacctgtgagaccttagaaaaggagggccctggtcatatgggaaggagtctggaccagacctccccatgccccttagtgctggtgaggattgaggaaatggagcgggacttggatatgtacagtagagctcaagaagagctaaacctcatgctggaggagaagcaggatgaatcatcaagagcagagaccctcgaggatctcaagttctgtgaaagtaacattgaaagtttgaatatggaactccagcaactaagagaaatgacgctcctctcctcccagtcttcatcactggtggccccttctgggtctgtgtctgccgaaaatccagagcagaggatgctggagaagagagccaaggtcatagaagaacttcttcagacagaaagagactacattcgggatctggaaatgtgtattgagcggatcatggtacccatgcagcaggcacaggtaccaaacattgattttgagggactttttggaaatatgcagatggtgattaaggtctcgaagcaattattggctgctctggaaatcagcgatgctgtaggacctgtgtttcttggtcaccgggatgagcttgagggaacatacaagatttactgccagaatcatgatgaggccattgcgctgcttgaaatctacgagaaggatgagaagatccagaagcatcttcaggactccttggcagatctgaagagcctatacaacgaatggggatgcacaaattatattaacctgggctccttcctcatcaaaccagtacagagagtaatgcgttacccgctgttgctaatggagttgctgaattccaccccagaatcccacccagataaagtgcctttaaccaatgcagtccttgcggtcaaggaaatcaatgttaacattaatgaatataaacggcgaaaggacctggtcctcaagtaccgtaagggtgatgaagatagccttatggagaaaatttccaaactgaacatccactccatcatcaagaaatccaaccgagttagcagtcacctgaagcatctcactggctttgctcctcagataaaagatgaagtatttgaagaaacagaaaaaaacttccgaatgcaagaaagattgattaagtcttttatccgagacctgtctctctacctccagcacatccgggagtccgcatgtgtgaaagtggtggctgctgtgagcatgtgggatgtgtgcatggagagaggacaccgggacctggagcagtttgagagggtgcatcgccacatcagtgaccagctcttcacaaactttaaggagaggacagagcggcttgtcatctcccccttaaatcagttactgagcatgtttacagggccccataagctggtacagaaacgctttgacaagctcctggacttctataactgtacagaacgggcagaaaagctaaaggacaggaagaccctggaggagctgcagtcggcccggaacaactatgaggccctgaatgcacagctgctggatgagctgcccaagttccaccagtacgcccagggcctcttcaccaactgtgtccacggctatgctgaagcccactgtgactttgtgcaccaggctctggagcaattaaagccactgctttcgttactcaaagtggctggcagagagggaaaccttattgccatcttccacgaagagcacagcagagttctgcagcaactccaggtttttaccttcttcccggagtctcttccagctaccaagaagccgtttgagaggaaaaccattgaccgccagtctgctcgaaagccactcctgggcctgccaagttacatgctacagtcagaagaactccgggcctccctcctggccaggtatccccctgaaaaactcttccaggcagaacggaacttcaatgctgctcaagacttggatgtctcacttttggaaggtgacctggtgggtgtgattaagaaaaaagaccccatgggcagccagaaccgctggctgattgacaatggagtcaccaaaggcttcgtgtacagctctttcctaaagccctacaatcctcgccgcagccactccgatgcctccgtgggtagccactcctccacagagtctgagcacggcagctcctcccccaggttcccacgccagaacagcggcagcaccctgaccttcaaccccagcagcatggctgtatcctttacctcggggtcttgccagaagcagcctcaagacgcatctcctccgccaaaagaatgggaccaaggaactctcagtgcatccctaaatccgagtaattcagagagtagtccttccagatgcccttcagacccagactctacctcccagccaaggtcaggggactctgcagatgtagctagagatgtaaagcaacccactgccacgccgaggagctaccggaacttcaggcatccagaaatagttggctactccgtaccaggacgaaatgggcaaagtcaagacctcgtcaaaggatgtgcaagaacagcccaggctccggaagacagaagtacagagccagatggcagtgaggcagaaggcaaccaggtctattttgctgtctacaccttcaaggcacgaaacccaaatgagctgagcgtgtcagtcaatcagaaactcaagatcctcgagtttaaagatgttacaggaaatacagagtggtggttagctgaggttaacgggaagaagggctacgttccctccaattatatccgcaaaaccgagtacacctgattaattaa</t>
  </si>
  <si>
    <t>ggcgcgccatgacgcgctgggtgcccaccaagcgcgaggagaagtacggcgtgg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gaagaagctggaagatgctgccacgtacttgagtctgccctccacgaaggcagagttggaagaaaagggccactcggccaccggcaagagcatgcagagccttgggagctgcaccattagcaaggactccttccagatctccacgctcgtgtgctccaccaaactgactcagaacgtggaccttctggggctcttgaaatggcgctccaacaccagcctgctgcagcagaacttgaggcagctgatgaaagtcgatggtggtgaagtagtgaagtttcttcaggacacgttggatgccctcttcaacatcatgatggagaactcagagagtgagacttttgacacgttagtctttgatgctctggtatttatcattggactgattgctgatagaaaatttcagcattttaatcctgttttggaaacttacattaagaaacactttagtgcaacgttagcctacacgaagttgacaaaagtgttgaagaactacgtggacggtgctgagaagccgggagtaaatgagcagctgtacaaagccatgaaagcgctagaatccatcttcaagttcatcgtgcgctccaggatcctgttcaatcaactgtatgaaaacaagggagaggctgacttcgtggaatctttgctgcagctcttcaggtccatcaatgacatgatgagcagcatgtcagaccagaccgtccgggtgaagggggcagcactgaaatacttaccaacgatcgtcaacgatgtgaaattggtgtttgatcccaaagagctcagcaaaatgtttactgaattcatcctcaatgttcccatgggcttgctgaccatccagaaactctactgcttgatcgaaatcgtccacagtgacctcttcacacagcatgactgcagagagatcctgcttcccatgatgaccgatcagctcaagtaccatctggagagacaggaggacctggaggcctgctgtcagctgctcagccacatcctggaggtgctgtacaggaaggacgtggggccaacccagaggcacgtccagattatcatggagaaacttctccggaccgtgaaccgaaccgtcatttccatgggacgagattctgaactcattggaaacttcgtggcttgcatgacagctattttacgacaaatggaagattaccattatgcccacttgatcaagacttttgggaaaatgaggactgatgtggtagatttcctaatggaaacattcatcatgtttaagaacctcattggaaagaacgtttaccccttcgactgggtgatcatgaacatggtgcaaaataaagtcttcctgcgagcaattaatcagtatgcagatatgctgaacaaaaaatttctggatcaagccaactttgagctacagctgtggaacaactactttcacctggctgttgctttccttactcaagagtccctgcaactggagaatttttcaagtgccaagagagccaaaatccttaacaagtacggagatatgaggagacagattggctttgaaatcagagacatgtggtacaaccttggtcaacacaagataaagttcattccagaaatggtgggcccaatattagaaatgacattaattcccgagacggagctgcgcaaagccaccatccccatcttctttgatatgatgcagtgtgaattccattcgacccgaagcttccaaatgtttgaaaatgagatcatcaccaagctggatcatgaagtcgaaggaggcagaggagacgaacagtacaaagtgttatttgataaaatccttctggaacactgcaggaagcacaaatacctcgccaaaacaggagaaacttttgtaaaactcgttgtgcgcttaatggaaaggcttttggattatagaaccatcatgcacgacgagaacaaagaaaaccgcatgagctgcaccgtcaatgtgctgaatttctacaaagaaattgaaagagaagaaatgtatataaggtatttgtacaagctctgtgacctgcacaaggagtgtgataactacaccgaagcggcttacaccttgcttctccatgcaaagcttcttaagtggtcggaggatgtgtgtgtggcccacctcacccagcgggacgggtaccaggccaccacgcagggacagctgaaggagcagctctaccaggaaatcatccactacttcgacaaaggcaagatgtgggaggaggccattgccttgggcaaggagctagccgagcagtatgagaacgaaatgtttgattatgagcaactcagcgaattgctgaaaaaacaggctcagttttatgaaaacatcgtcaaagtgatcaggcccaagcctgactattttgctgttggctactacggacaagggttccccacattcctgcggggaaaagttttcatttaccgagggaaagagtatgagcgccgggaagattttgaggctcggctcttaactcagtttccaaacgccgagaaaatgaagacaacatctccaccaggcgacgatattaaaaactctcctggccagtatattcagtgcttcacagtgaagcccaaactcgatctgcctcctaagtttcacaggccagtgtcagagcagattgtaagtttttacagggtgaacgaggtccagcgatttgaatattctcggccaatccggaagggagagaaaaacccagacaatgaatttgcgaatatgtggatcgagagaaccatatatacaactgcatataaattacctggaattttaaggtggtttgaggtcaagtctgttttcatggtggaaatcagccccctggagaatgccatcgagaccatgcagctgacgaacgacaagatcaacagcatggtgcagcagcacctggatgaccccagcctgcccatcaacccgctctccatgctcctgaacggcatcgtggacccagctgtcatggggggcttcgcaaactacgaaaaggccttctttacagaccggtacctgcaggagcaccctgaggcccatgaaaagatcgagaagctcaaggacctgattgcttggcagattccttttctggccgaagggatcagaatccatggagacaaagtcacggaggcactgaggccgttccacgagaggatggaggcctgtttcaaacagctgaaggaaaaggtggagaaagagtacggcgtccgaatcatgccctcaagtctggatgatagaagaggcagccgcccccggtccatggtgcggtccttcacgatgccttcctcatcccgccctctgtctgtggcctctgtctcttccctctcatcggacagcaccccctccagaccaggctccgacgggtttgccctggagcctctcctgccaaagaaaatgcactccaggtcccaggacaagctggacaaggatgacctggagaaggagaagaaggacaagaagaaggaaaaaaggaacagcaaacatcaagagatatttgagaaagaatttaaacccaccgacatttccctgcagcagtctgaggctgtgatcctttcggaaacgataagtcccctgcggccccagagaccgaagagccaggtgatgaacgtcattggaagcgaaaggcgcttctcggtgtccccctcgtcaccgtcctcccagcaaacaccccctccagttacaccaagagccaagctcagcttcagcatgcagtcgagcttggagctgaacggcatgacgggggcggacgtggccgatgtcccaccccctctgcctctcaaaggcagcgtggcagattacgggaatttgatggaaaaccaggacttgctgggctcgccaacacctccacctccccctccacaccagaggcatctgccacctccactgcccagcaaaactccgcctcctccccctccaaagacaactcgcaagcagacatcggtggactctgggatcgtgcagtgattaattaa</t>
  </si>
  <si>
    <t>ggcgcgccatggccccctggcgcaaagctgacaaggagcggcacggcgtggccatatacaacttccaaggcagcggagccccccagctctccctgcagatcggcgatgtggtgcgaatacaggagacgtgtggagactggtataggggatacctcataaagcacaaaatgttacagggcatttttcctaagtcatttatccacatcaaggaagtgacagttgagaaaagaagaaatactgagaacatcattcctgcagaaattcctctggcacaagaagtgacaacgacactttgggaatggggaagcatctggaaacaactctatgtggccagcaaaaaggagcgttttctccaggtgcagtccatgatgtacgatctgatggagtggaggtcccagcttctctcaggaaccttacccaaggatgagctgaaggaactgaagcagaaagtcacgtccaaaattgactatggcaacaaaatccttgagcttgatttgattgtcagagatgaagacggaaatatcttggaccctgataataccagtgtcatcagcttgttccatgcacatgaggaagcaactgataaaatcacagagcgtatcaaagaagaaatgtcaaaagaccagccagattatgcaatgtattcccggatctcctcatcccccacccatagcctctatgtgtttgtgagaaactttgtgtgcagaattggggaagatgctgagctcttcatgtctctctacgaccccaacaagcaaacggtcataagtgagaactacctagtgcgatggggcagccggggcttccctaaggagattgagatgctcaacaatctgaaggtggtcttcacggatcttggaaacaaagacctcaacagggataaaatttacttgatttgtcaaatagtccgggtcggcaagatggatcttaaggatactggtgcaaagaagtgcacgcagggactgaggaggccctttggggtggcagttatggatataacagacatcatcaaggggaaagcagagagtgatgaagaaaagcagcacttcattccttttcacccggttacagctgagaatgacttcctacacagcctgctgggcaaagtcatagcctccaagggggacagtggagggcaaggcctctgggtgaccatgaagatgctggtgggtgacatcattcagattcgcaaggactatccacacctggtggacaggaccaccgtggtggccaggaagctgggattcccagagatcatcatgccaggggatgtcaggaacgacatctacattactctcttacaaggtgactttgacaagtacaacaagaccacacagaggaatgtggaagtcatcatgtgtgtgtgcgcggaggatggcaaaacgctgcctaatgcaatttgcgtgggagcaggggacaagcccatgaatgagtatcgctccgttgtgtactatcaagtcaaacagccacgctggatggaaacagtcaaggtggctgtccctattgaagacatgcagaggatccatctgcgattcatgtttcgacatcggtcatctctggaatctaaagataaaggagaaaagaactttgccatgtcctatgtgaagctgatgaaagaagatgggactactctacacgatggattccatgacttagttgtcctcaagggggacagcaagaagatggaggatgccagcgcatacctgacccttccttcttatcgacaccatgtggaaaacaagggggccacgctgagcaggagctccagcagtgttggggggctttctgtcagctcccgggatgtgttctccatttccaccctggtgtgctccacaaagctcactcagaatgtgggcttgctgggtttgctgaagtggcgtatgaagcctcaactgctacaggagaatttagaaaagttgaagattgtggatggagaggaagtggtgaagtttctccaggatactctggatgccctcttcaacatcatgatggagcattctcaaagtgatgaatatgacatcctcgtctttgatgccttgatttacataataggactcattgcagaccggaaatttcagcatttcaacaccgttctggaggcttacatccaacagcatttcagtgcgaccttggcttacaagaaattgatgacagtgctgaagacttacttggatacctccagcagaggggagcaatgtgagccaatcctaagaacgctgaaggctttggaatatgtgttcaagttcattgttcggtcgaggacattattttcacagctttatgaaggcaaagaacagatggagtttgaagaatccatgagacggctctttgaatccatcaacaatctgatgaaaagtcaatacaaaactaccatccttttgcaggtggcggctttgaaatacatcccatctgtcctgcatgatgtagaaatggtctttgatgcgaagttactcagccaactcctgtatgagttctacacctgcatccctcctgtgaaactccagaagcagaaagtacagtctatgaatgagatagtccagagcaacctctttaaaaagcaagaatgccgggacattctgcttcctgtcatcaccaaagagctgaaggagctgctggagcagaaggatgacatgcaacaccaggtcctggagaggaagtactgcgttgaattgctcaacagcatcttggaagtccttagctaccaggatgcggccttcacctaccaccatatccaggagatcatggtccagctgctgcggacagtgaaccggacagtcatcaccatgggccgggatcacattctgattagtcactttgtggcatgtatgacagccatcttaaaccagatgggtgaccagcactactccttctacattgagaccttccagaccagctctgaacttgtggacttcttgatggagaccttcatcatgttcaaggacctcattggaaagaacgtgtaccctggagactggatggccatgagcatggttcaaaacagggtcttcctgagagctatcaacaagtttgcagaaaccatgaaccagaagttcctagaacacacgaactttgagttccagctgtggaacaactattttcatctggcagtggcttttatcacccaggattctctgcagctggagcagttctcacacgccaaatacaacaaaatcctgaataagtatggggacatgagacggctaattggcttctccatccgtgatatgtggtacaagcttggtcagaacaaaatctgcttcatcccaggcatggtaggacctatattagagatgacacttatccctgaggctgagctccggaaagccaccataccaatcttcttcgacatgatgctgtgtgaatatcaaagaagtggggatttcaaaaagtttgaaaacgaaatcatcctgaagctggaccacgaggtagaagggggccgaggcgacgagcagtacatgcagctcctggagtcaatcctgatggaatgtgctgcagagcacccaaccattgccaagtcggtggagaacttcgtgaacctggtcaaaggcctcctggagaagctgctggattaccggggtgtgatgacagatgagagcaaagacaaccgcatgagctgcaccgtgaacctgctgaatttctacaaagataacaacagggaggagatgtacataaggtacctgtacaaactccgcgatcttcacctggactgtgacaattacacagaggctgcctacacgctccttctccacacctggcttctcaagtggtcggatgagcagtgtgcatcacaggtcatgcagacaggccagcagcacccccagacacaccggcagctgaaggagacgctctacgagaccatcataggctactttgacaaaggaaagatgtgggaagaggccataagtctgtgcaaggagctggcggaacagtacgagatggagatctttgactatgagctgctcagccagaacctgatccagcaggcaaaattctatgaaagcatcatgaaaatcctcaggcccaaaccagactactttgctgttggatactacggccagggattcccctccttcctgcggaacaaagtgttcatctaccgcgggaaggaatatgagcgaagagaagatttccagatgcagctgatgacccagttccccaatgcagagaagatgaacaccacctctgccccgggagatgatgtgaagaatgccccaggccagtatatccagtgcttcactgtccagcctgtcttggatgaacatcccaggttcaagaataagccagtgcctgaccagattataaacttctacaaatccaactacgtgcaaaggttccactactcccggcccgtgcgcagggggaccgtagacccagagaatgagtttgcttccatgtggattgagagaacctccttcgtgactgcatacaagctgccggggatcctgcgctggtttgaggtggtgcacatgtcgcagaccacaattagtcctctggagaatgccatagaaaccatgtccacggccaatgagaagatcctgatgatgataaaccagtaccagagtgatgagaccctccccatcaacccactctccatgctcctgaacgggattgtggaccctgctgtcatgggaggcttcgccaagtatgagaaggccttcttcactgaagagtatgtcagggaccaccctgaggaccaggacaagctgacccacctcaaggacctgattgcatggcagatccccttcttgggagctgggattaagatccatgagaaaagggtgtcagataacttgcgacccttccatgaccggatggaggaatgtttcaagaacctgaaaatgaaggtggagaaggagtacggtgtccgagagatgcctgactttgacgacaggagagtgggccgtcccaggtctatgctgcgctcatacagacagatgtccatcatctctctggcttccatgaattctgactgcagcacccccagcaagcctacctcagagagctttgacctggaattagcatcacccaagacgccgagagtggagcaggaggaaccgatctccccggggagcaccctgcctgaggtcaagctgcggaggtccaagaagaggacaaagagaagcagcgtagtttttgcggatgagaaagcagctgcagagtcggacctgaagcggctttccaggaagcatgagttcatgagtgacaccaacctctcggagcatgcggccatccccctcaaggcgtctgtcctctctcaaatgagctttgccagccagtccatgcctaccatcccagccctggcgctctcagtggcaggcatccctgggttggatgaggccaacacatctccccgcctcagccagaccttcctccaactctcagatggtgacaagaagacactcacacggaagaaggtcaatcagttcttcaagacaatgctggccagcaaatcggctgaagaaggcaaacagatcccagactcgctgtccacggacctgttaattaa</t>
  </si>
  <si>
    <t>ggcgcgccatgtggacccccacggaggaggagaaatacggcgtagtgatatgcagctttcgaggatctgtccctcaagggttggtcttagaaataggagaaacagtccagattcttgaaaaatgtgaaggttggtacagaggagtttcaacaaagaagccaaatgtgaaggggatctttcctgcaaattacattcacttgaaaaaggcaattgtcagtaatagggggcagtatgaaactgtggttccacttgaagattctattgtgactgaggttacagcaactctacaagaatgggcaagtttgtggaaacagttgtatgtgaaacacaaagtagatcttttctacaaactacgccatgtgatgaatgaacttattgacctgcgaaggcagctactgtctggtcacctgactcaggatcaggtgcgggaggttaagcggcacatcaccgtgcgcctggactggggtaatgaacatttgggcctggacctggtgcctcggaaggactttgaagtagtggactcggaccagattagtgtctcagatctctataagatgcatttatctagccggcagagtgtacagcaaagcacatcccaggtagatacaatgcgcccacgtcatggggaaacatgtcggatgccagtgccacatcacttcttcctcagcctgaagagtttcacttacaatactattggggaagataccgatgtcttcttttccttatatgacatgagggaaggcaagcagatcagtgagcggtttctggtaagactgaacaagaatggtgggccgaggaacccagagaagatagaacgaatgtgtgccctttttacagatctgagcagcaaagatatgaagagagatttgtatatcgttgcccatgtgatccgaataggccggatgctcctgaacgactcaaagaaaggtcctcctcacctgcactacaggcgaccatatggctgtgcggtcctaagcatcttggatgtcctacagtcactcacagaagtaaaggaagaaaaggattttgttcttaaggtttacacgtgcaacaacgagagtgagtggtcccagatccacgagaacatcatccgaaagtccagtgccaagtactctgcccccagcgccagccatggtcttatcatttctctgcagcttcttcgtggagacatggaacagattcggagagaaaatcccatgatatttaataggggattggcaattacaagaaaattgggatttcctgatgtcattatgccaggtgatatccgcaatgacctgtacctaaccctggagaagggggatttcgagagaggaggaaagagtgtacaaaagaatattgaagtgaccatgtatgtgctttatgcagatggagaaatcttgaaggattgcatcagcttgggttcaggagagccaaataggagttcctaccactcctttgtcctctaccacagtaatagtcctcgctggggagaaattatcaaattgcctatccccattgaccggttccggggctcccacctgcgctttgagttcagacattgttccacaaaggacaaaggggaaaagaaactctttggctttgcattctcaaccctgatgcgtgatgatggcaccaccctctcagatgatattcacgagctttatgtgtacaagtgtgatgagaatagcacgtttaataaccatgctctgtacctgggcctgccctgctgcaaagaggactacaatggctgccctaatattccttctagcctcatcttccagcgcagcaccaaagagtctttcttcatctccactcagctctcctctaccaaactcacccagaatgtggacctcctagctctgctgaagtggaaagccttccccgaccggatcatggatgtactagggcggctgcggcatgtcagtggggaggaaattgttaagtttctgcaggacatcttagatacactctttgtgattttggatgataatacagagaagtacggcctgttggtttttcagtctctggtgttcatcatcaacctgctccgagacatcaagtattttcactttcgacctgtgatggacacgtatatccagaagcactttgctggagctctggcatacaaggagctcatccgctgtttgaagtggtatatggactgctcagcagaactgattcgacaggaccacattcaagaagctatgcgggccttggagtaccttttcaagttcattgtacagtcacggatcctgtactcacgagccacttgtggaatggaagaggaacaattcagatccagtatccaagaacttttccagtccatccggtttgtgctcagtctggacagccgaaactcagaaacactcctttttactcaggctgcactcctcaattctttcccaaccatctttgatgagcttctgcaaatgttcaccgtgcaagaggtggcagagtttgtgagagggacactggggagcatgcccagcactgtgcacattgggcagtcaatggacgtggtcaagctgcagtccattgccaggacagtggatagccgcctgttttctttctcagaatcccgccgcatcctgcttcctgtggttctccatcacattcaccttcacctgaggcagcagaaagagctgctaatttgctcagggattcttggcagcatcttctccatcgtcaagaccagctctctggaggcagatgtcatggaggaagtagagatgatggtggagagcctcctggacgtgctcttgcagactctgctcaccatcatgagcaaatcgcacgctcaggaggcggtaagagggcagcggtgcccgcagtgcacagccgagatcactggcgagtatgtgtcctgccttctctcactgctccgccagatgtgtgacacccatttccagcacctcctggacaacttccagagcaaagatgaactcaaggaatttctgctgaagattttttgcgtgttccggaacctgatgaagatgagtgtcttccctcgggactggatggtaatgagactgctcacaagcaatattatagtcactactgtccagtacctgtcctctgcactgcacaagaatttcacagagactgactttgactttaaggtgtggaattcttactttagcctggcagttctattcataaatcagccaagccttcagctagaaattatcacctcagccaaaaggaagaagattctagataagtatggggacatgcgtgtaatgatggcctatgaactgttcagcatgtggcagaatttgggtgaacataagatccactttattccgggaatgattggtccttttctgggtgtgacactggtcccacagccagaagtacggaatatcatgattcccatctttcatgacatgatggactgggagcagagaaaaaatggcaacttcaaacaggtggaggccgagttgattgacaagctggacagcatggtgtcagaagggaaaggtgacgagagctacagggagctcttcagcctactaacccagctgtttgggccctaccccagcctgctggagaaggttgaacaagaaacatggcgcgagaccggcatttcctttgtgacctcagtcacccgcctcatggaacgtcttcttgactacagggactgcatgaaaggagaggaaacagagaataagaagataggctgcactgttaacctgatgaatttttacaaatctgagattaacaaggaagaaatgtatatccgctacatccataagctttgtgacatgcacttgcaggccgaaaactacacagaggccgcatttaccctgctcctttactgtgagctgctgcagtgggaggaccggccactacgggaattcctccactacccatcgcagacagagtggcagcggaaggagggactgtgccggaagatcattcactacttcaacaaaggcaagagctgggagtttgggatcccactgtgcagggagctggcgtgtcagtacgagagcctctatgattaccagagcctcagctggattcggaaaatggaggccagctactatgacaacattatggagcagcaacgcctggagcctgagttctttcgggtcggcttctatggcaggaagtttcctttctttcttcggaacaaagaatacgtgtgccgtggccatgactacgagaggctggaggccttccagcagaggatgctcagtgagtttccgcaggctgtcgccatgcagcaccccaaccatcctgatgacgccatcctacagtgcgatgcccagtacttgcagatctatgcagtgacgcccattccagattatgtggatgttctgcagatggatagggtaccagatcgagtcaagagcttctatcgcgtcaacaatgtgaggaagttccggtatgacaggccttttcacaaaggccccaaggacaaggagaatgaattcaagagcctgtggattgaacgtaccacactgaccctgacccacagcttgcctggcatctctcggtggtttgaagtggagaggagggaactggtggaggtgagccctctggagaatgccatccaagtggttgagaataagaaccaggagctacgctccctgatcagccagtatcaacacaagcaggtgcatggcaacattaacctgctaagcatgtgcctgaatggtgtcattgatgcagctgtcaatggaggcattgcacgctatcaggaggccttctttgataaagattacatcaacaagcacccaggagatgctgagaagatcacccagctcaaggagcttatgcaggagcaggttcatgtccttggagttgggctagcagttcatgagaagtttgtgcacccagaaatgcggcctctgcataagaagctaattgatcagttccagatgatgcgggccagtctctaccatgagtttccaggtttggataagctaagtcctgcatgttcaggcaccagcaccccacggggaaatgttctggcatcccatagccccatgagtccggagagcatcaagatgacccaccggcacagccccatgaacttgatgggcacaggccgccattcatcatcctctctctcctcacatgcgtctagtgaagcaggaaacatggtgatgctgggtgacggctccatgggtgatgctcctgaggacctgtaccaccacatgcagctcgcgtatcccaaccccaggtaccaaggctcagtcaccaacgtctctgttctgtcctcgtcccaggcaagcccttcttcctccagcctgagttccactcactcagcaccatcccagatgattacctctgccccttccagtgcccgaggctctccctctctgccagataagtaccgccatgcccgtgaaatgatgttgttgctgcccacataccgggaccgcccaagcagtgccatgtatccagcagccatcctggagaacggacagccgccgaatttccagcgagccctgttccagcaagtggtcggagcctgcaaaccctgcagtgatcccaatctgtctgtggctgaaaaaggtcattactccctacactttgacgccttccaccaccctctgggtgatacccccccagccctccctgcccggaccctgcgcaagtctcctctccaccctatcccagcctcccccacaagcccccagtcaggtctggacggcagcaactctacgctgtccggcagtgccagcagcggcgtgtcctccttgagtgagagtaactttgggcactcctcggaggccccacctcgcactgacaccatggactccatgccaagtcaggcctggaatgctgacgaagatcttgagccaccctacctccctgtccactacagcctctctgagtctgccgtcctggactccatcaaggcccagccatgccgaagccactcagccccagggtgcgtcatccctcaggaccccatggacccgcctgcgctgccgcccaagccctaccacccccgcctgccggccctggagcacgatgagggggtgctgctgcgtgaagagactgagaggcctcgaggcctgcaccgcaaggctccattgcctcctgggagcgctaaggaggagcaggcccgcatggcctgggagcacggccgaggggagcagttaattaa</t>
  </si>
  <si>
    <t>ggcgcgccatgtggatacctacggagcacgagaaatacggcgtggttattgccagtttccgaggaaccgttccatatggcctgtcattggaaattggagatacagttcagatcctggagaagtgtgatggctggtacagaggatttgccttaaaaaacccaaatatcaagggtatatttccttccagctacgttcacttgaaaaatgcctgtgtaaagaacaaaggacaatttgaaatggttattcccactgaagactctgttatcacagaaatgacatcaacattaagagactggggaaccatgtggaaacaactctatgtgcgtaatgaaggcgatctcttccaccggctgtggcacatcatgaatgaaatcctggacctgaggcggcaggtgctggtgggccacctcacccacgaccggatgaaggacgtgaagcgccacattactgcccggcttgactggggcaatgaacaactgggactggacctggtgcctaggaaagagtacgcaatggtggatccggaagacatcagcattactgagctctaccgattgatggaacatcgacatcggaagaaagacaccccggtgcaggccagcagtcaccacctctttgtccagatgaagagcctcatgtgttccaacctgggagaggagctggaggtcatcttctcactctttgacagtaaagagaaccggccaatcagtgagagatttttcttgaggctgaatagaaacgggcttcccaaagcccctgataaaccggaacgacattgctccctctttgtggatttgggcagcagtgagctaagaaaggacatttatatcaccgtgcacattatccgaatcggtcgaatgggagcaggagaaaaaaagaatgcctgtagtgtccagtaccgacgaccctttggctgtgcagttcttagcatcgctgacctgctaacaggagagacaaaggatgacctcattctgaaagtatacatgtgtaacacagagagtgagtggtaccaaatccatgagaacatcatcaaaaagctgaatgcacgttataacttgactggctccaatgcaggtttagcagtttccttacagctattgcacggagacattgaacaaatcagaagggaatattcatcagtattttctcatggagtatccataacaaggaagctgggattttcaaatattattatgcctggtgaaatgaggaatgatttatatatcactattgaaaggggagaatttgagaaaggagggaagagcgtggccagaaatgtggaagttacgatgttcattgtagacagtagtggccaaaccctgaaggattttatctccttcggctctggggagccaccagccagtgagtaccactcctttgtgctttaccataacaacagtcccaggtggtctgaactgctgaaacttcccattcctgtggataaattccggggtgcacacatccgcttcgagtttcggcgttgttccacaaaggagaaaggagagaagaagttgtttgggttttcttttgtccctctgatgcaagaagatggtaggactcttccagatggcactcatgagctcatcgtgcataagtgtgaagaaaacacaaatcttcaggatactacccgctacctcaaacttcccttttccaagggcattttccttgggaataataatcaagccatgaaggccacaaaggagtccttttgtattacatcttttctctgttccacaaaactcacacaaaatggtgatatgcttgatcttttgaaatggagaacccacccagacaagatcactggctgtctctctaaattaaaagaaattgatggctcagagatagtaaagtttctgcaggatacactggataccttatttggaattttagatgaaaattcccaaaaatatgggtctaaagtgtttgattctttggttcacataataaatttgctgcaagatagcaaatttcatcattttaaacctgtaatggacacttacattgagagtcattttgctggggcacttgcatacagagatctcatcaaagtgctcaaatggtacgtggaccggatcacagaagcagagcggcaagagcatatccaggaggtgctgaaggcacaagaatacatttttaagtatatagttcaatctcgaaggctgttttcccttgccactggtgggcaaaacgaagaggagttccgctgctgcattcaggagcttctcatgtcagtccgtttctttctttcgcaagagagcaaagggtctggagcattatctcagtcacaggctgtgtttctgagctctttccctgccgtgtactcagaactgttgaagctctttgatgtccgggaagtagccaacttggtccaggacaccctgggcagtctgccgaccatcctgcatgtggatgattccctgcaggccatcaaactgcagtgcattggcaaaaccgtggaaagccagctttataccaacccagattcccgatacattcttctgcctgtcgtgttacatcacctccacattcacttgcaagaacagaaggacctgatcatgtgtgcacgtatccttagcaacgtattttgtcttatcaagaaaaatagctcagaaaaatctgtgctggaggaaatagatgtgatagtggccagcttgctggatattctgctgaggaccatattggagatcaccagccgacctcagccatccagctcagcaatgcggttccagttccaggatgtcactagaacaggctttctgaatagggagtcttcacatggcagtactacattgagcaccttttcagtctgtgcagacacatatggaaaagtgcccatgacaagtagacacactggggagtttgttgcttgtctcctgtccctattacgacaaatgacagatagacattatcaacagcttcttgatagttttaatacaaaggaagaactaagggatttcctgctgcagatatttactgtgttccgaatattgatacgcccggagatgtttccaaaggactggactgttatgcgcttggttgctaacaatgttattattacaacagttctatacctctcagatgcacttcgtaagaacttcttaaatgaaaaccttgattataagatctgggattcctacttttacctcgcagtcatttttataaaccagttgtgtctgcagttggagatgttcacaccttccaagaagaaaaaggtgttagaaaagtatggtgacatgcgggtaacaatgggttgtgaaattttcagcatgtggcaaaacctaggagagcacaagcttcattttatccctgccctgattggccccttcctagaagtgaccttgataccccagccagatcttcggaatgtcatgattccaatttttcatgatatgatggactgggagcagaggcggagtggcaactttaaacaggtggaagccaagctaattgacaaactggatagcctgatgtcagaaggcaaaggtgacgaaacataccgcgagctcttcaacagtataattccactatttggtccctatcctagtctactaaagaaaattgagcgggaaacatggcgggaaagtggcgtttcattaattgctactgtaactcgtctaatggagaggttgttagattacagggactgcatgaaaatgggagaggtagatggcaaaaagattggctgcacagttagccttctgaacttctataagactgaactgaacaaggaggagatgtatatacgctacattcacaaactctatgatctgcatctcaaagcacagaactttacagaagctgcatataccctcctcttatatgacgagctactggaatggtctgatcggcccctcagggagttcctgacctaccccatgcaaacagaatggcagcgcaaagagcacctgcacctcaccatcatccagaactttgacagaggcaaatgttgggagaatggcattatcttgtgccggaagattgcagagcagtatgagagttattatgactacagaaacctgagcaagatgcggatgatggaagcctctttgtatgacaaaattatggaccagcaacgtcttgaaccagagttcttcagagttggattttatggaaaaaaatttccatttttcttaagaaataaggagtttgtgtgtcgagggcatgactacgagaggctggaagccttccaacagagaatgctgaacgagttcccccatgccatcgccatgcagcacgccaaccagcccgatgagaccatcttccaggcagaagctcagtatttgcagatatatgctgtgactcccattccagagagccaggaggtcctgcagagagagggtgttccggacaacatcaaaagcttctataaagtgaatcacatctggaaattccgctatgaccgaccatttcacaaaggcacaaaagataaagagaatgaattcaagagtctctgggtggagagaacgtcattatacttggtgcagagtttgcctggcatctctcgctggtttgaagtggaaaagcgtgaagtggtagaaatgagtcctctggaaaatgcaattgaagtgctagaaaataagaatcagcagctgaagactctgattagtcagtgtcagacaagacagatgcagaatattaatcccctgactatgtgcctgaatggagttatagatgctgcagttaatggtggcgtttccaggtatcaagaggcattctttgtcaaagaatatatcttaagtcaccctgaagatggggagaaaattgcacgattaagagagctgatgcttgagcaggcacagattctggaatttggtttggccgtgcatgagaagtttgtacctcaagatatgagaccccttcacaaaaagctggttgaccaattctttgtgatgaagtcgagcttagggatacaggagttctctgcttgtatgcaagccagtcctgtccattttcctaatggaagccctcgtgtgtgtagaaactcagcacctgcttctgtgagcccagatggtaccagggtaattcctagacgcagcccgttaagttacccagctgtcaaccgatattcttcctcctcactgtcctcacaagcttctgctgaagtaagcaatattacagggcaatcagaaagctctgatgaagtctttaacatgcagccaagtccatctacctcaagcttgagttctactcactcggcttcacctaatgtgacaagttctgctccatcgagtgccagagcttctcctttgttgtctgacaaacacaaacattcccgagaaaactcttgcctgtcaccaagagagagaccatgcagtgccatctatccaacacctgtggagccttcgcagaggatgctgtttaatcatattggagacggggccttgccacgcagtgacccaaatctctctgcacctgaaaaagctgtgaaccccacccctagcagctggagcctggacagtgggaaggaagccaagaacatgtcggatagtgggaaacttatctctccccctgtccctccaagacccacacagactgcttcaccagcaagacacacgacatcagtatccccctcgcctgccgggcgatctccattgaagggctctgtgcagtctttcaccccctctccagtggagtaccactcgccaggactcatctccaactcccctgtcttgtcgggcagctacagcagtgggatttcttctctcagccggtgcagcacgtcggaaacctcaggctttgaaaatcaggtgaatgaacagtcggcccccctgccggtgccagtgccggtgcccgtgccgagctacggcggggaggagccagtgcgcaaggagagcaagactccgcccccgtacagcgtctacgagcggactctgcggcgccccatcccgctacctcacagcctctccatccccgtcacgtcggagccgcccgcgctgccccccaagcctctggcagcgcgatccagccacctggagaatggggcccggaggactgaccccggcccgcggcccaggcccctgccccgcaaggtctctcagttattaattaa</t>
  </si>
  <si>
    <t>ggcgcgccatggcccgctggatcccgaccaagaggcagaagtacggggttgcgatctataactacaatgcttctcaagatgtggagctctccttgcagatcggtgacacagttcacatcctggagatgtacgagggttggtacagaggatataccctccaaaataaatctaaaaagggcattttccctgaaacatatatccatttgaaagaggcaactgtggaagacctggggcagcatgaaaccgtgattcctggcgagctccccctggtgcaggagctcacgtccactctgcgagaatgggctgtcatctggcgaaagctctacgtgaacaacaagctcaccctcttccgccagctgcagcagatgacgtacagcctgatcgagtggcggtcccagatcctgtctgggacgctccccaaggatgaactggcagagctcaagaagaaagtcacagccaaaattgatcatgggaacagaatgctggggttagatctggtggtgcgagatgacaatgggaacatcctagaccctgacgaaaccagcaccattgccctcttcaaggcccatgaggtggcctccaaaaggattgaggaaaagatccaagaagagaagtcaatcctgcagaacctcgatttgcggggccagtccatcttcagtaccatccacacctatggcctctatgtgaacttcaagaactttgtctgcaacatcggggaagatgcagagttgtttatggccctctacgacccagaccagtccacttttatcagtgagaactatctaattcgttggggcagtaacgggatgcccaaggaaatagagaagctcaataacctccaagcagtgtttacagaccttagcagcatggacctcatccggccccgcgtcagccttgtgtgccagattgtccgcgtgggccatatggagctgaaggaaggcaagaagcacacctgtggactccgaagaccttttggagtggcagtgatggatattactgatatcatacatgggaaggtggatgatgaagaaaagcagcattttattccctttcagcaaattgcgatggaaacctacatccgccagaggcagctcatcatgtcgcctttgataacatcacacgtgattggggagaatgagccactcacttcagtcttgaataaagtgattgcagcaaaggaagtgaatcacaaagggcaaggcctttgggtatccttgaagctcttgcccggtgacctcacccaggttcagaagaatttttcacacttggttgatagatcaacagcaatagcccggaagatgggctttcctgaaatcatactgccaggagatgttcggaatgacatttatgtcaccctgatccacggtgagtttgacaaagggaagaagaagacgccaaagaatgtggaggtgacgatgtctgtgcacgatgaggagggcaagctcttggagaaagcaattcaccctggtgctggatatgaaggcatttcagaatacaaatcagtagtctattaccaagtcaagcagccctgttggtatgagactgtcaaggtatccattgctatagaagaagtcacacgctgtcatataagatttaccttccgacacaggtcatctcaggaaaccagagataaatcggagcgagcatttggggtggccttcgtgaagctgatgaacccggatggcaccactctgcaggatgggaggcacgatctggtggtttataagggtgacaacaaaaaaatggaagatgctaaattctacctgaccctgcctggaaccaagatggagatggaagaaaaagagcttcaagcatccaaaaacctggtcaccttcaccccaagcaaggatagcactaaagacagctttcagattgccaccctcatctgctccacaaagctcacccagaatgttgacctgttaggcttgttaaattggcgttccaactcccagaacattaaacacaacctaaagaagttaatggaagtggatggaggagagattgttaagtttttgcaagatacactagatgcactctttaacataatgatggaaatgtcagacagtgaaacctatgacttccttgtgtttgacgcactggtatttattatttcactgataggagacatcaagttccagcattttaatcctgtacttgaaacctacatttacaagcacttcagcgccactttggcatatgtgaaactctccaaggtactgaacttctatgtggctaatgcagatgactccagcaagactgaactgctttttgctgcgttgaaagccttgaagtacttgtttagattcatcatccaatcccgagtgctctacttgagattttatgggcagagcaaagatggagatgagtttaataattcaattcgccagttatttcttgctttcaatatgctgatggacaggcctctggaggaagccgtcaagatcaagggggcagctttgaagtaccttcctagcataattaatgatgtcaaacttgtatttgatcctgttgagctcagcgtgctcttctgcaaattcattcaaagcattcctgacaaccagctggttcggcagaaacttaactgcatgaccaagatagtagagagcactctttttcgacagtcagagtgcagagaagtgctgctgccactgctgacagaccagctcagcggccagttagatgacaactccaacaagcctgaccacgaggcaagctcgcagcttctgagcaacatcctggaggtgctggacaggaaggatgtgggtgccactgcggtgcacattcagcttataatggaacggctgctgagaaggatcaaccggacagtgattgggatgaaccggcagtctccccacatcgggagttttgtggcttgcatgattgccctgctgcagcaaatggacgacagccactatagccactacatcagcactttcaaaaccagacaagacatcatcgacttcctcatggaaacttttatcatgttcaaggacctgattggaaagaatgtctatgccaaagattggatggtgatgaatatgactcaaaacagggtttttctccgtgctataaatcagtttgctgaagttctcacaagattcttcatggatcaggcaagctttgaacttcagctctggaacaattacttccatttggcagttgcatttctcacccatgagtcccttcagcttgaaaccttctcacaagccaagcgcaacaaaattgttaaaaaatatggggacatgagaaaggaaatcggctttagaatccgggacatgtggtataacctgggtccccacaaaatcaaattcatcccatccatggtgggtcccattctggaggtcactctgacccctgaagtagagctccggaaagccacaatccccattttctttgatatgatgcagtgtgagttcaatttcagtggaaatggcaatttccatatgtttgagaatgagctgatcacaaagctggaccaggaggtagaagggggcagaggagacgaacaatacaaggttcttctggaaaaactgctcctagaacattgccggaaacacaaatacctctccagctctggggaggtcttcgccctcctggtcagcagcctcttagagaacctgctggactatagaaccatcatcatgcaagatgagagcaaggagaaccgtatgagctgcactgtgaacgtgctgaacttttataaagaaaagaagagagaggacatatacataagatatctgtacaagcttcgagatttgcaccgagactgtgagaactacacagaagctgcctacacgcttctcttgcacgctgagcttctgcagtggtctgacaagccctgtgtgcctcatttgcttcagaaggacagttactatgtttatacccagcaagagcttaaagagaagctgtatcaagaaatcatatcatatttcgacaaaggcaaaatgtgggagaaggccatcaagctgagcaaagagttggctgagacttacgaaagcaaagtatttgactacgagggccttggcaacctcctgaaaaaaagggcctcattttatgagaacatcattaaggcaatgaggcctcagcctgaatactttgctgttggatactatggacagggctttccttctttcctacggaataaaatcttcatctatcggggaaaggagtatgagaggcgagaggacttcagcctgaggttgttaacccagttccccaatgcggagaagatgaccagtaccacgcctcctggggaagacatcaagtcgtcccccaagcagtacatgcagtgcttcactgtaaagccagtgatgagcttgccgcccagctacaaggataaacctgttccagagcagatcttaaactactacagagccaatgaagtgcagcagttcagatactcccggccgttccggaaaggagaaaaggatccagacaatgaatttgctacgatgtggattgaacggaccacgtatacgactgcatatacctttcctgggattctcaagtggtttgaagtcaaacagatttcaacagaagagatcagtcctctggagaatgccatcgaaaccatggagctgaccaacgagaggatcagcaactgtgttcagcagcatgcctgggaccggtccctctctgtgcaccctctctccatgctgctcagtggcatcgtggacccggccgtcatggggggcttctccaactatgaaaaggctttttttacagaaaagtacttgcaggagcatcctgaagaccaggagaaggttgagctgctaaagcgactaatagcattacagatgcccctgctaacagaagggatccgcatccatggggagaaactcacagagcagctgaagccgctgcatgagcggttgtcttcttgcttccgggaactcaaggagaaagtagaaaagcactatggggttataacactgccacccaacttgacggagaggaagcaaagccgcacggggtctattgtgctcccctacatcatgtcttccactctgcggaggttgtccatcacctcagtcacttcctctgtggtttccacctcttcaaactcgtctgacaatgctccttccagaccgggatctgatggctcaatcttggagccacttttggagcgcagggcctcgtcaggtgccagagttgaagatctgtcccttagagaggagaacagcgagaaccggatcagcaagtttaagagaaaagactggagtctgagcaagtcccaggtcattgcagagaaagcaccagaacccgatttgatgagcccaaccagaaaagcacaaaggccaaagagtctccagttgatggataatcggctatcaccatttcacggttcttcacctcctcagtcaacacccttgagcccacctccactcactcccaaagccaccaggaccctaagctccccatcgttgcagacagatggaatcgcggccactcctgtcccacctccacctccccccaaaagcaagccctatgaaggcagccagaggaactccactgagctcgctcccccactgcctgtccgaagagaagccaaagcaccaccccctccacctccaaaggctcggaagtctggcatccctacttccgagcctggatcccagttaattaa</t>
  </si>
  <si>
    <t>gggcgcgccatggctgcctccgagcgccgcgccttcgcgcacaagatcaacaggacggtggccgcagaggtgcggaagcaggtgtcccgggaacgcagtggctccccccactccagcaggcgctgcagcagctccctgggggtcccactgactgaagttgtcgagcccctggactttgaggatgtacttctgagccggccaccagatgctgagcccgggcccctcagggacctggtagaattcccagctgatgacttggagctgctgctgcagccccgggaatgccggaccacggagcccgggatccccaaggatgaaaaactggatgcccaggtgagggccgcggtggagatgtatattgaggactgggtcattgtccacagaaggtatcagtacctgagtgcagcatacagccccgtcaccacagacacacagcgggagcgacagaagggcctcccccgccaggtctttgagcaggatgcttctggagacgagaggtccggccctgaggactcgaatgactcccggcgtggctcgggctccccggaagacacccctcgaagcagtggtgcctctagcatcttcgacctgaggaacctggcagctgactcattgctgccctctctgctagagcgggcggccccagaagatgtggaccggcgcaatgaaacccttcgacggcagcaccggcccccggccctgctcaccctctacccggcacctgacgaggatgaagccgtggaacgctgtagccgcccagagccaccccgcgagcactttggacaaaggatcttggtcaagtgtctgtcgctcaagttcgagattgaaattgagcccatctttgggatcttggctctgtatgatgtgcgggagaaaaagaagatctcggagaacttctacttcgacctgaactcggactccatgaaggggctgcttcgggctcatggcacccaccctgccatctccaccctggcccgctctgccatcttctctgtgacctacccctcacctgacatcttcctggtcatcaagttggagaaggtgcttcagcaaggggacatcagtgagtgctgtgagccttacatggtgttgaaagaagtggacacagccaagaacaaagagaagctagagaagctgcgcctggcggccgagcagttctgcacccgcctgggccgctaccgcatgcccttcgcctggacggccgtgcacttggccaacatcgtgagcagcgctgggcagctggaccgggactctgactcggagggcgagcgccggccagcctggacagaccgccgccgtcgggggccccaggaccgggcgagtagtggggacgacgcctgcagcttctctggcttccgtccagccacgctaactgtcacaaacttctttaagcaggaggctgagcgactcagtgacgaggacctcttcaagttcctggctgacatgaggcgcccgtcgtccctgctgcggcgactacgtcctgtgactgcccagctcaagatcgacatttctccggctcctgaaaatccccacttctgcctctcccctgagctgcttcatatcaagccctacccggaccccaggggccggcccaccaaggagattctggagttccccgcccgcgaagtctatgccccccataccagctacaggaacctgctgtacgtgtacccgcacagcctcaacttcagcagccgccagggctccgtgcgcaaccttgctgtgcgagtgcagtacatgacaggcgaggaccccagccaggctctgccggtcatctttggcaagtccagctgcagtgaatttacccgcgaggccttcacaccggtggtctaccataacaagtcccccgagttctacgaggagttcaagctgcatcttccagcctgcgtgacagagaaccatcacctgctgttcaccttctaccatgtcagctgccagccccggccgggcactgccctggagacacccgtgggctttacttggatcccactgctgcagcacgggcgcctgaggaccggccccttctgtctcccagtgtctgtggaccagccgccgcccagctattccgtgctcacacccgatgtggcgcttccgggcatgcgctgggtggacggtcacaagggcgtgttcagtgtggagctcacagccgtgtcctctgtgcacccccaggacccctacctggacaaattcttcaccctggtgcacgtcctggaggagggagccttcccattccggctcaaggacactgtgctgagcgagggcaacgtggagcaggagctgcgggccagtcttgcagcactgcgcctggccagccccgaaccccttgtggccttctcccaccacgtgctggacaagctcgtgcgtctggtcatcaggcccccgatcatcagtggccagattgtgaacctgggccgtggagcctttgaagcaatggcccatgtagtcagccttgttcaccggagcctggaggcagcccaggatgcccgcggtcactgcccacagctggctgcctacgtccactacgcctttcgccttcctggcactgagcccagcctcccggatggggcccctccagtgacagtgcaggctgccacactggcccgtggctctggtcgccccgcaagcctctacctggcgcgttccaagagcatcagcagcagcaaccctgacctcgccgtggcccctggctctgtggatgacgaggtttcccgcatcctggccagcaagctgcttcacgaggagctggctctgcagtgggtggtcagcagcagtgccgtacgcgaggccatcctccagcacgcctggttcttcttccagctcatggtgaagagtatggcgctgcacctgctgcttggccagcgactagacacaccccgcaagctgcgcttccccggacgcttcctggacgacatcactgccttggtgggctctgtgggcctggaggtcatcacccgtgtccacaaggatgtggagctggccgagcacctcaacgccagcctggctttcttcctcagtgaccttctgtccctggtggaccggggctttgtcttcagcctggtccgggcccactacaagcaggtggccacgcggctccagtcgtcccctaatccagcagccctgctgaccctgcgcatggaattcacccgcatcctgtgcagccacgagcactacgtgaccctcaacctcccctgctgccccctgtcacctccagcctcgccctccccctctgtgtcctccaccacctcccagagctccaccttctccagccaagccccggaccccaaggtgaccagcatgttcgaactgagtggaccattccggcagcagcacttcctagctgggctcctgctgacggagctggcactggccctcgaacctgaggctgaaggggcattcctgttgcacaagaaggccatcagtgctgtgcacagcctgctatgtggccatgacactgacccccgctacgccgaggccactgtgaaggctcgtgtggccgagctgtacctgccactgctatcgattgcacgggataccttgccacggctgcatgactttgctgagggcccaggtcagcggtcaagactggcctcaatgcttgactcagacacagaaggcgaaggggacattgcgggtaccatcaacccctctgtggccatggccattgctggtggccccctagcccctggctcccgggccagcatctcccaggggccaccaacggcttctcgcgcaggctgtgccctctctgctgagtcaagccggaccttgctggcgtgtgtgctgtgggtgctgaaaaacaccgagccggcgctcctgcagcgctgggccactgacctgacactcccccagctgggacgtctgttggatttgctgtacctttgcctagctgcctttgagtacaaggggaaaaaggcctttgaacgcatcaacagcctcacattcaaaaaatctctggatatgaaggcgcggctagaggaagccattctgggtaccatcggagctcgacaagaaatggttcggcgaagtcgtgagaggagcccgtttgggaatccggagaatgtgcgctggcggaagagcgtcacacactggaagcaaacctcagaccgcgtggacaagaccaaggatgaaatggaacacgaggccttggtggaagggaacctggcaaccgaggcaagcctagtggttctggacacactggagatcatcgtgcagacggtgatgctttcagaagcccgggagagcgtcttgggggcagtgctgaaggttgtgctgtacagcctgggcagtgcccagagtgccctcttcttgcagcatggcctggccacccagagggcccttgtgtccaagttcccggagctgctgttcgaggaggacacggagctgtgtgccgacctgtgcctgaggctcctacgacactgtggcagccgcatcagcaccatccgcacgcacgccagcgcctcgctgtacctgctcatgcgacagaacttcgagatcggccacaactttgcccgtgtgaagatgcaggtcaccatgtctctctcgtccctggtggggacgacgcagaacttcagtgaagagcacctgcgacgttcactcaaaaccatcctcacctatgctgaggaggacatggggctgcgggacagcaccttcgcagagcaggtccaggacctgatgttcaacctgcacatgatcctgacggacacggtgaagatgaaggaacaccaggaggaccctgagatgctcatcgacctcatgtacagaattgcccggggctaccagggctcaccggaccttcggctgacctggttgcagaacatggccgggaagcacgcggagctgggcaaccacgccgaggccgcccagtgcatggtgcacgcggccgccctcgtggctgagtacctcgccctgctcgaggaccaccgccacctgcccgtgggctgcgtttccttccagaacatctcatccaacgtgctagaggagtccgccatctccgacgacatcctgtcgcccgacgaggagggcttctgctccgggaagcacttcactgagctggggctggtagggttgctggaacaggcagccggctacttcaccatgggcgggctctacgaggcggtgaatgaggtctacaagaacctcatccccatcctggaagcccaccgtgactacaagaagctggccgcggtgcacggcaaactgcaggaggccttcaccaagatcatgcaccagagttccggctgggagcgcgtgttcgggacgtatttccgcgtgggcttctacggcgcccacttcggtgacctggatgagcaggagtttgtgtacaaggagccatcgatcacgaagctggcagagatctcacaccggctggaggagttctacacggagagatttggcgacgacgtcgttgagattatcaaagactctaaccctgtggacaagtccaagcttgactcacaaaaggcctacatccagatcacgtatgtggaaccgtactttgatacctacgagctcaaggaccgggtgacctactttgaccgcaactatgggcttcgcacattcctgttctgcacgccgttcacgccggatgggcgcgcacacggggagctgcccgagcaacacaagcgtaagacgctgctcagcaccgaccacgccttcccctacatcaagactcgcatccgtgtgtgccaccgggaggagacggtgctgacgccagtggaggtggccatcgaggacatgcagaagaagacacgggagctggcctttgccaccgagcaggacccaccagatgctaagatgctacagatggtgcttcagggctctgtagggcccaccgtgaaccagggtcccctggaggtggcccaggtgtttttagcagagatcccggaagaccccaagctcttccggcatcacaacaaattgcggctctgcttcaaggacttctgcaagaaatgtgaggatgcgctgcggaaaaataaggccctgattgggccggaccagaaggagtaccaccgtgagctggagcgcaactactgccgcctgcgggaggctctgcagcccctgcttacccagcgcctgccccagctgatggcacccaccccacccggcctcaggaactccttgaacagagcaagtttccgaaaggcagacctcttaattaa</t>
  </si>
  <si>
    <t>ggcgcgccatgattttcaaagaagcagatgccaccaagaataaagaaaaactggagaaactgaagagtcaagcagatcagttttgccaaagacttgggaaatatcgcatgccttttgcttggactgcaatccatttaatgaatattgttagcagtgctgggagtttggaaagagattctacagaagtagaaatcagtactggagaacgaaaagggtcttggtcagagaggaggaattctagtattgttggcagacgatcacttgaaaggacaacaagtggagatgatgcttgtaacttgacgagctttcgaccagctactctcacagtgacaaatttttttaagcaggaaggagaccgcttaagtgatgaagatctctacaaattccttgctgatatgagaaggccatcttctgtcttacggcgactaagacctattacagctcagctcaagatagacatttctcccgcacctgaaaatccccattattgcctaactccggagctgcttcaagtgaagctttaccctgacagtagagttagacctaccagagaaatcttagagtttcccgcaagggatgtttatgttccaaacactacttacagaaatcttctctacatataccctcagagtcttaattttgccaatcgtcaaggttctgctagaaatataacagtgaaagtccagtttatgtatggagaggatccaagcaatgccatgccggtaatctttggtaaatctagctgttcagaattttcaaaggaagcctatacagccgtagtatatcataacaggtctcctgattttcatgaagaaatcaaggttaagcttcctgctactttaactgaccatcatcacttgctttttactttttatcatgttagttgtcaacaaaaacaaaatactcctcttgaaacaccagttggatatacatggataccaatgcttcagaatggacggttgaagactggccagttttgcttgccagtctcattggaaaaaccaccacaggcttattctgtactgtctcctgaggttcctctacctggcatgaaatgggtagataatcacaaaggtgtttttaatgttgaagttgttgctgtttcgtctatccatacacaagatccttatcttgacaaattttttgctctggtcaatgctctggatgaacacctgttcccagtccgaattggggacatgcgaatcatggaaaataacttagaaaatgaattgaagagcagtatttcagcactgaattcatcccagctggaaccagtggtccgatttcttcatcttctgctagataaactgatacttttagttattagacctcctgtcattgctggccaaatagttaacctaggtcaagcatcttttgaagccatggcatcaattataaatcgacttcacaaaaacttggaaggaaatcatgaccagcatggcagaaacagccttcttgcatcatatattcattatgttttccgcctaccaaatacttaccctaattcatcatcaccaggtcctgggggtttgggaggatcagtgcattatgccacaatggctagatctgcggtgagacctgcaagccttaatttaaatcgttctcgaagccttagtaatagcaatccagatatatctgggactcccacgtcaccagatgatgaagttcgatcaatcatcgggagtaaggctatggatcgaagttgtaatcgtatgtcttcgcacacagagacgtcaagtttcttacaaacattaacgggacgcttaccaactaaaaagctttttcacgaggagctggctttgcagtgggttgtttgcagtggcagcgttcgggaatcagctttgcaacaagcctggttcttttttgaattaatggtaaagagcatggtgcaccatttatactttaatgataaacttgaggctccaaggaaaagtcgttttccagaacgtttcatggatgacattgcagctcttgtcagcacgattgctagtgatatagtttcacgatttcagaaggacacagaaatggttgagagactcaatacaagccttgcattctttctcaatgatctgttgtctgttatggacagaggatttgtttttagccttataaagtcctgctataaacaggtgtcttcaaagctttactcattaccgaatcccagtgttctggtgtccttgaggctggattttctacgaatcatctgcagtcatgagcactatgttacattaaacttaccctgcagcttacttactccacctgcatctccatcaccttctgtttcttctgcaacatctcagagttctggattttctacgaatgtacaagaccaaaagattgcaaatatgtttgaattatccgtgcctttccgccaacagcattatttggcaggacttgtgttaacagagctggctgtcattttagaccctgatgctgaaggactgtttggattgcataagaaagtcatcaatatggtacacaatttactctccagtcacgactcagacccgcggtactctgaccctcagataaaggctcgagtggccatgttgtatctacctctgattggtattatcatggaaactgtacctcagctgtatgattttacagaaactcacaatcaacgaggaagaccaatttgtatagccactgatgattatgaaagtgagagcggaagtatgataagccagaccgttgccatggcaatcgcagggacatcggtccctcaactaacaaggcctggcagtttcctcctcacgtcaacgagtggcaggcaacacactaccttttcagcagaatcaagtcgaagccttttgatctgtctactttgggttctcaaaaatgcagatgaaacagttctacagaagtggtttacagatctctcagtcttgcagctaaaccggctattagatctgctttatctctgtgtgtcttgctttgagtataaagggaaaaaagtgtttgaacgaatgaatagcttgacctttaagaaatcaaaagacatgagagcaaagcttgaagaagctattcttgggagcataggtgccaggcaagaaatggtacggcgaagccgaggacagctcggtacgtacacaatagcttctcctcctgagagaagcccatctggaagtgcctttggaagtcaagaaaatttgaggtggaggaaagatatgactcactggcgtcaaaacacagagaagcttgacaaatcaagagcagagattgaacacgaagcactgattgatggaaacctggctacagaagcaaacctaatcattttagatacattagagattgttgttcagaccgtttctgtaacggaatccaaagagagcattcttggtggagtgctaaaagtgctactacacagcatggcctgtaaccaaagtgcagtttatctacaacactgttttgctacacagagagccttggtttcaaagtttcctgaactcttatttgaagaagagacagagcagtgtgctgatttatgcctcaggcttctccgacactgtagcagtagcatcggtacaatacggtcacacgccagtgcctccctttacctactaatgaggcaaaactttgagattgggaataactttgccagggttaaaatgcaggtaacaatgtcactatcctccttggtgggcacatctcagaattttaatgaagaattcttaagacgttctctaaagactatattgacatatgctgaagaagatctggaattgagggaaacaacatttcctgatcaggtccaggatctggttttcaatctccatatgattctttctgatactgtgaaaatgaaggaacaccaggaggatcctgaaatgttgattgatctaatgtacagaattgccaagggttaccagacctctccagatctgcgattgacctggttgcagaacatggcaggcaagcactcagaacgaagcaatcatgctgaagctgcacagtgtctagtccactcagcagcacttgttgctgaatatttgagcatgctggaggaccggaaatatcttcctgtgggatgtgtaacatttcagaatatttcatctaatgttttagaagaatctgcggtctcagatgatgtggtatctccagatgaagaaggtatctgctctggaaaatactttactgagtcaggacttgtgggattactggaacaagcagctgcttccttctctatggctggcatgtatgaagcagttaatgaagtttacaaagtacttattcctattcatgaagctaatcgggatgcaaagaaactatccacaattcatggtaaacttcaagaagcattcagcaaaattgttcatcagagtactggctgggagcggatgtttggcacctattttcgtgttggtttttatggaaccaagttcggggatttggatgaacaagaatttgtttacaaggagcctgcaataaccaaacttgcagagatatctcacagattggagggattttacggagaaagatttggagaggatgtggttgaagtaatcaaagactctaatcctgtagacaagtgtaaattagatcctaacaaggcatatattcagattacctatgtggagccatactttgacacatatgagatgaaggacagaatcacctatttcgacaaaaattacaatcttcgtcgattcatgtactgtacaccctttactttagatggccgtgcccatggggaacttcatgaacaattcaaaaggaagaccattctgactacgtctcatgcctttccttatattaaaacaagggtcaatgtcactcataaagaagagatcatcttaacaccaattgaagttgctattgaggacatgcagaaaaagacacaggagttggcatttgcaacacatcaggatcccgcagaccccaaaatgcttcagatggtactccagggatctgtaggcaccacagtgaatcaggggcctttggaagttgcccaggtttttctgtctgaaatacctagtgacccaaagctcttcagacatcataataaactgcgactctgctttaaagattttactaaaaggtgtgaagatgccttaagaaaaaataagagcttaattgggccggatcaaaaggagtatcaaagggaactggagagaaactatcatcgccttaaagaggccctacagccactgatcaacagaaagatccctcagttatacaaggcagtattgcctgtcacctgccacagagattccttcagtcgaatgagccttcgcaaaatggatctcttaattaa</t>
  </si>
  <si>
    <t>ggcgcgccatgacacacctgaacagcctggatgtgcagcttgcccaggagctcggggacttcactgatgacgacttggacgtggtgttcacgccaaaggaatgtaggactttgcagccctctttgccggaggaaggggttgaactggaccctcatgtcagggactgtgttcagacctacatccgtgagtggctaatcgtgaaccggaaaaaccaaggaagtccagaaatctgtggctttaaaaagactggatctcgaaaagattttcacaagacgcttccgaaacagacgtttgagtcggaaaccttggagtgcagtgaacccgctgctcaggcaggcccccgccacttaaacgtgctgtgcgacgtgtctgggaaaggccccgtcactgcctgtgactttgacctccgcagcctgcagcctgacaagcggctagaaaacctcctgcagcaagtgagtgccgaggactttgagaagcagaacgaggaggcccggaggaccaataggcaggccgagctctttgccctttacccatcagtggacgaggaggatgctgtggaaatacgtccagtaccagaatgtcccaaggaacacctgggcaacagaatattggtcaagttgctgaccttgaagttcgagattgaaattgagcccctgtttgccagcattgccctctacgatgttaaagaaaggaaaaagatctcagaaaattttcactgtgacctgaactctgaccagttcaaaggatttctgcgagctcacacgccttcagtggccgcatcaagtcaggcgagatctgcagtcttctcagtcacctacccgtcctcagacatctacctggtagtcaagattgaaaaagtcctgcagcagggagagattggagactgtgcagagccctacacggttatcaaagaaagtgatggtggaaagagtaaagaaaagattgaaaaactaaaactccaagctgaatccttctgccagcgtttggggaaataccggatgccctttgcctgggcacccataagcttatcaagcttcttcaatgtctccacccttgagagggaggtaactgatgtggactctgtggttgggagaagctcagtgggtgaacggaggacattggcccaatctagaaggctttctgaaagagccctctccttggaggaaaatggggttggatccaacttcaaaacctccactctgagcgttagcagctttttcaagcaggaaggagatcgccttagcgatgaagacttattcaagtttttagctgactacaaaagatcatcatccttacagagacgagtcaagtcaattccaggcttgctaagactggagatttctacagctccagagatcatcaattgctgtctgactcctgaaatgctgcccgtgaaaccctttcctgaaaaccggacacgcccgcacaaagagattttggaatttccaacacgagaagtatatgtccctcacactgtgtacagaaaccttctctatgtctacccacagaggctgaactttgtaaacaaactagcatcagcccggaacattacaataaagatccagtttatgtgtggagaagatgctagcaatgcgatgccggtcatctttggaaaatccagcgggcctgaatttctgcaggaagtgtacacagctgttacataccataataagtctcctgacttttatgaagaagtgaaaattaagctccccgctaagctcacagtaaatcaccacctcctgttcaccttctaccatatcagctgtcagcagaagcaaggagcctccgtggaaactctcctgggatattcatggctgccaattctcttaaatgaacgtcttcaaactggatcctactgtctcccagttgccttggaaaaattgccacccaactactccatgcattctgctgagaaagtcccattacagaatcctcccattaagtgggctgaaggacataagggagtatttaatattgaagtgcaagctgtttcttctgtacacacccaggacaaccacctggagaagttcttcaccctctgccactccctggagagccaggtgaccttccccatccgcgtgctggatcagaaaatcagcgagatggcgctggagcatgagctgaagctcagcatcatctgcctgaactcctcccgcctggagccgctcgtgctcttcctgcacctggtgctggacaagctcttccagctgtccgtgcagcccatggtcatcgctggccagacagccaacttctcccagtttgccttcgagtccgtggtggccatcgccaacagtctgcacaacagcaaggacctgagcaaggaccagcatgggaggaactgcctgctggcttcctacgtgcactacgtcttccgcctgccagaggtgcaaagggatgtgcccaagtcaggcgctcccactgccctcctagaccctcggagctaccacacgtatggccgcacatcagctgctgctgtgagttcaaagctgctgcaggcccgggtgatgagcagcagtaacccagacctcgcggggacacactccgcagcagacgaggaagtgaagaacatcatgtcttcaaagatcgccgatcgcaactgcagccgaatgtcttactattgctctggcagtagtgatgctccaagttcacctgcagccccaaggccagccagcaaaaagcatttccatgaggagcttgcccttcagatggtggtcagcaccggaatggtgagagaaacagtcttcaagtatgcctggttcttctttgagcttctggtgaaaagcatggcccagcacgtacataacatggacaaacgggacagttttcggaggactcgtttttctgaccgtttcatggatgacataactactattgttaatgtggtcacctcggaaattgcagcccttttagtaaaaccacagaaggaaaatgaacaggcggaaaagatgaacatcagcctggctttcttcttgtatgaccttctctccctcatggatcggggctttgtgtttaacctcatcagacattattgcagccagctgtcagccaagctcagtaaccttccaacgctcatttccatgaggctagagttcctgagaatcctctgtagccatgagcattacctcaatctgaaccttttttttatgaatgctgatactgctccaacatctccttgtccttccatatcttcccagaactcaagctcctgctccagcttccaggaccagaagatcgccagcatgttcgatctgacttccgagtaccgccagcagcacttcctcaccgggctcctcttcacagaactggctgctgccctggatgccgaaggggaaggaatcagcaaagtacaaaggaaagctgtcagtgcaattcacagcctgctaagttctcacgacctggacccacgctgtgtcaaaccagaggtgaaggtcaaaatcgccgccctttacctacctttagttggcatcattttggatgctttgccacagctctgtgactttacagttgcagatactcgcagataccgcaccagtggctcggatgaagaacaagaaggagccggtgccattaaccagaatgtggctctggccatagcagggaataatttcaatttgaaaacaagtggaatagtgctgtcttccttgccctataagcagtacaacatgctgaacgcggacactactcgcaacctcatgatctgcttcctctggatcatgaaaaatgctgatcagagcctcattaggaagtggattgctgacctgccatcaacgcagctcaacaggattttagatctacttttcatctgtgtgttatgttttgagtataagggaaaacagagttctgacaaagtcagtacccaagtcctgcagaagtcaagggatgtcaaggcccggctggaagaggctttgctccgtggggaaggggccagaggggagatgatgcgccgccgggctccagggaacgaccgatttccaggcctaaatgaaaatttgagatggaagaaagagcagacacattggcggcaagctaatgagaagctagataaaacaaaggccgagttagatcaagaagccttgatcagtggcaatctggctacagaagcacatttaatcatcctggatatgcaggaaaacattatccaggcgagctcggctctggactgtaaagacagcctgctgggaggtgttctgagggtgctggtgaattctctgaactgtgatcagagtaccacctacctgactcactgctttgcaacactccgtgctctcatcgccaagtttggagacttactcttcgaagaggaggtggaacagtgtttcgacctatgtcaccaagtcctgcaccactgcagcagcagcatggatgtcacccggagccaagcctgtgccaccctttacctcctcatgaggttcagttttggagccaccagtaattttgcaagagtaaagatgcaagtaaccatgtccctggcatctttggtgggaagagcaccagactttaatgaagagcacctgagaagatccttgaggacaattttggcctattcagaagaggacacagccatgcagatgactccttttcccacccaggtggaggaacttctctgtaatctgaatagcatcttatatgacacagtgaaaatgagggaatttcaggaagatcctgagatgcttatggatctcatgtacagaattgccaagagttaccaggcatctcctgatctgcggctgacctggctccagaacatggcagagaaacacaccaagaagaagtgctacacggaggctgccatgtgcctggtgcacgccgctgcgttagtggctgagtatctgagcatgctggaggaccacagctacctgcccgtgggcagtgtcagcttccagaatatttcttccaatgtgctggaggagtctgtggtctctgaggacaccctgtcacctgacgaggatggggtgtgcgcaggccagtacttcaccgagagtggcctggtaggcctcctggagcaggccgcggagctcttcagcacgggaggcttatatgagacagttaatgaggtctacaagctggtcatccccatcctagaagcgcatcgagaattccggaagctgacactcactcacagcaagctgcagagagccttcgacagcatcgttaacaaggatcataagagaatgtttggaacctacttccgagttggtttctttggatccaaatttggggatttggatgaacaggagtttgtctacaaagagcctgcaattaccaagcttcctgagatctcacatagactagaggcattttatggtcaatgttttggtgcagaatttgtggaagtgattaaagactccactcctgtggacaaaaccaagttggatcctaacaaggcctacatacagatcacttttgtggagccctactttgatgagtatgagatgaaagacagggtcacatactttgagaagaatttcaacctccggaggttcatgtacaccaccccgttcaccctggaggggcggcctcggggagagctgcatgagcagtacagaaggaacacagtcctgaccactatgcacgccttcccctacatcaagaccaggatcagcgtcatccagaaggaggagtttgttttgacaccgattgaagttgccattgaagacatgaagaagaagaccctgcagttagcagttgccattaaccaggagccgcctgatgcaaagatgcttcagatggtgctgcaaggctctgtgggagctactgtaaatcagggaccactggaagtagcccaagtgtttttggctgaaattcctgctgatccaaaactctatcgacatcacaacaagttgaggttatgctttaaggaattcatcatgagatgtggtgaagctgtagagaaaaacaagcgtctcatcacggcagaccagagggaatatcagcaggaactcaaaaagaactataacaagctaaaagagaacctcaggccaatgatcgagcggaaaattccagaactgtacaagccaatattcagagttgagagtcaaaagagggactccttccacagatctagtttcaggaaatgtgaaacccagttgtcacagggcagcttaattaa</t>
  </si>
  <si>
    <t>ggcgcgccatgcaggctgataaatgcaggacaagtagtagaagtgtcaaaaaggaactggtgattgagtcccccctgcaatacaaggatgcagctcagggcgaagtggaagcagagagcccgggccctgtgccggcaaagccaaagctaattgagccactcgactatgaaaatgtcatcgtccagaagaagactcagatcctgaacgactgtttacgggagatgctgctcttcccttacgatgactttcagacggccatcctgagacgacagggtcgatacatatgctcaacagtgcctgcgaaggcggaagaggaagcacagagcttgtttgttacagagtgcatcaaaacctataactctgactggcatcttgtgaactataaatatgaagattactcaggagagtttcgacagcttccgaacaaagtggtcaagttggataaacttccagttcatgtctatgaagttgacgaggaggtcgacaaagatgaggatgctgcctcccttggttcccagaagggtgggatcaccaagcatggctggctgtacaaaggcaacatgaacagtgccatcagcgtgaccatgaggtcatttaagagacgatttttccacctgattcaacttggcgatggatcctataatttgaatttttataaagatgaaaagatctccaaagaaccaaaaggatcaatatttctggattcctgtatgggtgtcgttcagaacaacaaagtcaggcgttttgcttttgagctcaagatgcaggacaaaagtagttatctcttggcagcagacagtgaagtggaaatggaagaatggatcacaattctaaataagatcctccagctcaactttgaagctgcaatgcaagaaaagcgaaatggcgactctcacgaagatgatgaacaaagcaaattggaaggttctggttccggtttagatagctacctgccggaacttgccaagagtgcaagagaagcagaaatcaaactgaaaagtgaaagcagagtcaaacttttttatttggacccagatgcccagaagcttgacttctcatcagctgagccagaagtgaagtcatttgaagagaagtttggaaaaaggatccttgtcaagtgcaatgatttatctttcaatttgcaatgctgtgttgccgaaaatgaagaaggacccactacaaatgttgaacctttctttgttactctatccctgtttgacataaaatacaaccggaagatttctgccgatttccacgtagacctgaaccatttctcagtgaggcaaatgctcgccaccacgtccccggcgctgatgaatggcagtgggcagagcccatctgtcctcaagggcatccttcatgaagccgccatgcagtatccgaagcagggaatattttcagtcacttgtcctcatccagatatatttcttgtggccagaattgaaaaagtccttcaggggagcatcacacattgcgctgagccatatatgaaaagttcagactcttctaaggtggcccagaaggtgctgaagaatgccaagcaggcatgccaaagactaggacagtatagaatgccatttgcttgggcagcaaggacattgtttaaggatgcatctggaaatcttgacaaaaatgccagattttctgccatctacaggcaagacagcaataagctatccaatgatgacatgctcaagttacttgcagactttcggaaacctgagaagatggctaagctcccagtgattttaggcaatctagacattacaattgataatgtttcctcagacttccctaattatgttaattcatcatacattcccacaaaacaatttgaaacctgcagtaaaactcccatcacgtttgaagtggaggaatttgtgccctgcataccaaaacacactcagccttacaccatctacaccaatcacctttacgtttatcctaagtacttgaaatacgacagtcagaagtcttttgccaaggctagaaatattgcgatttgcattgaattcaaagattcagatgaggaagactctcagccccttaagtgcatttatggcagacctggtgggccagttttcacaagaagcgcctttgctgcagttttacaccatcaccaaaacccagaattttatgatgagattaaaatagagttgcccactcagctgcatgaaaagcaccacctgttgctcacattcttccatgtcagctgtgacaactcaagtaaaggaagcacgaagaagagggatgtcgttgaaacccaagttggctactcctggcttcccctcctgaaagacggaagggtggtgacaagcgagcagcacatcccggtctcggcgaaccttccttcgggctatcttggctaccaggagcttgggatgggcaggcattatggtccggaaattaaatgggtagatggaggcaagccactgctgaaaatttccactcatctggtttctacagtgtatactcaggatcagcatttacataattttttccagtactgtcagaaaaccgaatctggagcccaagccttaggaaacgaacttgtaaagtaccttaagagtctgcatgcgatggaaggccacgtgatgatcgccttcttgcccactatcctaaaccagctgttccgagtcctcaccagagccacacaggaagaagtcgcggttaacgtgactcgggtcattattcatgtggttgcccagtgccatgaggaaggattggagagccacttgaggtcatatgttaagtacgcgtataaggctgagccatatgttgcctctgaatacaagacagtgcatgaagaactgaccaaatccatgaccacgattctcaagccttctgccgatttcctcaccagcaacaaactactgaagtactcatggtttttctttgatgtactgatcaaatctatggctcagcatttgatagagaactccaaagttaagttgctgcgaaaccagagatttcctgcatcctatcatcatgcagtggaaaccgttgtaaatatgctgatgccacacatcactcagaagtttcgagataatccagaggcatctaagaacgcgaatcatagccttgctgtcttcatcaagagatgtttcaccttcatggacaggggctttgtcttcaagcagatcaacaactacattagctgttttgctcctggagacccaaagaccctctttgaatacaagtttgaatttctccgtgtagtgtgcaaccatgaacattatattccgttgaacttaccaatgccatttggaaaaggcaggattcaaagataccaagacctccagcttgactactcattaacagatgagttctgcagaaaccacttcttggtgggactgttactgagggaggtggggacagccctccaggagttccgggaggtccgtctgatcgccatcagtgtgctcaagaacctgctgataaagcattcttttgatgacagatatgcttcaaggagccatcaggcaaggatagccaccctctacctgcctctgtttggtctgctgattgaaaacgtccagcggatcaatgtgagggatgtgtcacccttccctgtgaacgcgggcatgactgtgaaggatgaatccctggctctaccagctgtgaatccgctggtgacgccgcagaagggaagcaccctggacaacagcctgcacaaggacctgctgggcgccatctccggcattgcttctccatatacaacctcaactccaaacatcaacagtgtgagaaatgctgattcgagaggatctctcataagcacagattcgggtaacagccttccagaaaggaatagtgagaagagcaattccctggataagcaccaacaaagtagcacattgggaaattccgtggttcgctgtgataaacttgaccagtctgagattaagagcctactgatgtgtttcctctacatcttaaagagcatgtctgatgatgctttgtttacatattggaacaaggcttcaacatctgaacttatggatttttttacaatatctgaagtctgcctgcaccagttccagtacatggggaagcgatacatagccagaacaggaatgatgcatgccagattgcagcagctgggcagcctggataactctctcacttttaaccacagctatggccactcggacgcagatgttctgcaccagtcattacttgaagccaacattgctactgaggtttgcctgacagctctggacacgctttctctatttacattggcgtttaagaaccagctcctggccgaccatggacataatcctctcatgaaaaaagtttttgatgtctacctgtgttttcttcaaaaacatcagtctgaaacggctttaaaaaatgtcttcactgccttaaggtccttaatttataagtttccctcaacattctatgaagggagagcggacatgtgtgcggctctgtgttacgagattctcaagtgctgtaactccaagctgagctccatcaggacggaggcctcccagctgctctacttcctgatgaggaacaactttgattacactggaaagaagtcctttgtccggacacatttgcaagtcatcatatctgtcagccagctgatagcagacgttgttggcattgggggaaccagattccagcagtccctgtccatcatcaacaactgtgccaacagtgaccggcttattaagcacaccagcttctcctctgatgtgaaggacttaaccaaaaggatacgcacggtgctaatggccaccgcccagatgaaggagcatgagaacgacccagagatgctggtggacctccagtacagcctggccaaatcctatgccagcacgcccgagctcaggaagacgtggctcgacagcatggccaggatccatgtcaaaaatggcgatctctcagaggcagcaatgtgctatgtccacgtaacagccctagtggcagaatatctcacacggaaagaagcagtccagtgggagccgccccttctcccccacagccatagcgcctgcctgaggaggagccggggaggcgtgtttagacaaggatgcaccgccttcagggtcattaccccaaacatcgacgaggaggcctccatgatggaagacgtggggatgcaggatgtccatttcaacgaggatgtgctgatggagctccttgagcagtgcgcagatggactctggaaagccgagcgctacgagctcatcgccgacatctacaaacttatcatccccatttatgagaagcggagggattttgagaggctggcccatctgtatgacacgctgcaccgggcctacagcaaagtgaccgaggtcatgcactcgggccgcaggcttctggggacctacttccgggtagccttcttcgggcaggcagcgcaataccagtttacagacagtgaaacagatgtggagggattctttgaagatgaagatggaaaggagtatatttacaaggaacccaaactcacaccgctgtcggaaatttctcagagactccttaaactgtactcggataaatttggttctgaaaatgtcaaaatgatacaggattctggcaaggtcaaccctaaggatctggattctaagtatgcatacatccaggtgactcacgtcatccccttctttgacgaaaaagagttgcaagaaaggaaaacagagtttgagagatcccacaacatccgccgcttcatgtttgagatgccatttacgcagaccgggaagaggcagggcggggtggaagagcagtgcaaacggcgcaccatcctgacagccatacactgcttcccttatgtgaagaagcgcatccctgtcatgtaccagcaccacactgacctgaaccccatcgaggtggccattgacgagatgagtaagaaggtggcggagctccggcagctgtgctcctcggccgaggtggacatgatcaaactgcagctcaaactccagggcagcgtgagtgttcaggtcaatgctggcccactagcatatgcgcgagctttcttagatgatacaaacacaaagcgatatcctgacaataaagtgaagctgcttaaggaagttttcaggcaatttgtggaagcttgcggtcaagccttagcggtaaacgaacgtctgattaaagaagaccagctcgagtatcaggaagaaatgaaagccaactacagggaaatggcgaaggagctttctgaaatcatgcatgagcagctgggattaattaa</t>
  </si>
  <si>
    <t>agcttccgaggaaaggaattctggaagaggaggcgaacagtgaagagagtgaacccagaaggaatccacaaggctggtgctgaaaagcccagactcttggatcctttggattatgaaaccgtcattgaagaacttgaaaagacctatcgggatgatcctcttcaggaccttctgttcttccccagtgatgacttctcaacagccacggtttcttgggatatccgaacactctattcgacggtaccagaagaggcagagcacagggcagaaagtctgctggtgaaagaggcttgtaaattctacagttcccagtggtacgtggtaaactacaaatatgaacaatattctggagacattcgacagttgccccgagcagaacacaagccagagaaacttccttcacattcctttgaggttgaccatgaagatgctgataaggatgaagataccacatcccactcatcatccaagggcggtgggggagctggaggtactggtgtgttcaagtctggctggctttacaaggggaattttaacagcactgtgaacaatactgtcactgttcggtcattcaaaaagcgctacttccagctgactcagttgcctgataactcctacattatgaacttttacaaagatgaaaagatatccaaagagcccaagggctgcatctttttggattcctgcacaggtgtagtacagaataacaggctgaggaaatatgccttcgagttgaagatgaacgacctgacctattttgtgctggctgctgaaacagagtcagatatggacgagtggatccacacacttaaccgtatcctgcagatcagtcccgagggcccactccagggaaggaaaagtgcagagcttgctgagctggggctagatccactggataactgcgtgacttgtgaatgtacactggaggaaacggattcttcagagaacagcctacatcctgactttgcaaaatacctcacagaaaccgaagacactgtcaaaacaacacgaaacatggacagactcaatctgttctccctggacccagacatagacaccctgaagcttcaaaaaagggacagttttgaaaatgagttgatgatcaaaccctttgaagagaaagctgccaaaagaatcatgatcatctgtagagctctcaacttcaatcttcagggatgtgttacagagaatgaatatgaccctgtaaccaatattgagcccttttttgtgagcgtggcactttacgacctcagagataacaggaagatctctgcggacttccatgtggacctaaatcaccctgctgtccgacagatgctctcggggaccccaccggccttggaaaacggcaatattgacaccggtacaccaagacaatcggaagaacctcacataaagggccttccagaggaatggttaaaattcccaaagcaggctgtcttctctgtgagtgatccacactctgaaattgttttggtggccaaagtcgaaaaagtcttaatgggaaacatcgggagtggtgctgaaccttatatcaagaatccagactccaacaagtttgcacaaaagattctaaaatccaataggcagttctgcagcaaattggggaaatatcggatgccgtttgcttgggcagtgagatctgtatttaaggacaaccaggggaacgtggacagggactcacggttttcaccactgtatagacaagaaagcagcaagatgtcgtctgaggacctcctaaaactggtgtcagactacagaagagctgaccggataagcaaaatgcagagcatccctggaagcctggatattgctgtggacaacattcccttggagcacccaaactgtgtaacatcgtcctttatccctgtcaagcccttcaacgtgacggctcagtcagaacctacagtggaggtggaagaatttatttatgactcaacaaagtattgccgtccataccgagtatacaaaaatcaaatttatgtataccccaaacacctcaaatacgatagccagaaatgcttcaacaaggcacggaatataactgtgtgcattgaattcaaaaattcagatgacgatggagccaagcccatgaagtgtatttatgggaaacctggagggcccctcttcacttcctctgcctacacggctgtgctacaccattctcaaaatccagatttctctgatgaggtgaaaattgaactaccaacacaactccatggaaaacatcaccttttgttctccttttaccacatcacatgtgacatcaatgccaaagccaatgccaaaaagaaagaggctttggagacatcagtgggctatgcatggcttcctctgatgaaacatgatcaaatagcttctcaggagtacaacatcccaatagcaacgaccctgcctcctaattatttaagcattcaagatcctacaagtgcaaagcatggtggaagtgacattaaatgggtcgatggtggcaaaccgcttttcaaagtgtccacatttgttgtatcaacagtgaacactcaggacccacatgtaaatgcatttttccgtcagtgccaaaaaagagaaaaagacatgtctcagtcacctacctccagctttgtccgtgcctgtaagaacttactaaatgtggacaagatccactccatcatgagtttcctgcctatcatcttgaaccagctcttcaaaattctagtgcagaacgaggaagatgaaattactgcgaccgtcaccagggttctggctgacattgtggccaagtgtcatgaggagcaactagaccattctgtccagtcatacattaagtttgtattcaagaccaaatcctacaaagagagaacaatacatgaggaactggctaaaaatttgagtgatcttttgaagtccaatgactcaacgatagtcaagcatgttctagagcattcttggttcttctttgccattattctaaaatcaatggcacagcacttgattgacacaaacaaaattcagcttcccagagctcaaagattccccgagtcttaccaaagcgaactagacaacttggtgatgggcctgtgtgaccacgtgatttggaaatgcaaggaagcccctgaggaaaccaaaagagcaaaccacagcgttgccagattccttaagcgctgctttacatttatggaccggggattcgtgtttaagatggtgaacaattacatcagcatgttctcttctggtgagtttaagactttatgccagtataagtttgatttccttcaggaagtttgtcaacatgagcactttatccctttgtgtctccccataagatctgcaaacattccagatcccttgacaccttcagaatcaatccgagagttacatgcctcagatatgcctgagtactcagtcacaaatgaattttgccgcaaacacttcttaattggaattcttctccgagaagttggctttgccctgcaggaggaccaagacatcaggcacttagctttagctgtcctaaaaaatctaatggctaagcattctttcgatgatcgatacagggaacctaggaagcaggcacagatagcgagtctgtacatgccgctctatggtatgctcctggacaatatgccaagaatctacctgaaggacctgtatcctttcaccgtgaacacatccaatcagggatctagagatgacctcagcactaatggaggatttcagactcagacgtccatgaaacatgcaacttctgtggatacatcattttccaaagatgttttaaattccatagcagcattttcatcaatagctatttctacagtgaaccatgcagattccagagcgtccttagcgagcctcgactccaacccaagtaccacagagaagagcagtgagaagacagacaactgtgaaaagatcccaaggcccttgtctttgattgggtcaacgcttcggtttgacaaattagatcaagcagaaaccaggagtcttcttatgtgttttcttcacattatgaagaccatttcagatgagactctgattgcctactggcagagagcacccagtccagaggtgtcagacttcttcagcatcttggacgtttgtcttcagaattttagatacctagggaaacgcaatataataaggaaaatcgctgcagcatttaagtttgtgcagtcaacccagaacaatgggactctgaagggatccaatccttcctgccagacatcaggtctcttgtcacaatggatgcacacgacttctggccacgagggacataagcagcacaggtctcagactttacctataatccgaggcaaaaatgcactttccaaccccaaacttttacagatgttggacaacagcatgaacagcaattccaatgaaatagacattgtccaccatgttgacacagaggccaacatagccaccgaggtctgcctcactattctggacctgctgtctctctttacccaggtccaccagagacagctccaacaatccgactgtcaaaattcactcatgaaaagggtcttcgatacttacatgctgtttttccaagtcaaccagtcagcctcagccctgaaacacgtgtttgcttctttaagactgtttgtgtgcaagtttccgtcagcgtttttccaagggcctgctgacctctgtggctcattctgctatgaagtcctcaaatgctgtaaccacaggtcaaggttgactcagatggaagcttcagcacttctatacttcttcatgaggaagaactttgagtttaacaagcagaagtcaattgtccggtctcacttacaactcatcaaagcagtgagccagttaatagctgatgcggggatcggagggtctcgctttcaacactcccttgcaatcacgaacaactttgccaatggagataaacagatgaaaaacagcaatttcccagcagaggtgaaagatctgactaaacgaataaggactgttttgatggccacagcccagatgaaggagcatgagaaggacccagagatgctggtggaccttcaatacagcctagcaaactcctatgcaagtacccccgagttacggaggacctggctggaaagcatggccaagatccatgcaagaaatggagacctgtctgaggctgcgatgtgttacatccatatagctgcacttattgcagaatacctgaagcgcaagggttactggaaaatggaaaagatttgcacaccacccctgcttccagaagacacccaaccctgtgatagcaacttattactaacaactccaggcggaggaagcatgttctctatgggatggccagcctttctgagcatcaccccaaacattaaagaagaaggagcaatgaaagaggattctggaatgcaagacaccccgtacaatgagaacatcctggtggaacagctgtatatgtgtgtggagttcctttggaagtctgaacgatacgaactcatcgctgatgtcaataagcccatcatcgctgtctttgaaaagcaacgagacttcaaaaaattatcagatctctattatgacatccaccggtcctatctgaaagtggcagaggtggtgaattcggagaagcgattgtttggtcgttactatagagtggcgttttatgggcagggattctttgaggaggaggaaggtaaagagtatatctacaaagagcctaagctgacagggctctcggagatctcccaaaggcttctcaagctctatgcagacaaatttggagcagacaatgtgaaaataattcaagattccaacaaggtaaaccccaaggatctggaccccaaatatgcctatattcaggtgacctatgtcacaccattctttgaagaaaaggaaatcgaggaccgaaagacagactttgaaatgcatcacaacatcaatcgctttgtctttgagacacccttcactctgtcaggcaagaagcacggaggagtggctgagcagtgcaagcggaggacagtcctgaccacaagccacttgttcccctacgtaaagaagaggatccaggtcatcagccaatcaagcacagagctgaatcctatcgaggtggcaattgatgagatgtccaggaaggtctctgagcttaatcagctgtgcaccacagaggtggtggatatgatccgcctacagctcaaactccagggcagtgtcagcgtgaaggtcaatgctgggccaatggcttatgctcgagcctttcttgaagaaactaatgcaaagaagtatcctgacaaccaagttaagctactaaaggaaatattcaggcaatttgcagatgcgtgtgggcaggctcttgatgtgaatgagcgtctcatcaaggaagaccagctggagtaccaggaagaactgaggtcccattataaggacatgctcagtgaactgtctgccatcatgaatgagcagcccttggcccaaagcacagaaacacctacagaaagagaatatgagaactg</t>
  </si>
  <si>
    <t>gcggaagtgcgcaaattcaccaagcggctgagcaagccaggcacggcagccgagctccgccagagcgtgtcggaggccgtgcggggctccgtggtgctggaaaaggccaagttagttgaacccctggactatgaaaatgttatcactcaacggaaaacccagatctacagtgatcccctcagagatctgcttatgttccccatggaagacatatctatctcagtaattggtcgtcagcgcagaacagtgcagtctactgtaccagaggatgctgaaaagagggcccagagtttatttgtcaaagagtgtattaagacctacagcacagattggcatgtggtgaactataagtatgaggatttctctggggactttcggatgttgccatgcaagtctttgagacctgaaaagattcctaatcatgtgtttgagattgatgaagattgcgagaaagatgaggattcatcttctttatgttctcagaagggtggtgtgataaaacaaggttggttgcataaagcaaatgtaaacagcaccatcacagtaaccatgaaggtgttcaagagacggtatttttatttgactcaacttcctgatggttcatatattctcaattcttataaagatgagaaaaattccaaagagtctaaaggttgcatctacttggatgcctgcattgatgttgttcagtgccccaaaatgcgccgtcatgcttttgaactcaagatgttagataagtatagccattatctggcagctgaaacggagcaggaaatggaggaatggttgataatgttgaaaaagattattcagatcaatactgacagtttagtgcaagagaaaaaggacacagtcgaggcaatacaagaggaggaaactagcagccaaggaaaagccgagaacatcatggccagtttggaaaggagcatgcatccggaactgatgaagtatggcagagaaacagaacaactgaacaaactcagtagaggagacggaagacagaatctcttttctttcgactcagaggttcagagattagacttttcaggaattgagcctgatgtaaagccatttgaagaaaagtgcaacaagcgtttcatggtgaattgccatgatttaactttcaatatcttgggtcacattggagacaatgcaaaaggaccacccacaaatgttgagccctttttcatcaacctcgccttatttgatgtaaagaacaattgtaaaatttcagcagactttcatgtagatttgaacccaccctctgtccgtgaaatgctgtggggtacctcgacccaactgtccaatgatgggaatgcaaagggcttttcacctgagtctctcatccatggaattgctgagtctcagttatgctacataaagcagggaatcttctcagtgacgaacccacatcctgaaattttcctagttgtgagaattgaaaaggtgctgcagggaaacatcacacactgtgcagaaccctacatcaaaaactcagatccgataaagacagcccagaaggtacacaggacagctaaacaagtgtgtagtcgccttggacaatacagaatgccatttgcttgggcagccagacccattttcaaagatgttcagggctctctggatctggatgggagattttcccctttgtataaacaagacagtagcaagctttcaaatgaagatattctcaagttgctctcagaatacaaaaagccagagaagacaaaattgcagattatccctggacagctgagtatcacagtggaatgtgttcctgtagatttaccaaattgtattacctcttcatatgtgcccctgaagccttttgaaaagaattgtcagaatattactgtggaggttgaagagtttgttccagaaatgacaaaatattgttatccattcactatttacaaaaatcatctgtatgtatatcccttgcaattaaaatatgacagccagaaatcgtttgccaaggctaggaacattgctgtctgtgtggaattccgggattcggatgaaagtgacgcgtctgcgctaaagtgcatttacggaaaaccagcagggtctgtttttaccacaaatgcttatgctgtggtctcgcatcacaaccaaaatccggagttctatgatgagatcaaaattgagcttcccattcacctgcaccagaagcatcacctgctttttactttttatcatgtgagttgtgaaatcaacacaaaaggaacaaccaaaaagcaagacacagtggaaactccagtgggatttgcctgggtacctttgctgaaggatgggagggtcatcacattggagcagcagctgccagtctcagccaatcttcctccaggctacttgaatgtgaatgatgctgaatcaagaaggcaatcaaatgcggatatcaagtgggtagatggtgcaaagcctttgctgaagattaagacccacttagaatcaaccatttatactcaggatctgcatgtgcacaaattcttccatcattgccagctgattcagtcgggctcaaaagaagttccaggggaactcattaaatatttaaagtgtttgcatgccatggagatccaagtcatgatacagtttctacctgtaattcttatgcaactcttccgagttctcacaaacatgacccatgaagatgacgttcccatcaactgcaccatggttctcttacacattgtgtctaagtgtcatgaagaaggcttggagagctacttaagatccttcataaagtatagcttcagacctgaaaaaccaagcactcttcaggcccagttgatacatgaaaccctggctacgactatgatagcaatattgaaacagtctgcagatttcctagccataaataaacttctaaagtactcatggtttttctttgaaataattgcaaagtcgatggccacatacttattggaagagaataaaattaagctccccaggggccaaaggtttcctgaggcgtatcaccacgtcttacattctctgctccttgcaataattccccatgtgaccattcgctatgcagagattcctgatgagtcccgaaatgggaattatagcttagccagctttctgaagcgctgcttgaccctgatggacagaggatttgttttcaatttgataaatgactatatatcaggatttagccctaaggatcctaaggttcttgctgaatacaagtttgaatttctccaaacaatctgcaatcatgaacattacattcctctgaacttgccaatggcatttgcaaagcctaaattacagagagttcaagattccaatcttgaatacagtttatcagatgagtattgcaagcatcacttcttggttggcctacttctgcgggaaacctccattgctcttcaagacaactatgagatcagatacacagctatctcagtcataaagaatcttttgataaaacatgcatttgatactagataccagcacaagaaccagcaagccaaaatagcgcagttgtacctcccatttgtcggactgctcttggaaaatatccagcgactggcaggccgagatactctgtattcctgtgcagccatgcctagttctgcatctagggatgagtttccatgtggctttgtttcacctacaaacagagggagcctggccagtgacaaagacacagcctatgggtcatttcaaaatggtcatggaattaagagggaagattcaagaggttcccttattcctgaaggagcaacaggatttccagaccctgggagcactagtgaaaacacacgacagagttcttcaaggagtagtgtatcccagtataatcgtctggatcagtatgaaatcagaaacctcttgatgtgctacttatacatagtaaagatgatttctgaagatactctcttgacttactggaataaagtgtctcctcaggagctcataaacattcttgtacttctagaagtatgtttgtttcacttccgatatatggggaaaagaaacatagcaagggtacatgatgcctggctatccaaacactttggaatagatagaaaatcacaaactatgccagctcttcgaaacagatcaggggtgatgcaagctcggcttcaacatctcagcagcttagaaagctcattcacacttaatcacagttctgcaacaacggaagcagacattttccaccaggcgcttctggaaggcaatactgctactgaagtatctctgacagtactagacacgatctccttttttacccagtgcttcaagaaccaacttttaaataatgatggtcacaacccactaatgaaaaaagtatttgatattcaccttgcttttcttaaaaatggacaatctgaagtgtcactgaagcatgtctttgcctcactgagatctttcatcagtaagtttccctcagcctttttcaaaggaagagtaaacatgtgtgctgcattttgctatgaggttttaaagtgctgtacttcaaagattagctcaaccaggaatgaggcatctgcacttttgtatcttttgatgagaaacaactttgaatataccaagaggaaaacctttctgaggacacacttgcagataatcattgctgtgagtcagctaatagctgatgtagcactaagtggaggatcgagatttcaagagtctttattcattatcaataactttgcaaatagcgacagacctatgaaggcaactgcttttcccacagaagtcaaagatttgaccaagaggatccgcaccgttcttatggccactgcccaaatgaaggaacatgagaaagaccctgaaatgctaattgatctccagtatagcttaactaaatcttatgccagcacaccagagctgaggaaaacttggcttgacagcatggccaaaattcatataaaaaatggagatttttctgaggctgcaatgtgttatgtccatgtagcggctctagttgcagaatttcttcaccgaaagaaattattccctagtgggtgttcagcgttcaagaaaattactcccaatatagatgaagaaggagccatgaaagaagatgccgggatgatggatgttcattacagtgaagaggttttgctggaattgctagaacagtgtgtggatggtttgtggaaggcagagcgatatgaagtaatttctgagatttccaagttgattattccaatttatgagaaacgccgtgaatttgagaaactgactcaagtttatagaactctccatggcgcttacacaaaaattttggaggttatgcacaccaaaaaacgacttttaggtactttctttagagttgccttttatggccagtctttttttgaagaagaagatggaaaggagtatatctataaggaacccaagctcactggcctttcagagatttccttgagacttgtgaaactttacggggagaaatttggtactgaaaatgtcaaaataattcaggattcagacaaggtaaatgccaaagagcttgatccaaaattcgctcatatacaagtcacttatgtgaagccgtattttgatgacaaagaactcacagaaagaaagacggagtttgaaagaaatcataatatcaacagatttgtttttgaggccccatatacattatcaggcaagaaacaaggttgcattgaagaacagtgcaagcgtcgtactatcttgaccacttcaaactcatttccatatgtaaaaaaaaggatacctataaactgtgaacagcaggtgaatttaaaaccaattgatgttgctactgatgaaatcaaagataaaactgcagagctacacaagctctgctcctctgttgacgtggacatgattcagcttcagctaaagttgcagggctgtgtctctgtgcaggtcaatgctggtccattagcatatgcgagggctttcttaaatgaaagtcaagctaacaagtatccacctaaaaaagtgaatgagttgaaggacatgtttagaaaattcatacaagcatgcagcattgcacttgaactaaatgagcggctaattaaagaggatcaaattgagtaccatgaagggctaaagtcaaatttcagagacatggtaaaagaactgtctgacattatccatgagcagatactacaagaagacacaatgcattctccctggatgaacaacacattacatgtattttgtgcaattagtggtacatcaagtaacagaggttatggttccccaagatacgcggaagtatga</t>
  </si>
  <si>
    <t>ggcgcgccatggctgacgacagcgtgttaccatctccttctgagataactagcttggcagactcttcagtgtttgattctaaagttgctgaaatgtccaaggaaaacttgtgcttggcgtctacttcaaatgttgatgaagaaatgccgcaggttgaagcaagagtgataatggtccaggatgctgggaaacaagaagaacttctaaaggccttaaagactattaagataatggaagtccctgttataaagataaaagaaagttgtcctggaaaatcggaggaaaaattaataaaaagtattattaatatggaaatgaaagtgccctgtgtaaagatggactcaatggaagaatttgaaagtttggattccccagaatttgagaatatatttgtagttactgacttccagaattctgtcttcaatgacttatacaaggctgattgtaggattgttgggccaccagttatactcaactgtgcacaaaggggagagcccttgccgttttcctgccggccgctgtattgtacgagtatgctgaacctggtgctctgcttcactggattcaggaagaaggaggagcttgtcaaattggtgacgttggttcatcatatgggtggagttattcgaaaagagtgtaattccaaagtaacacatctggtggcaaattgtacacaaggcgaaaaatttagggttgctgtgagcctgggcactccaattatgaagccagaatggatttataaagcgtgggaaagacgcaatgaacagtgtttctgtgcagcagttgatgactttagaaatgaatttaaagttcctccattccaagattgcattttaagtttcctgggattttcagatgaagagaaacatagtatggaagaaatgactgaaatgcaaggaggtagctatttaccagttggggatgaaaggtgcactcaccttattgttgaagagaatacagtaaaggaccttccattcgaaccttcaaagaaactttttgttgtcaagcaagagtggttctggggaagcattcagatggacgctcgtgcaggagagactatgtatttgtatgaaaaggctaatactcctgagctcaagaaatcggtgtctctgctttctctaagtactccaaacagcaaccgcaagagacggagattgaaagagaccctggctcagctctccagggagactgacctctctcctttccctccccggaagcggccctcagctgagcactctctttctattggctcactcctggatatctccaacacacccgagtccagcatccactatggagaaacaccgaagtcctgtgctaagtcttctagaagttctactccagttcctccaaagcagtcagccaggtggcaggtggcgaaagagctctaccagactgagagcaattatgtcaatatactggccacaatcattcaattatttcaggtgcccttagaagaagaaggacagcgtggtgggcctattcttgcacctgaggagatcaagactatttttgggagcatcccagatatctttgatgtgcatatgaagatcaaggatgatcttgaagaccttattgctaactgggatgagagcagaagtattggtgacatctttcttaaatatgcaaaagatttggtaaaaacctaccctccgtttgtaaacttctttgaaatgagcaaggaaatgatcattaaatgtgagaaacaaaagcccagatttcatgctttcctcaagataaatcaagctaaaccagaatgtggacgacagagccttgtggaacttctcatccggccagtgcagaggctacccagtgtcgctttacttttaaacgatcttaaaaagcatacagctgatgaaaatccagacaaaagcactttagaaaaagctattggatcactaaaagaagtaatgacacatatcaatgaggataagagaaaaacagaagcacagaagcaaatttttgatgttgtttatgaagtagatggatgcccagctaatctcttatcttctcatcggagcctggtgcaacgagtggaaacggtttcccttggtgagcacccttgcgaccgaggagaacaagtcactctcttcctcttcaatgactgcctcgagatagcaagaaagcggcacaaggttattggcacttttagaagtcctcacgaccgcacccggccccccgcttctctgaagcacattcatctcatgcctctttctcagattaagaaggtgctggacatccgagagacagaagattgtcacaatgcctttgccttgcttgtaaggccaccaacagaacaggccaatgtactgctcagcttccagatgacgtcagaggagcttccaaaggagagctggctgaagatgctgtgccgacatgtagccaacaccatttgtaaggcagatgctgagaatcttatgtatgtggctgatccagaatcctttgaagtaaatacaaaagatatggatagtacattgagtcgagcatctagagcaataaagaagacttcaaaaaaggttacaagggcattctctttttccaaaactcccaagagagccctgcggatggctctttcatcatcccatagctcagagggaaggagtcctccgagcagtggcaagcttgctgtgagccgtctgtccagcacatcatccttagcaggtattccatctccctcccttgtcagcctcccttctttctttgaacggagaagtcatacattaagtcgatctacaactcacttgatattaattaa</t>
  </si>
  <si>
    <t>ggcgcgccatggagagcttccacaccagatttagtgcctggacaccttttagcaacaagtcattaaatagacagctctttcaggaaagagtggctcttataagtcattggtttgacctctggactaacaagcaacgtcaagaattcttattcgcaatttttttaagatgcactaaatcacaattaaggtttgtccaagactggttttcagaaaggatgcaagtggccaaagtggacttctctacagtgttaccacgcttcatttctctatatatcttttcctttttgagtccgaaagatttgtgtgccgctgcccaagtcagctggccctggaagtttttaactgaacaggattgcttatggatgcccaaatgcgttaagttcggatggtttctgccctatactccaacagataatgagtatggtgcttggaagcgccattacattgcttgtgtgtcccacttagactggctgacacctagggaggctgctgctacttatgggacgctgaatgaacccaaaacagaagatgaggaactactggagagacaaagagaaaagtgcctgaggaaaagaatttgggagaaaattgcactacgtaagaaggagttattcaaagttcgacccccttgggtgagtggaacttgctgctctagcgtgctaaagcccagatgccaaccacgcctctcccagactgtaagggagcgagtgggattacatgaagctttggagaaacagcttgttttgacatcgttagaaaccttgcccaagcgaagcaatatttctggaagccattcctaccctttattatcaaagaaaaattggcatggagttcataaaaatgatgacagatcttcatatgctctccggccacacttcatgttaatatcatcccggattcctgcgtatgagatggtgatggagagtgtgaaggctggtgttgtttctgtggtatatgaacacagcgtaaccttggaaagccttctgtatcttatagaaaaagctctggatgggcagaaggcacagagcatcggaatatttagcgatggagacagcagagaaatcaatttactccaaggctataaaattggtgttaaaaatttactgaggcctgaagtgagagatttctgggagaaattaggaagctatgtggccactgaagaagaagggggtcacgtggacttcttcgtgccccttggagcatcagaggcaggaattgaagttctttcccagctgtctcaactaactggcacgttctttacggcccccactgggattgcaactggctcttaccagcacattcttagtgattggctgggatcccaatggggaaaggccccctcttccatctacttctgcgaatcgaagctacagacgtggtccagcttcacagacttcctagaagaaaccttgaaaacagtaaggaagcagctgtatcctttcttcaaggaactgcagaagagcatcagtggcaggatgatagggcagtttatgtttgacaccatgggtatgaccaacattctaaacaaccaagatactgcgcaagctctggcagatggattgatggagttgtcaaaagaagattctgaaagaaatgttgtagaagacaattcttgggacacaaagtccaggctcagcaaaaatgatttaaattttgaagcactgattaatctggagagaatactccagaaggactcagcagaaaagcgagctagagttgtcagagaactcttacagagtgagagaaaatacgtgcagatactggaaattgtgagagatgtttatgtcgcaccactgaaagcagcattgtcatcaaacagagcgattctgagtgctgccaatatccagatcattttctgtgacattctacagattttaagtctcaacaggcagtttctagataacctgagagacagactgcaggaatggggcccagctcactgtgtgggagaaatagtcacgaagtttggaagccagttaaacacatataccaatttcttcaacaattaccctgtcattctgaaaactattgagaagtgcagagaaatgataccagcattccgaactttcctgaagaggcatgataagaccattgttaccaaaatgctgagcctgccagagctgctgctgtacccatcccgaagatttgaagaataccttaatcttctctacgctgtcaggcttcatacccctgcagagcatgttgaccgtggggacttgaccactgcaattgaccaaatcaaaaaatataaaggttatatagatcagatgaagcaaaacatcactatgaaggatcatctgtcagatatacagagaatcatctggggatgccctactctatcagaagtaaacagatatctgattagggtacaagatgtagcccaacttcattgctgtgatgaagaaataagtttctctttaaggctctatgaacacatccatgatctcagccttttcctcttcaatgatgccctgctcgtttctagtcggggcacatctcacactccatttgagaggacttcaaaaacaacctaccagttcattgcatcagtggcccttcatcggttactcatagaaaatattccagattccaagtatgtcaagaatgcatttattcttcagggtccaaaatataaatggatttgtgctacagaaatagaggatgataagttcctatggctgtcagtacttcgaaatgcaatcaaaagcagtatggagaagttaattaa</t>
  </si>
  <si>
    <t>ggcgcgccatgggggcaggagctctagccatctgtcaaagtaaagcagcggttcggctgaaagaagacatgaaaaagatagtggcagtgccattaaatgaacagaaggattttacctatcagaagttatttggagtcagtctccaagaacttgaacggcaggggctcaccgagaatggcattccagcagtagtgtggaatatagtggaatatttgacgcagcatggacttacccaagaaggtctttttagggtgaatggtaacgtgaaggtggtggaacaacttcgactgaagttcgagagtggagtgcccgtggagctcgggaaggacggtgatgtctgctcagcagccagtctgttgaagctgtttctgagggagctgcctgacagtctgatcacctcagcgttgcagcctcgattcattcaactctttcaggatggcagaaatgatgttcaggagagtagcttaagagacttaataaaagagctgccagacacccactactgcctcctcaagtacctttgccagttcttgacaaaagtagccaagcatcatgtgcagaatcgcatgaatgttcacaatctcgccactgtatttgggccaaattgctttcatgtgccacctgggcttgaaggcatgaaggaacaggacctgtgcaacaagataatggctaaaattctagaaaattacaataccctgtttgaagtagagtatacagaaaatgatcatctgagatgtgaaaacctggctaggcttatcatagtaaaagaggtctattataagaactccctgcccatccttttaacaagaggcttagaaagagacatgccaaaaccacctccaaaaaccaagatcccaaaatccaggagtgagggatctattcaggcccacagagtactgcaaccagagctatctgatggcattcctcagctcagcttgcggctaagttatagaaaagcctgcttggaagacatgaattcagcagagggtgctattagtgccaagttggtacccagttcacaggaagatgaaagacctctgtcacctttctatttgagtgctcatgtaccccaagtcagcaatgtgtctgcaaccggagaactcttagaaagaaccatccgatcagctgtagaacaacatctttttgatgttaataactctggaggtcaaagttcagaggactcagaatctggaacactatcagcatcttctgccacatctgccagacagcgccgccgccagtccaaggagcaggatgaagttcgacatgggagagacaagggacttatcaacaaagaaaatactccttctgggttcaaccaccttgatgattgtattttgaatactcaggaagtcgaaaaggtacacaaaaatacttttggttgtgctggagaaaggagcaagcctaaacgtcagaaatccagtactaaactttctgagcttcatgacaatcaggacggtcttgtgaatatggaaagtctcaattccacacgatctcatgagagaactggacctgatgattttgaatggatgtctgatgaaaggaaaggaaatgaaaaagatggtggacacactcagcattttgagagccccacaatgaagatccaggagcatcccagcctatctgacaccaaacagcagagaaatcaagatgccggtgaccaggaggagagctttgtctccgaagtgccccagtcggacctgactgcattgtgtgatgaaaagaactgggaagagcctatccctgctttctcctcctggcagcgggagaacagtgactctgatgaagcccacctctcgccgcaggctgggcgcctgatccgtcagctgctggacgaagacagcgaccccatgctctctcctcggttctacgcttatgggcagagcaggcaatacctggatgacacagaagtgcctccttccccaccaaactcccattctttcatgaggcggcgaagctcctctctggggtcctatgatgatgagcaagaggacctgacacctgcccagctcacacgaaggattcagagccttaaaaagaagatccggaagtttgaagatagattcgaagaagagaagaagtacagaccttcccacagtgacaaagcagccaatccggaggttctgaaatggacaaatgaccttgccaaattccggagacaacttaaagaatcaaaactaaagatatctgaagaggacctaactcccaggatgcggcagcgaagcaacacactccccaagagttttggttcccaacttgagaaagaagatgagaagaagcaagagctggtggataaagcaataaagcccagtgttgaagccacattggaatctattcagaggaagctccaggagaagcgagcggaaagcagccgccctgaggacattaaggatatgaccaaagaccagattgctaatgagaaagtggctctgcagaaagctctgttatattatgaaagcattcatggacggccggtaacaaagaacgaacggcaggtgatgaagccactatacgacaggtaccggctggtcaaacagatcctctcccgagctaacaccatacccatcattggttccccctccagcaagcggagaagccctttgctgcagccaattatcgagggcgaaactgcttccttcttcaaggagataaaggaagaagaggaggggtcagaagacgatagcaatgtgaagccagacttcatggtcactctgaaaaccgatttcagtgcacgatgctttctggaccaattcgaagatgacgctgatggatttatttccccaatggatgataaaataccatcaaaatgcagccaggacacagggctttcaaatctccatgctgcctcaatacctgaactcctggaacacctccaggaaatgagagaagaaaagaaaaggattcgaaagaaacttcgggattttgaagacaactttttcagacagaatggaagaaatgtccagaaggaagaccgcactcctatggctgaagaatacagtgaatataagcacataaaggcgaaactgaggctcctggaggtgctcatcagcaagagagacactgattccaagtccatgttaattaa</t>
  </si>
  <si>
    <t>ggcgcgccatgaggaagagctcctccccttccttgagtaactgcaactccgttcttgctaacaaaatatttggaattccacttgatgagctgcagcagggaggacatccagacaatgaggttccattcatagtccgccacgttgtggactatattgaggaacatggaggtctggagcaacaaggactttttcaagtcaatggaaatgctgagacagtggagtggcttcggcagagatacgacagcggagaagaggtggatttggttaaggaagcagatgttccctcagctattagccttcttagattttttcttcaagaacttcctgaacctgttatccctggcagtttacatattcacttgatgcagctttctcaagattataataatgaagatgaatttggaagaaagttgaggttcctcttgcaacagcttccacctgttaattatagtttgttaaagtttctgtgtagatttttagccaatgtagcatcacatcatgaagaaatttggtctgcaaattctttggctgctgtctttggtccagatgtcttccacatttacacagatgtggaagacatgaaagagcaagaaatagtgagcaggataatggctggacttctggaaaactactatgagttttttgagaatgaagaggaagatttttcatctaatgatttgagttcaattactgaacaggttaatgaactttctgaggaagaagaggaagatgaaaagctggaacatattgaagaacttccagaagagggtgcagaaaaatcaaatgacatgccagaggtggtacaattaaggatgactgaaaacatcctggaatcaaatagtgttacggcaacaagcacccatatatctcccatcagcatcctaccagcctctacagatattttagaaagaacaattagagcagctgtggaacagcacctttttgatcttcagagcagcatagatcatgatcttaagaatttacaacagcaaagtgtggtgtgtaataatgaagcagaaagtattcattgtgatggggaaggatctaataaccagattgatattgctgatgatattattaatgccagtgaaagtaacagagactgttcaaaacctgtggctagcactaatttagacaatgaagctatgcagcaagattgtgtatttgagaatgaagaaaatacccagtctgtaggtatattgttagagccatgcagtgaccgtggtgatagtgaagatggctgtcttgagagggaagaatatttgttatttgacagtgataaattgtcacacttgattctggattctagtagcaagatatgtgatttgaatgccaacactgaatcagaagtaccaggaggtcagagtgttggtgttcaaggggaagcagcgtgtgtcagtattccacatttagatctgaagaatgtttctgatggtgataaatgggaagagccatttcctgcttttaagtcttggcaggaggactctgagtctggagaagctcagctgtctccacaagctggaagaatgaatcatcaccccttggaagaggactgtcctccagtattatcacaccgcagtttagattttggtcaaagccagcgtttcctacatgatccagaaaagttggattcctcatctaaagcactgtcttttactagaattcgaagatcatcctttagttcaaaagatgaaaagagagaggacagaacaccttatcagctggtcaagaaacttcagaagaaaatcagacaatttgaggaacagtttgaaagggaaagaaatagcaagccctcctacagtgatattgctgccaatccaaaggtattaaaatggatgacagagcttacaaaactgcggaagcaaattaaagatgcaaaacacaaaaattctgatggagaatttgtacctcagacacgtccacgtagtaacacacttccaaaaagctttggctcttctctagaccatgaagatgaagagaatgaagatgaacccaaggtcattcagaaggagaaaaaaccatctaaagaagcaacccttgaacttattcttaaaagactgaaagaaaaacgtattgagaggtgtcttccagaagatatcaagaaaatgaccaaagatcatttggtagaagagaaagcttctcttcagaaaagtcttctttactatgaaagtcaacatggaaggccggtgaccaaggaagaaaggcacattgttaaacctctctatgatagatacaggcttgtaaaacaaatgctgacaagagctagcatcactcctgtccttggatctccatccaccaagcgaaggggtcagatgttacagccaatcatagaaggagaaactgcacatttttttgaagaaatcaaggaggaagaagaagatggtgttaatctgtcctctgagttaggtgatatgttgaaaactgcagtacaggtacagtcttcattagaaaactctgaatctgatgttgaagaaaatcaagaaaaactggctctggatctccgattgtcaagttctcgagcagcttctatgcctgaattattggaacaactttggaaagccagagctgaaaaaaagaaactacgcaaaacgttgcgggaatttgaagaagcattttatcaacaaaatggaaggaatgcccagaaagaggatcgtgttccagtgcttgaggagtacagagagtacaagaaaattaaagccaagcttaggcttcttgaagttcttataagcaaacaagattcttcaaaatccatataattaattaa</t>
  </si>
  <si>
    <t>ggcgcgccatgggagaaatagagcagaggccgaccccaggatcacgactgggggccccggaaaattcggggatcagtaccttggaacgtggacagaagccgcccccaacaccttcaggaaaactcgtgtccatcaaaatccagatgctggatgacacccaggaggcatttgaagttccacaaagagctcctgggaaggtgctgctggatgcagtttgcaaccacctcaacctcgtggaaggtgactattttggcctcgagtttcctgatcacaaaaagatcacggtgtggctggatctcctaaaacccattgtgaaacagattagaaggccaaagcacgttgttgttaagtttgtggtgaaattctttccgcctgaccacacacaactccaagaagaactcacaaggtacctgttcgcgctgcaggtgaagcaggacttggctcaaggcaggttgacgtgtaatgacaccagcgcagctctcttgatttcacacattgtgcaatctgagattggggattttgatgaagccttggacagagagcacttagcaaaaaataaatacatacctcagcaagacgcactagaggacaaaatcgtggaatttcaccataaccacattggacaaacaccagcagaatcagatttccagctcctagagattgcccgtcggctagagatgtatggaatccggttgcacccggccaaggacagggaaggcacgaagatcaatctggccgttgccaacacgggaattctagtgtttcagggtttcactaagatcaatgccttcaactgggccaaggtgcggaagctgagcttcaagaggaagcgctttctcatcaagctccggccagatgccaatagtgcgtaccaggataccttggaattcctgatggccagtcgggatttctgcaagtccttctggaaaatctgtgttgaacatcatgccttctttagactttttgaagagcccaaaccaaagcccaagcccgtcctctttagccgggggtcatcatttcggttcagtggtcggactcagaagcaggttctcgactatgttaaagaaggaggacataagaaggtgcagtttgaaaggaagcacagcaagattcattctatccggagccttgcttcacagcctacagaactgaattcggaagtgctggagcagtctcagcagagcaccagccttacatttggagaaggtgccgaatctccagggggccagagctgccggcgaggaaaggaaccgaaggtttccgccggggagccggggtcgcacccgagccctgcgccgaggagaagccccgcgggtaacaagcaggcggacggagccgcctcggcgcccacggaggaagaggaggaggtcgttaaggataggacccagcagagtaaacctcagcccccgcagccaagcacaggctccctgactggcagtcctcacctttccgagctgtctgtgaactcgcaggggggagtggcccctgccaacgtgaccttgtctcccaacctgagccccgacaccaagcaggcctctcccttgatcagcccgctgctgaatgaccaggcctgcccccggacggacgatgaggatgagggccggaggaagagattcccaactgataaagcgtacttcatagctaaggaagtgtctaccaccgagcgaacatatctgaaggatctcgaagttatcacttcgtggtttcagagcacagtgagcaaagaggacgccatgccggaagcactgaaaagtctcatattcccgaattttgaacctttgcacaaatttcatactaattttctcaaggaaattgagcaacgacttgccctgtgggaaggccgctcaaatgcccaaatcagagattaccaaagaatcggcgatgtcatgctgaagaacattcagggcatgaagcacctggcggctcacctgtggaagcacagcgaggccttggaggccctggagaatggaatcaagagctcccggcggctggagaacttctgcagagactttgagctgcagaaggtgtgttacctaccgctcaacaccttcctcctgcggccactgcaccggctcatgcactacaagcaggtcctggagcggctgtgcaaacaccacccgccgagccacgccgacttcagggactgccgagccgctttggcagagatcacggagatggtggcacagctccacggtacgatgatcaagatggagaatttccagaagctgcacgaactcaagaaagatttgattggcattgacaatcttgtggttccgggaagggagttcatccgtctgggcagcctcagcaagctctcggggaaggggctccagcagcgcatgttcttcctgttcaacgacgtcctgctatacacgagccgggggctgacggcctccaatcagtttaaagtccacgggcagctcccgctctatggcatgacgattgaggagagcgaagacgagtggggggtgccccactgcctgaccctccggggccagcggcagtccatcatcgtggccgccagttctcggtccgagatggagaagtgggttgaggacatccagatggccattgacctggcggagaagagcagcagccccgcccctgagttcctggccagcagcccccctgacaacaagtcccctgatgaagccaccgcggctgaccaggagtcagaggatgacctgagcgcctcgcgcacatcgctggagcgccaggccccgcaccgcggcaacacaatggtgcacgtgtgctggcaccgcaacaccagcgtctccatggtggacttcagcatcgcagtggagaatcagttgtctggaaacctgctgaggaaattcaaaaacagcaacgggtggcagaagctgtgggtggtgttcacaaacttctgcctgttcttctacaaatcacaccaggacaatcatccccttgccagcctgcctctgctcggctactcgctcaccatcccctctgagtccgagaacatccagaaagactacgtgttcaagctgcacttcaagtcccacgtctactacttcagggcggaaagcgagtacacgttcgaaaggtggatggaagtgatccgcagtgccaccagctctgcctcgcgaccccacgtgttgagtcacaaagagtctcttgtgtattgattaattaa</t>
  </si>
  <si>
    <t>ggcgcgccatgggggagatagaaggaacatacagagtcctgcagactgcagggatgcgcttgggtgcccagacccctgtgggagttagcacccttgagcctgggcagactctcttgcccagaatgcaagagaagcacctgcacctcagagtaaagctgctggacaacaccatggaaatatttgacattgagcctaaatgcgatggccaggtattactgacacaagtgtggaagcgtttaaacctggtagaatgtgactacttcgggatggagtttcaaaatactcagtcctactggatttggcttgaacctatgaaacccatcattaggcaaatacgaaggccaaagaatgtggtgcttcgcctagctgtaaaattttttccacctgatcctggtcagctacaagaagaatatacaagatacttgtttgccttgcaacttaagagagacctgctggaagagcgtttgacctgtgctgacaccacagcggcccttctcacgtcccatctcctgcagtcggaaataggagattacgatgaaacgctggaccgagagcacctcaaagtgaacgagtatttgcctggccagcagcactgccttgagaagatactagaattccatcagaagcacgtgggccagacacctgctgagtcggatttccaggtgctcgaaattgctcgaaagttggaaatgtacggcatcagatttcacatggcttctgacagggaaggaaccaagattcaactggcagtttcccacatgggtgtactcgtgttccagggcaccaccaaaatcaacactttcaactggtccaaggtccgtaaactaagcttcaagaggaaaagatttcttatcaaacttcatccagaggttcatggaccttaccaggacacattagaatttttgttgggtagtagagatgaatgtaagaacttctggaagatttgtgtggagtatcacaccttttttagacttttggaccaacctaagccaaaagcaaaagccgtcttcttcagccggggctcctccttcagatacagtggaagaactcagaaacaactagtagattatttcaaagacagtggaatgaagagaattccatatgaaagaaggcacagcaagacccacacgtccgttcgagctctgactgcagacctaccaaaacagagcatctcattccccgagggattgaggactcctgcctccccatcttcagcgaatgccttttactcgctctctccctccactctggtcccctctggcctgccagagtttaaggacagcagcagctccctcacagatccccaggtttcctacgtcaagagtccagctgcagagaggcgcagtggagcagtggctggaggccccgacacaccatcggcccagcccctcgggccccccgcactccagcctggtccaggcctttccacgaagagtcctcagccttctccctccagccggaagagccccctgagtctgagccctgcatttcaggtgcctttgggcccagctgaacagggctcatccccactcctgagccctgtcctcagtgatgctggcggagccgggatggactgcgaggagcccagacacaagcgcgtgcctgcagacgaggcctacttcatagtcaaagagattctcgctacagaacgaacatacctcaaggatttagaagttattaccgtgtggttccgcagcgcagtggtgaaggaggacgccatgcctgcgactctgatgacgctgctcttctccaacatcgatcccatctatgagttccacagaggcttcctgcgcgaggtggagcagaggctggcactctgggaagggccctccaaagcccacacaaaaggcagtcatcaacgaatcggggacatcctgctcaggaacatgcgccagttaaaggagtttaccagctacttccaaagacatgacgaggtcctaacagaactggaaaaggctaccaaacgctgtaagaagttggaggcagtgtacaaggagtttgagctgcagaaggtctgctacttgcctctcaacacgttcctgctgaagcccatccagcggctgctgcactaccgcctgctgctgcgccgcctatgcggacattacagccccgggcaccatgactacgctgactgccatgacgccctgaaagccatcacagaggtgaccaccacactacagcacattctcatccggctggagaacctgcagaagctaacggagctgcagcgggacctggtgggcatagagaacctcattgctcctggcagggagttcatccgtgagggctgccttcacaagctcaccaagaagggcctgcagcagaggatgttttttctgttctcagatatgttgctgtacacaagcaaaggagttgcagggaccagccacttccggatccggggcctccttcccctccaaggcatgctggtggaagaaagtgataacgagtggtctgttccacactgtttcaccatctacgcggctcagaaaacaatcgtggtggcagccagcactcggctggagaaagagaagtggatgctggacctgaactccgcgatccaagcagccaagagtggcggtgacacggcccctgcactgccaggccgcactgtgtgcactcgtccccccagatcccccaacgaggtatctctggagcaggagtcagaagatgatgctcggggtgtccgcagctccctggaggggcatggccagcaccgggccaacaccacaatgcacgtgtgctggtaccggaacaccagcgtgtccagggcagaccacagtgcagctgtcgagaaccagctttcaggatatctgctaagaaagttcaaaaacagtcatggctggcagaagctctgggtcgtctttaccaacttctgtttgttcttctacaaaactcatcaggatgactacccactggccagcctcccgctgctgggctacagcgtgagcatccccagggaggccgatggcatacacaaagactatgttttcaagctccagttcaaatcccacgtctacttcttccgggctgagagcaagtacacatttgaaaggtggatggaggtgatccagggggccagcagctcagccgggagggccccaagcatcgtgcaggatggcccccaaccctcctcagggctggaggggatggtcagggggaaggaggaattaattaa</t>
  </si>
  <si>
    <t>ggcgcgccatgcatggccaccgagccccggggggcgccgggccttcggagcccgaacacccggccacgaacccgccgggcgccgctccgccggcctgtgccgactcggaccctggagcctcggaacccggactgctggcgcgcaggggctcaggttcggctcttggcggcccactggatccccagtttgtcggaccctcggacaccagcctgggcgctgctccaggccaccgggtcttgccctgcggtcccagtccacagcaccaccgggccctgcgcttctcttaccacctggagggctcgcagcctcggcctgggctgcaccagggaaaccggatcctggttaaaagtttgtcccttgaccctggccaaagcctagagcctcatccagaaggtccccagcggcttcgctcagacccaggtcccccgactgaaacccctagccagcgtccttcaccactgaagcgggcaccgggcccgaagccacaggtgcccccaaagcccagctacctgcagatgccccggatgccccccccactggagcccatcccccctccaccatcacgcccactgcctgccgacccccgagtggccaagggcctggctcccagggcagaggccagccccagttctgcagcagtatcctcactgattgagaagtttgaaagagagcctgtgattgtcgcctcggatagaccagtccctggccccagcccaggtcccccagagccagtcatgttgccacagccaacctcgcagccaccagtgccccagctccccgagggtgaggcctcccgctgcctgtttctgctggctcctgggccccgggacggtgagaaggtgcccaaccgggacagcggcattgatagcatcagctcgccatccaacagcgaggagacctgcttcgtcagtgatgacgggccccccagccacagcctctgccctgggccccctgccctggctagtgtgcctgttgccttggccgacccccaccggcctggctcccaagaggttgacagtgacctggaggaggaggacgacgaggaggaggaggaagagaaggacagagaaatcccagtgcccctgatggagagacaggagtctgtggagttgactgtgcagcaaaaggtgtttcacattgccaatgagctcctgcaaactgagaaggcctacgtttccaggctccatctcctggatcaggtgttctgtgcccggctgctggaagaagctcggaaccgcagttccttcccggccgacgttgtccacggcatcttctctaacatctgctccatctattgcttccaccagcagttcctgctgcctgagctagagaagcgcatggaggaatgggaccgctatccacgcattggagacatcctgcagaaactggcccccttcctcaagatgtatggtgagtatgtgaagaactttgaccgggccgtggagctggtcaacacctggacagagcgctccacccagtttaaagtcatcatccatgaggtgcagaaggaggaagcctgtggcaacctgacattgcagcaccacatgctggagcctgtgcagcgcatcccccgctatgagcttcttctcaaggactatctgttaaagctgccccatggctccccggacagcaaggatgcccaaaagtctctggagctgatcgccacagcagcagagcactcgaatgctgccatccgcaaaatggagcgaatgcataagctgctgaaggtatatgagctgttagggggcgaggaggacattgtcagccccaccaaagagctcataaaagaaggccacatccttaagctgtcagcaaagaatgggaccactcaagaccgatacctcatactattcaacgaccgcctcctttactgcgtgcccaggctgcggctccttggccagaagtttagcgtgcgggcacgcattgatgtagatggcatggagctaaaggagagctccaacctcaatctgcctcgaaccttcctggtgtcaggaaagcagcgctccctcgagctccaggccaggactgaggaggagaagaaagactgggtccaggccatcaactccaccctcctgaagcatgaacagacgctggagactttcaaactgttgaactcaacaaacagggaagatgaagacaccccacccaactctccaaacgtggatcttgggaagcgggcacctacgcccatccgggaaaaggaagtcaccatgtgcatgcgctgccaggagcccttcaattctatcaccaaacgcaggcaccactgcaaggcctgcgggcatgtggtttgtgggaagtgctccgagttccgggcccgcctcgtctatgacaacaaccgctccaaccgtgtgtgcactgattgctatgtggccttgcacggggtgcctgggagcagtccagcctgcagccagcatacaccccagcgccggaggtccatcctggagaaacaggcctcagtggctgcagagaacagcgtcatctgcagcttcctgcactacatggagaagggtggcaaaggatggcacaaggcatggttcgtggtccctgaaaatgaacccttggtgctgtatatctacggagcccctcaggatgtgaaagcccagcgcagcctgcccctcattggcttcgaggtgggaccgcccgaggcaggggagcggcctgacagaaggcatgtcttcaagatcacccagagccacctcagctggtacttcagccctgagacagaggaactacagcgacgctggatggctgtgcttggccgggcgggccgaggggacacgttctgcccggggcccacactgtctgaggacagggagatggaggaggcaccggtggctgctttaggagccactgctgaaccccccgaatccccccagacccgagacaagaccttaattaa</t>
  </si>
  <si>
    <t>gtcgacaccatgaagggggcaagtgaggagaagctggcatctgtgtccaacctggtcactgtgtttgagaatagcaggaccccagaagcagcacccagaggccacaggctagaggacgtgcatcaccgccctgagtgcaggcctcccgagtccccaggaccacgggagaagacgaatgtcggggaggccgtggggtctgagcccaggacagtcagcaggaggtacctgaactccctgaagaacaagctgtccagcgaagcctggaggaaatcttgccagcctgtgaccctctcaggatcggggacgcaggagccagagaagaagatcgtccaggagctgctggagacagagcaggcctatgtggcgcgcctccacctgctagaccaggtgtttttccaggagctgctgaagacagcccgcagcagcaaggccttcccagaggatgtggtcagggtcatcttctccaacatctcctccatctatcagttccattctcagttcttcctcccagagctgcagcggcgcctggacgactggacagctaacccccgcatcggtgacgtgatccagaagctggcccccttcctgaagatgtacagtgagtatgtcaagaactttgagcgagcggctgagctgctggccacctggaccgacaagtctccactcttccaggaggttctcactcgcatccagagcagcgaggcttcgggcagcctgaccctgcagcaccacatgctggaaccagtgcagagaattccacgttacgagctgctgctcaaggagtacatccagaagctgccagcccaggccccagaccaggccgatgcccagaaagccctggacatgatcttctcagctgcccagcactccaatgcagccatcactgagatggagcggctgcaggacctgtgggaggtgtaccagcgcctgggcctcgaggacgacatagtagacccctctaacaccctgctccgtgagggcccggtcctcaagatctccttccgccgcaacgaccccatggagcgctaccttttcttgttcaacaacatgctgctctactgtgtgcccagggtgatccaggtgggcgcccagttccaggtgaggacccgcatcgatgtggccgggatgaaggtgcgggagctgatggatgctgagtttccccactccttcctggtgtccgggaagcagcgcaccctggagctgcaagcccggtcccaggaggaaatgatttcctggatgcaggccttccaagcagccattgaccaaatcgagaagcggaatgaaaccttcaaggctgcggcccaggggcctgagggagacatccaggagcaggagctgcagtctgaggagctgggcctccgggcaccgcagtgggtccgggacaagatggtgaccatgtgcatgcgctgccaggagcccttcaacgctctgacgcgccgtcgccaccactgccgggcctgcggctatgtggtgtgtgccaggtgctccgactaccgggccgaactgaaatacgacgacaacaggcccaaccgagtctgcctccactgctacgcattcctcactggaaatgtgctgcctgaggccaaggaggacaagaggcggggcatcctggagaaagggtcctcagccacgcctgaccagagcctgatgtgcagcttcctgcagctcatcggggacaagtggggcaagagcggcccccggggctggtgtgtgatccctcgggatgaccccctcgtgctctatgtctatgctgcccctcaggacatgagggctcacacctccatccccctgctgggctaccaggtgactgttgggccccagggggaccctcgggtcttccagctacagcagtcaggccagctctacaccttcaaggccgagacggaggagctgaagggccgctgggtgaaggccatggagcgggcggccagtggctggagccccagctggcccaacgatggggacctgtccgacggaagctt</t>
  </si>
  <si>
    <t>ggcgcgccatggagtcaggcagggggtcctcaacccctccaggacccattgctgccctagggatgccagacactgggcctggcagttcctccctagggaagcttcaggcgctccctgttgggcccagagcccactgtggggaccctgtcagcctggctgcagcaggggacggctctccagacataggccccacgggagagctgagtggtagcttaaagatccccaaccgggacagcgggatcgacagtccctcctccagtgtggctggagagaactttccctgcgaggagggcttggaggctggcccaagccccactgtactgggggcgcacgcagagatggccctggacagccaggtcccgaaggtcaccccccaggaggaggcggacagcgacgtgggtgaggaacctgactctgagaacaccccccagaaggctgacaaggatgccggcctggcccagcactctggcccccagaagcttctccacattgcccaggagctcctgcacaccgaggagacctatgtgaagcggctgcacctgctggaccaggttttctgcaccaggctgacggatgcggggatccctccagaagtcatcatgggcatattctctaacatctcctccatccaccgcttccacgggcagttcctgctgccggagctgaagacgcggatcacggaggagtgggacacaaacccacggctcggggacatcctgcagaagctggccccattcctgaagatgtacggcgagtatgtcaagaactttgaccgagccgtagggctggtgagcacgtggacccagcgctccccactgtttaaagacgtcatccacagcatccagaagcaggaggtatgcgggaacctgacgctgcagcaccacatgctggagcccgtgcagagggtcccccggtacgagctgctgctcaaggactatctgaagaggctcccgcaggacgccccagaccggaaggatgcggagaggtccttggagctcatctccacagccgccaaccactccaatgctgccattcggaaagtggagaaaatgcacaagctcttggaggtgtacgagcagctgggtggggaagaagacattgtcaacccggccaatgaactgatcaaggagggccaaatccagaaactgtcagccaagaacggcaccccccaggaccgccacctcttcctgttcaacagcatgatcctttactgtgtgcccaagctgcggctcatgggccagaagttcagcgtccgggagaagatggacatctcaggcctccaggtgcaggatatcgtcaagccaaacacagcacatacattcatcataacgggaagaaaaaggtccctggagctgcagacgcggacagaggaagagaagaaagaatggattcagatcatccaggccaccatcgagaagcacaaacagaacagcgaaaccttcaaggcttttggtggcgccttcagccaggatgaggaccccagcctctctccagacatgcctatcacgagcaccagccctgtggagcctgtggtgaccaccgaaggcagttcgggtgcagcagggctcgagcccagaaaactatcctctaagaccagacgtgacaaggagaagcagagctgtaagagctgtggtgagaccttcaactccatcaccaagaggaggcatcactgcaagctgtgtggggcggtcatctgtgggaagtgctccgagttcaaggccgagaacagccggcagagccgtgtctgcagagattgtttcctgacacagccagtggcccctgagagcacagagaagacacccactgcagacccccagcccagcctgctctgcggccccctgcggctgtcagagagcggtgagacctggagcgaggtgtgggccgccatccccatgtcagatccccaggtgctgcacctgcagggaggcagccaggacggccggctgccccgcaccatccctctccccagctgcaaactgagtgtgccggaccctgaggagaggctggactcggggcatgtgtggaagctgcagtgggccaagcagtcctggtacctgagcgcctcctccgcagagctgcagcagcagtggctggaaaccctaagcactgctgcccatggggacacggcccaggacagcccgggggccctgcagcttcaggtccctatgggcgcagctgctccgttaattaa</t>
  </si>
  <si>
    <t>ggcgcgccatggaggaaattaaacctgcctctgcttcttgtgtctcaaaagaaaaacccagtaaggtatcagatctcatcagtcgctttgaaggaggcagctcattatcaaattatagtgatttgaagaaagagtctgctgtgaacctaaatgctcctagaaccccaggaaggcatggattgacaaccacacctcaacaaaaactcctctcccagcacttgccacagaggcagggaaatgatgcagataagactcagggtgcacagacttgtgtggccaacggtgtaatggcagcacaaaaccagatggaatgtgaggaggagaaagctgccactcttagctcagatacttctattcaagcttctgaacccttgcttgatacgcacatagtgaatggagaaagagatgaaactgccacagctcctgcatcacccacaacagatagctgtgatggaaatgcttctgacagtagctacaggactccaggcataggcccagtgctccccctagaagaaagaggggcagaaacagaaaccaaggtacaagagagggaaaatggggaaagccctctggaactggagcagctggaccagcaccatgagatgaaggagactaatgagcaaaaacttcacaaaatagccaatgaacttttgcttactgaaagagcttatgtcaaccgacttgacctcttagatcaggtattttattgcaaactgttggaagaagcaaaccgaggctcgtttccagcagagatggtgaataaaatcttttccaatatttcatcaataaatgccttccatagtaaattcctcttgccagagctggagaaacgaatgcaagaatgggaaactactcctagaattggagacatccttcagaaattggcaccattccttaagatgtatggagaatatgtgaaaggatttgataatgcaatggaattggttaaaaacatgacagaacgtattccccagttcaaatcagtggttgaagaaattcagaaacagaaaatctgtgggagcttaactttgcagcatcacatgctagaacctgttcagcggattccccggtatgagatgctccttaaggactatctaaggaaattgcctcctgattccctggactggaatgatgctaaaaaatcacttgaaattatatctacagcagcaagccattctaatagtgcaataaggaaaatggagaacctaaagaaactcttagagatttatgaaatgttgggagaagaagaagacattgtaaacccttcaaatgaactaataaaagaaggacagatcctcaaactagctgctcggaacacttcagcacaagaacgctaccttttcttattcaacaacatgttgctgtactgtgtgcccaaattcagcttggtaggctctaaattcacagttcgaaccagggttggcattgatggaatgaaaattgtagagactcaaaatgaagaatatccacatactttccaggtgtctgggaaagagagaacactggaactgcaggccagttctgcgcaagacaaagaagaatggatcaaggcccttcaagaaaccatcgatgcttttcatcaaaggcatgaaaccttcagaaatgcaattgcaaaggataatgacattcactcagaggtttctactgctgagctagggaaaagagccccaagatggatccgagataatgaagtgacaatgtgtatgaaatgtaaagaacctttcaatgcactgacacgaaggaggcatcattgtcgagcatgtggatatgtggtttgttggaaatgctccgactacaaagctcaacttgaatatgatggtggtaaattgagcaaagtttgtaaagactgttatcaaatcataagtggattcacagacagtgaagaaaagaaaagaaaaggaattttagagattgaatcagcagaagtatctggaaacagtgtggtgtgcagctttcttcagtatatggagaagtcaaaaccttggcagaaagcttggtgtgtgatccccaagcaagaccctcttgtgctgtacatgtatggtgccccccaggacgtcagagcccaggccaccattccacttctgggctatgtggtggatgaaatgccaaggagcgcagacctgccacacagtttcaaactgacccagtctaagtccgtgcacagctttgctgcagacagtgaggaactgaagcagaagtggctgaaagtcatccttttagctgtcacaggtgagacaccaggtggtccaaatgagcatccagccaccttggatgatcatcctgaacctaagaaaaaatcagaatgcttaattaa</t>
  </si>
  <si>
    <t>ggcgcgccatgttcaggggtccgaagccccccattgcccccaagcccaggctgactgccccaaacgagtggagagccagtgtgtacctgaatgacagcttgaacaaatgcagcaacgggcggctgccctgtgtagacagggggcttgatgaggggccccggtccatcccaaagtgctctgagtcggagaccgacgaggattacatcgtggtccccagggttccgctgagggaggatgaacccaaggacgagggcagtgtggggaacaaagccctggtgtctcccgagtcctctgcggaagaggaagaggagcgtgaagagggaggcgaggcatgtggcctggagggtacaggagctggtgaggattcagtggcccctgctgctccgggtgcaggagcgctgagcagggagggtgaggaaggcacagaccttgctcttgaggatgaaggggagggctgcgctgatgagccagggacactggagcaggtgtccagaagtgaggaggaagagaagctagtgcagccacacagggagtgcagcctggaggacagtgggccttgggctggagagggggtcttccagagcgacctcctcctgcctcacatccatggagaggaccaggagccccccgacacccccggggaggcagaggaggatgatgaggaaggctgtgccagcacagacccagcaggggcagatgagggttcgggtcctgacaggcccacggaggacatgggacaggatgctgaggacaccagtgaggagccccctgagaaggaggagctggccggggtccaggaggcagagacagccacagactgccctgaagttcttgaggagggatgtgaagaggccacgggtgtcacaggtggggaacaggttgacctcagtgaaccacctgaccacgagaagaaaaccaaccaagaagtggcagccgccaccctggaggaccatgcacaggatgagtccgccgaggagagctgccagattgtcccttttgagaatgactgcatggaggacttcgtgacttccctcacaggaagcccctatgagttcttcccaactgagagcacctctttttgcagcgagagctgttctcctctttctgaatcagcgaaaggtttagaatcagagcaggcaccaaagctggggctgcgtgcggaggagaaccccatggtgggggctttgtgtggccagtgtggctccctacagggtggagcggccgagggtcccgcagcccctgatgtggtggtcgtgctggaggaggaggccttggatgatgcactggccaacccctatgtgatgggagtgggcctgcccggtcaggcggcccctggagaaggagggcaggctgcatcggacgccctgggtggttatggctcgaaagaagaattgaactgtgaggcagagggtggcctggttcccgcggacaggaagaacaccagcacgagggtccggccccactctgggaaggtggccggctatgtcccagaaaccgtccctgaagaaaccggacctgaggcgggctcgtcagcccctggcattggaggtgccgcagaggaggtgggaaagacgcttttgtcattggaggggaagcccttggaagccagcagggccttgccagcaaagcccagggcctttactttataccctcggtcgttctccgtggaaggccgagagattccagtgtccgtgtaccaggagcctgaggggtcagggttggatgaccacaggataaagaggaaagaggacaatctctctctgtcgtgtgtaattggctcctctgggagtttctcccagagaaaccaccttccgtccagcggcacctccacgccttcttccatggtcgacatcccacctcctttcgacctggcctgcatcaccaagaagcccatcacaaagagctctccctcactcctgatcgagagcgactccccggacaagtacaagaagaagaagtcatcctttaagcgcttcctggcactgacgtttaagaagaagacggagaacaaattgcatgtggatgtgaacgtgtcttcctctaggtcctcttcagagtccagctaccacgggccttccaggattctggaagttgaccggagaagcctcagcaactcccctcagcttaagtctcggactgggaagctccgggcttctgaatccccctcctccctcatcttttatagagatggcaagaggaaaggtgtccccttcagcaggacggtgtccagagtggagtcctttgaagaccgctcccggccgcccttcctgcccttgccactgaccaagccacggtccatctccttccccagcgctgacacttcagactatgagaacattccagccatgaactcggactatgagaatatccagattccaccccggagacctgccagggctggcgcgttcacgaagctgtttgaagatcagagcagagccctgtccacagcaaacgaaaatgatggctacgtggacatgagcagcttcaacgcctttgagagcaaacagcagagtgcagaccaggacgcagaaagcgcctacacagagccctacaaagtctgtcccatctcgtcggcagcccccaaagaggaccttacgtcggatgaagagcagagaagctcggaggaggaggacagtgcttcaagagaccccagtgtcacccacaaggtggaaggacagtccagagcccttgtcatcgcacaggaactgctatcttcagagaaagcatacgtggagatgctccagcacttaaatctggatttccatggagctgtcatgagggccttggatgacatggaccatgaaggcagagacacattggcccgggaggagctgaggcagggcctgagtgaactcccagccatccacgaccttcatcaaggcatcctggaggagctggaggaaaggctgtcaaattgggagagccagcagaaggtagctgacgtcttcctggcccgggagcaggggtttgatcaccacgccactcacatcctgcagttcgacaggtacctaggtctgctcagtgagaattgcctccactctccccggctggcagctgctgtccgtgaatttgagcagagtgtacaaggaggcagccagactgcgaagcatcggctgctgcgggtggttcaacgcctcttccagtaccaagtgctcctcacagactatttaaacaacctttgtccggactccgccgagtacgacaacacacagggtgcactgagcctcatctccaaagtcacagaccgtgccaacgacagcatggagcaaggggaaaacctgcagaagctggtccacattgagcacagcgtccggggccaaggggatctcctccagccaggaagggagtttctgaaggaagggacgctgatgaaagtaacagggaaaaacagacggccccggcacctatttctgatgaacgatgtgctcctgtacacctatccccagaaggatgggaagtaccggctgaagaacacattggctgtggccaacatgaaggtcagccgccctgtgatggagaaagtgccctacgctctaaagattgagacttccgagtcctgcctgatgctgtctgcgagctcctgtgcagagagggacgagtggtatggctgtctgagcagagccctccctgaggactacaaggcccaggcgctggctgcattccaccatagcgtggagatacgagagaggctgggggttagccttggggagaggccccccaccctggtgcctgtcacacacgtcatgatgtgcatgaactgcggctgcgacttctccctcaccctgcggcgtcatcactgtcacgcctgtggcaagatcgtgtgccggaactgttcgcggaacaagtacccgctgaagtacctgaaggacaggatggccaaggtctgcgacggctgcttcggggagctgaagaagcggggcagggctgtcccgggcctgatgagagagcggcctgtgagcatgagcttcccgctgtcttcaccccgcttctcgggcagtgccttttcatccgtcttccagagcattaacccctcgaccttcaagaagcagaagaaagtcccttcagccctgacagaggtggctgcctctggagagggctctgccatcagtggctatctcagccggtgtaagaggggcaagcggcactggaagaagctctggtttgtcatcaaaggcaaagttctctacacctacatggccagtgaggacaaagtggccttggagagtatgcctctgctaggcttcaccattgctccagaaaaggaagagggcagcagtgaagtaggacctatttttcacctttaccacaagaaaaccctattttatagcttcaaagcagaagataccaattcagctcagaggtggatcgaggccatggaagatgcgagtgtgttatagttaattaa</t>
  </si>
  <si>
    <t>ggcgcgccatgacttctgccgcggagcttaagaagccaccattggctcccaagccaaagttagtggggaccaataataagccacctccccctcctattgcacctaaaccggacattggcagtgctagtgttccacggttaacgaagaagaccaaaccggcaattgcgccaaaaccaaaagtcccgacaaactcagttgttcaagacattaagcatccaccctcaaagaaacctactttgaacctggaggaaagggagccagaattacccgagagcactggcaagtctaattgcaaggatgtcagggatccacacagtgattatattttaccaacgtgttcctgcagttctgggtgtattcatgagcctaggactcgagaaaccctgtgtgtagagcagcttgttttagagcctctgggaatgaaggaaaatttagagaatagtaaaaatggtgagtcctcaaaaagggggagtagctgggattcaagcagcgaaaagtgccggggccagagtggagttgttttaaaggcaagcatcttagaagagaagctcaaagaggtcctgacgcagcagcgatcaccttgtggttccccagggaggcacagagctccaaaaaaaccagaaatgaatggtgaccatagttgcaccaggcagatcagaattgaatttgcagatgtgtcttcttccctgaccggctttgaaaaagttcccgctcatcacaactgccacccacaacttcctagggatgaatctcagactctcaagacttgtcaagatggcagtgcagagagccatggtcacactgattcatgtgaaccggagaacaaaagagtggcttcagatggaattagtcagaagacagaggacaaaggtctcggtcctttagaaatccacttactaccgtatacctcaaagtttccaactcccaagcccaggaagacacacgcagctgctcgtcttcgccgccagaagcatgtagatactcctggtgaaagcactgaagagccagggaactcaaacaatggctcttcttgtctcctggaggatagtttgaaaaacaataaagtcagtgttcttcgtcagaatgctttgtataaccagggaccagcagacgaggtgaggccagcaaaccagagggcattgacaggggattccaacagtggcggacaggactcagtcggctcacagaaagctgtgcagcagcaaacgccttctttagatacagattctagtttgacttctgacagcagtggttctggcgtgtcacctgctgtggacaaagagactacttacacacagtgcagtactcagcctttgagcttgcctaagcaagtcacatcagcctgcactgaccagccaccagctacctgtaacccggaagtgtcagctcctcccatacaaaaggaatcttcctcctcgagaatcattcccaaaaaacctcaaagacacagcttgcctgcagcaggggtgcttaaaaaggctgcttcggaggagcttgtagaaaagagctcttcaggtaaggagacaaatgtcgagaaaggtctgcacagaaaccaccttcaccatccggggcccccaaaccatggcgcgtcagcatcaccctttgatatgcccaacccgacttcagagaagccagtgtggaagttacctcatcctattctacctttttcagggagcccagaggccttgaaacgcgtcactttatccttaaataacgagccttccgtttccctaaccaagccaagagcaaaatccctgtctgccgtggatgcggaccggtgtaacaagccttgcaaagaccctccgaagaaaacttcttttaaaaagttgatcaatgtgaaactgtccattggcttcataaagagcgactttcagaaaattaggtcgaaaagctgccaacacggggatgtctctacaggacatccgctcgctagagagccaaaaggacttgaaagtgattggcaaggtttggccacaggagaagagaagagaagtaagcccacgaaggcacattctgcagaaaactgcagcctggaatctcaaaaggtgaagtcctggggccagagcagtgcagttaacggtcagagggcggagtctttggatgaccggattctctccaggcacacgtcctgtacaggcgacttcgggccagagtatgaaaatgtccgccattatgaggagatacccgagtatgagaatttgccctttgtcatggctggaaggaacactccggacttgggatggcagaactccagcagtgtggaggacactgatgcaagcctgtatgaagtggaagagccctacaatgctccagatggccagctgcaacttgatcctagacatcagccttgcagttctggaacatcccaggaggggcaggatgctctccatcttggcctcagtgacctgccttctgatgaggaagtcatcaatagttctgatgaagatgatgtcagctccgagtccagtaaaggcgagccagaccccctggaagataaacaggatgaagatgctgggatgaaaagcaaagttcatcatattgccaaggagatcatgagctccgagaaagtgtttgtggatgtgttaaagcttttgcatattgacttccggggtgctgtagcccatgcatccaggcaactcgggaagcccgtgattgaggaccggatccttaaccagatcctgtactacctgcctcagctgtacgagctcaaccgggatctcctgaaggaactggaagagcgaatgctcacctggacagaacaacaaagaattgctgatatctttgtaaagaaggggccatacttaaaaatgtattccacatacatcaaagaatttgataagaacgtagctttgctggatgagcagtgcaagaaaaatccaggatttgctgcagttgtcagagaattcgagatgagccctcgatgtgccaacctggccctgaagcactacctgctaaagccagttcagaggatccctcagtacaggctgctactgacagattacttaaagaaccttctagaagactctgtagatcacagagacacccaagatgccctggctgttgtcatagaggtagctaaccatgccaatgacaccatgaagcaaggggacaactttcagaagctcatgcagattcagtacagcttaagtggacaccatgaaattgtgcaacctgggcgggtttttcttaaagaaggcaccctgatgaagctgtctcggaaagtcatgcagccccggatgtttttcctgtttaacgatgctcttctctacaccacacccatgcagtctgggatgtacaaactgaacaacatgctctcgctggctggaatgaaggtcagaaaacctacccaggaggcatatcagaacgagttaaagattgaaagtgtagagcgttctttcatcctctcagctagttctgccgcagaaagagacgactggctggaggccatatccagctccatagaagagtatgccaagaaaagaatcacattctgccccagcaggagtcttgatgaggactcagaaaggaaagaagaagttagccccctcggggcaaaggctcccatctggatcccagacaccagagccaccatgtgtatgatttgcacaagtgaattcaccctgacctggagaagacaccactgcagggcctgtgggaagattgtgtgccaagcttgctcatcaaacaagtatggcttagattacctgaaagggcaactggcaagagtgtgcgagcactgcttccaagagctacagaaattagatcaccagctgtcgcctagggttgggtctcccggaaatcacaagtctccttcaagtgccttgtcgtcagtcttacatagcatcccgtcagggaggaagcagaagaaaatccccgctgctctcaaagaagtgtcagcaaacacagaagactccactatgagcggctacctctacagatccaagggcagtaaaaagccatggaaacacttatggtttgtcatcaaaaacaaagtactctacacatatgctgcaagcgaggacgtggcagctttggaaagtcagcctttattaggcttcaccgtcactctagtcaaggatgagaactcagagtctaaagtgtttcagctgctgcacaaaggcatggtgttttacgtatttaaggcagacgatgcccactccacgcagaggtggatagacgcatttcaggaaggcacagtattgttaattaa</t>
  </si>
  <si>
    <t>ggcgcgccatggaccagtctgtggcaatccaggagaccctggttgagggggaatactgcgtcatcgcagtccaaggtgtgctgtgtaagggagatagccggcagagccgcctgctcgggctggtgaggtaccggctggaaaatgacgcccaggagcatgctctcttcctgtatacacaccggaggatggccatcacaggagacgatgtatctctggaccagatagtgccactctcaaaagattttatgctggaagaagtgtccccagatggtgaactctacatccttggctctgatgtgacagtacaattgaacacagctgaactcaagcttgtattccaacttccctttggttcacacaccagaacgttcctccaggaagtggccagagcctgtccaggtttcgaccctgagacgcgggatcccgagttcgagtggctgtcaagacacacatgcgcggagcccgatgccgagtcgccgaaaccgcgcgagtggaattcggacccgggtacccggagtgggttcgcgcccattggaggaagcaggcatcagtctcggaatgcacggcgaggattggaggatgtcttgcctaggggccctggctacattctgctttggggcggagccgctgaggagccggaatttctattggcggaggagatgcatgagggcgggcctgtgagaggacggagaccgctcgccgggcggcgggatgaagcgcttgaggaagcagactgggaaatgtcggcaggcggcggctctcgggagcgcgactgtgcaggcgtttctaacgtcgacagctcgaggccaaatgggaggggcccggaccaaccctccggagccaggtgtccggagaaaccagaaaactctctcacaagacagaataaatctaagtctgacatgtctgaaaaggttcgctccgccacagtcacagtatcggacaaggctcacattttatccgtgcagaagtttgggcttcgagacacaatcgtgagatcacacctcgtgcagaaggaagagaattatacctacatccagaacttcaggttttttgtgggaacctacaatgtgaacggacagtcccccaaagaatgtctccggccctggctgagccacagcgccctggcccccgacgtgtactgtgtagggttccaggagctcgacctgagtaaggaagccttcttctttcacgataccccaaaggaggaagagtggtttaaggccgtgtcagaaagccttcacccagacgccaagtacgcaaaggtgaagttcgtccgactggttgggattatgttgctgctgtacgtcaaacaggaacatgcagcctatatctcagaagtggaagctgagaccgtagggacaggaatcatgggaaggatgggtaacaaaggaggagtggcgatcaggttccagctgcacaacaccagcatctgcgttgtcaattcccatctggcagcccacacagaggagtacgagaggaggaaccaagactacagagacatttgttctcgaatgcagttccctcaggtggatccgagccaaccccctctcaccattaacaagcatgatgtgatcttgtggctgggagacctcaactacaggatagaagagctggatgtgggaaaggtgaaaaagctcgtggaagagaaggccttccaaaccctgtatgcgcacgaccagctaaaaatccaggtggctgccaggaccatctttgatggcttcaccgagggtgagattacattccagcctacttacaagtacgatactggctctgacgactgggacaccagtgagaagtgtcgtgcaccggcctggtgtgaccgaatcctgtggaaaggaaagaacatcactcagctgagttaccagagccacatggccttgaagaccagtgaccacaagcctgtcagctcagtgtttgacattggggtgagggttgtcaatgaagaactctaccggaagaccctggaggaaattgtccgctccctggataaaatggaaaacgccaacattccttctgtgaccctctccaagcgggagttctgttttgagaatgtgaagtacatgcagttgcaaaccgagtccttcacgattcataatagccaagtgccctgtcagtttgaattcatcaacaagcctgacgaagagtcctactgtaagcagtggctgacggccagacccagcaagggcttcctcctgccagattcgcatgttgagattgaacttgagctttttgtaaataagtctactgccacaaaactcaactcaggcaaggacacgattgaagacattctggttttacacttggagcggggaaaggactactttctgtctgtgtctgggaactacctgcccagctgcttcggatctcctatccatacattgtgctacatgagggagcccatcttggatctaccactgaaaactgttagtgacctgacgttgatgtcagtgcagactgcagatgacaggagccagttggagaaccccatggaaatccccaaagagctctggatgatggtggattacctgtacagaaatgccgtccagcaggaagatctgtttcagcagccaggtctgaggccagagtttgaccatataagggactgtctagatactgggatgatcgaccagctctgtgctaacaaccattctgtagccgaagccttgctgcttttcctagagagcctgccagagcctgtcatctgttacagcgcctaccatagctgcttggagtgttctggcaattacgcagcaagcaagcagataattttaaccctccccagcttccacaaaaatgtcttcaactacttgatggcgtttttgcaagaactgctgaaaaattcagcaaacaatcatttggatgagaatattctagctagcatatttggcagcttactgctccggaacccagctcgtcaccaaaagcttgacatggcggaaaagaagaaggcccaagagtttattcaccagttcctctgcggtccactcttaattaa</t>
  </si>
  <si>
    <t>gtcgacaccatggctcagtttccaacaccttttggtggcagcctggatatctgggccataactgtagaggaaagagcgaagcatgatcagcagttccatagtttaaagccaatatctggattcattactggtgatcaagctagaaactttttttttcaatctgggttacctcaacctgttttagcacagatatgggcactagctgacatgaataatgatggaagaatggatcaagtggagttttccatagctatgaaacttatcaaactgaagctacaaggatatcagctaccctctgcacttccccctgtcatgaaacagcaaccagttgctatttctagcgcaccaccatttggtatgggaggtatcgccagcatgccaccgcttacagctgttgctccagtgccaatgggatccattccagttgttggaatgtctccaaccctagtatcttctgttcccacagcagctgtgccccccctggctaacggggctccccctgttatacaacctctgcctgcatttgctcatcctgcagccacattgccaaagagttcttcctttagtagatctggtccagggtcacaactaaacactaaattacaaaaggcacagtcatttgatgtggccagtgtcccaccagtggcagagtgggctgttcctcagtcatcaaggctgaaatacaggcaattattcaatagtcatgacaaaactatgagtggacacttaacaggtccccaagcaagaactattcttatgcagtcaagtttaccacaggctcagctggcttcaatatggaatctttctgacattgatcaagatggaaaacttacagcagaggaatttatcctggcaatgcacctcattgatgtagctatgtctggccaaccactgccacctgtcctgcctccagaatacattccaccttcttttagaagagttcgatctggcagtggtatatctgtcataagctcaacatctgtagatcagaggctaccagaggaaccagttttagaagatgaacaacaacaattagaaaagaaattacctgtaacgtttgaagataaaaagcgggagaactttgaacgtggcaacctggaactggagaaacgaaggcaagctctcctggaacagcagcgcaaggagcaggagcgcctggcccagctggagcgggcggagcaggagaggaaggagcgtgagcgccaggagcaagagcgcaaaagacaactggaactggagaagcaactggaaaagcagcgggagctagaacggcagagagaggaggagaggaggaaagaaattgagaggcgagaggctgcaaaacgggaacttgaaaggcaacgacaacttgagtgggaacggaatcgaaggcaagaactactaaatcaaagaaacaaagaacaagaggacatagttgtactgaaagcaaagaaaaagactttggaatttgaattagaagctctaaatgataaaaagcatcaactagaagggaaacttcaagatatcagatgtcgattgaccacccaaaggcaagaaattgagagcacaaacaaatctagagagttgagaattgccgaaatcacccatctacagcaacaattacaggaatctcagcaaatgcttggaagacttattccagaaaaacagatactcaatgaccaattaaaacaagttcagcagaacagtttgcacagagattcacttgttacacttaaaagagccttagaagcaaaagaactagctcggcagcacctacgagaccaactggatgaagtggagaaagaaactagatcaaaactacaggagattgatattttcaataatcagctgaaggaactaagagaaatacacaataagcaacaactccagaagcaaaagtccatggaggctgaacgactgaaacagaaagaacaagaacgaaagatcatagaattagaaaaacaaaaagaagaagcccaaagacgagctcaggaaagggacaagcagtggctggagcatgtgcagcaggaggacgagcatcagagaccaagaaaactccacgaagaggaaaaactgaaaagggaggagagtgtcaaaaagaaggatggcgaggaaaaaggcaaacaggaagcacaagacaagctgggtcggcttttccatcaacaccaagaaccagctaagccagctgtccaggcaccctggtccactgcagaaaaaggtccacttaccatttctgcacaggaaaatgtaaaagtggtgtattaccgggcactgtacccctttgaatccagaagccatgatgaaatcactatccagccaggagacatagtcatggttaaaggggaatgggtggatgaaagccaaactggagaacccggctggcttggaggagaattaaaaggaaagacagggtggttccctgcaaactatgcagagaaaatcccagaaaatgaggttcccgctccagtgaaaccagtgactgattcaacatctgcccctgcccccaaactggccttgcgtgagacccccgcccctttggcagtaacctcttcagagccctccacgacccctaataactgggccgacttcagctccacgtggcccaccagcacgaatgagaaaccagaaacggataactgggatgcatgggcagcccagccctctctcaccgttccaagtgccggccagttaaggcagaggtccgcctttactccagccacggccactggctcctccccgtctcctgtgctaggccagggtgaaaaggtggaggggctacaagctcaagccctatatccttggagagccaaaaaagacaaccacttaaattttaacaaaaatgatgtcatcaccgtcctggaacagcaagacatgtggtggtttggagaagttcaaggtcagaagggttggttccccaagtcttacgtgaaactcatttcagggcccataaggaagtctacaagcatggattctggttcttcagagagtcctgctagtctaaagcgagtagcctctccagcagccaagccggtcgtttcgggagaagaatttattgccatgtacacttacgagagttctgagcaaggagatttaacctttcagcaaggggatgtgattttggttaccaagaaagatggtgactggtggacaggaacagtgggcgacaaggccggagtcttcccttctaactatgtgaggcttaaagattcagagggctctggaactgctgggaaaacagggagtttaggaaaaaaacctgaaattgcccaggttattgcctcatacaccgccaccggccccgagcagctcactctcgcccctggtcagctgattttgatccgaaaaaagaacccaggtggatggtgggaaggagagctgcaagcacgtgggaaaaagcgccagataggctggttcccagctaattatgtaaagcttctaaaccctgggacgagcaaaatcactccaacagagccacctaagtcaacagcattagcggcagtgtgccaggtgattgggatgtacgactacaccgcgcagaatgacgatgagctggccttcaacaagggccagatcatcaacgtcctcaacaaggaggaccctgactggtggaaaggagaagtcaatggacaagtggggctcttcccatccaattatgtgaagctgaccacagacatggacccaagccagcaatggtgttcagacttacatctcttggatatgttgaccccaactgaaagaaagcgacaaggatacatccacgagctcattgtcaccgaggagaactatgtgaatgacctgcagctggtcacagagatttttcaaaaacccctgatggagtctgagctgctgacagaaaaagaggttgctatgatttttgtgaactggaaggagctgattatgtgtaatatcaaactactaaaagcgctgagagtccgcaagaagatgtccggggagaagatgcctgtgaagatgattggagacatcctgagcgcacagctgccgcacatgcagccctacatccgcttctgcagccgccagctcaacggggctgccctgatccagcagaagacggacgaggccccagacttcaaggagttcgtcaaaagattggaaatggatcctcggtgtaaagggatgccactctctagttttatactgaagcctatgcaacgggtaacaagatacccactgatcattaaaaatatcctggaaaacacccctgaaaaccacccggaccacagccacttgaagcacgccctggagaaggcggaagagctctgttcccaggtgaacgaaggggtgcgggagaaggagaactctgaccggctggagtggatccaggcccacgtgcagtgtgaaggcctgtctgagcaacttgtgttcaattcagtgaccaattgcttggggccgcgcaaatttctgcacagtgggaagctctacaaggccaagaacaacaaggagctgtatggcttccttttcaacgacttcctcctgctgactcagatcacgaagcctttggggtcttctggcaccgacaaagtcttcagccccaaatcaaacctgcagtataaaatgtataaaacacctattttcctaaatgaggttctagtaaaattacccaccgacccttctggagacgagcccatcttccacatctcccacattgaccgcgtctatactctccgagcagaaagcataaatgaaaggactgcctgggtgcagaaaatcaaagctgcttctgaactttacatagagactgagaaaaagaagcgcgagaaagcgtacctggtccgttcccaaagggcaacaggcattggaaggttgatggtgaacgtggttgaaggcatcgagttgaaaccctgtcggtcacatggaaagagcaacccgtactgtgaggtgaccatgggttcccagtgccacatcaccaagacgatccaggacactctgaaccccaagtggaattccaactgccagttcttcatccgagacctggagcaggaagtcctctgcatcactgtgttcgagagggaccagttctcaccagatgattttttgggtcggacggagatccgtgtggcggacatcaagaaagaccagggctccaaaggtccagttacgaagtgtcttctgctgcacgaagtccccacgggagagattgtggtccgcttggacctgcagttgtttgatgagccgggaagctt</t>
  </si>
  <si>
    <t>ggcgcgccatggctcagtttcccacagctatgaatggagggccaaacatgtgggctattacctctgaagaacgtactaagcatgacaggcagtttgataacctcaaaccttcaggaggttacataacaggtgatcaagcacgtaattttttcctacaatcaggtctgccggcccctgttttagctgaaatatgggctttatcagacctaaacaaggatgggaagatggatcagcaagagttctccatagctatgaaactcatcaaactgaagcttcaaggccaacagttgcctgtggttctccctcctattatgaagcaaccccctatgttttctccattaatttctgctcgttttggaatgggaagcatgcccaatctgtccattcctcagccattgcctccagctgcacctataacatcattgtcttctgcgacttcagggaccaaccttcctcccttaatgatgcccactcccctagtgccttctgttagcacatcatcattaccaaatggaaccgccagtctcattcagcctttacccattccttattcttcttcaacattgcctcatgggtcatcttatagtctgatgatgggaggatttggaggtgctagtatacagaaagcgcagtctctgattgatttaggatctagtagctcaacttcctcgactgcttcactctcagggaactcacccaagactgggacctcagagtgggcagttcctcagcctacaagattaaaatatcggcaaaaatttaatactcttgacaaaagtatgagtggatatctctcaggttttcaagctagaaatgcccttcttcagtcaaatctttctcaaactcagctggctactatttggactctggctgacgttgatggtgatggacagctaaaagcagaagagtttattcttgcaatgcaccttactgacatggccaaagctggacagccattaccactgactttacctcctgagcttgttcctccatctttcagaggaggaaagcaaattgattccattaatggaactctgccttcatatcagaaaatgcaagaagaggagcctcagaagaaattaccagttacttttgaggacaaacggaaagccaactatgagcgagggaacatggagctggaaaagcgacgccaagccttgatggagcagcaacaaagggaggcagaacgtaaagcccagaaagaaaaggaagagtgggaacgaaaacagagagaattacaagaacaagaatggaagaaacaacttgaattagaaaaacgcttagagaagcaacgggaattggagagacaacgagaggaagaaaggagaaaagacatagaaagacgagaggcagcaaaacaggaacttgaacgacaacgtcgcttagaatgggagagaattcggcgacaggagcttctcaatcaaaagaatagagaacaagaagaaattgtcaggttaaactctaaaaagaagaatcttcatcttgagttggaagcactgaatggcaaacatcagcagatctcaggcagacttcaggatgtccgactcaaaaagcaaactcaaaagactgagctggaagttctggataagcagtgtgacttggaaattatggaaatcaagcaacttcaacaggaacttcaggaatatcagaataagcttatctatctggtacctgagaagcaattattaaatgaaagaattaaaaacatgcagttcagtaacacacctgattcaggggtcagtttacttcataaaaaatcattagaaaaggaagaattatgccaaagacttaaagaacagttagatgctcttgaaaaagaaactgcatctaagctgtcagaaatggattcttttaacaatcaactaaaggaactgagagaaacctacaacacacagcagttagcccttgaacagctttataagatcaaacgtgacaagttgaaggaaattgaaaggaaaagattagaactaatgcagaaaaagaaactagaagatgaggctgcaaggaaagcaaagcaaggaaaagaaaacttatggaaagaaaatcttagaaaggaggaagaagaaaaacaaaagcgactccaggaagaaaaaacacaagaaaaaattcaagaagaggaacggaaagctgaggagaaacaacgtaaggataaggatactttgaaagctgaggagaaaaaacgtgagacagctagtgttttggtgaattatagagcattatacccctttgaagcaaggaaccatgatgagatgagttttaattctggagatataattcaggttgatgaaaaaaccgtaggagaacctggttggctttatggtagttttcaaggaaattttggctggtttccatgcaattatgtagaaaaaatgccatcaagtgaaaatgaaaaagctgtatctccaaagaaggccttacttcctcctacagtttctttatctgctacctcaacttcctctgaaccactttcttcaaatcaaccagcatcagtgactgattatcaaaatgtatctttttcaaacctaactgtaaatacatcatggcagaaaaaatcagccttcactcgaactgtgtcccctggatctgtatcacctattcatggacagggacaagtggtagaaaacttaaaagcacaggccctttgttcctggactgcaaagaaagataaccacttgaacttctcaaaacatgacattattactgtcttggagcagcaagaaaattggtggtttggggaggtgcatggaggaagaggatggtttcccaaatcttatgtcaagatcattcctgggagtgaagtaaaacgggaagaaccagaagctttgtatgcagctgtaaataagaaacctacctcggcagcctattcagttggagaagaatatattgcactttatccatattcaagtgtggaacctggagatttgactttcacagaaggtgaagaaatattggtgacccagaaagatggagagtggtggacaggaagtattggagatagaagtggaatttttccatcaaactatgtcaaaccaaaggatcaagagagttttgggagtgctagcaagtctggagcatcaaataaaaaacctgagattgctcaggtaacttcagcatatgttgcttctggttctgaacaacttagccttgcaccaggacagttaatattaattctaaagaaaaatacaagtgggtggtggcaaggagagttacaggccagaggaaaaaagcgacagaaaggatggtttcctgccagtcatgttaaacttttgggtccaagtagtgaaagagccacacctgcctttcatcctgtatgtcaggtgattgctatgtatgactatgcagcaaataatgaagatgagctcagtttctccaagggacaactcattaatgttatgaacaaagatgatcctgattggtggcaaggagagatcaacggggtgactggtctctttccttcaaactacgttaagatgacgacagactcagatccaagtcaacagtggtgtgctgatctgcaaaccctggacacaatgcagccaattgagaggaaaagacagggctatattcatgagctgattcagaccgaagagcggtacatggctgaccttcagctcgtcgtcgaggtttttcagaaacgcatggcagagtcaggctttctcactgaaggggagatggccctgatttttgttaactggaaggagctcatcatgtccaacacaaagctgctgaaggctttgcgggtgcggaagaagaccgggggcgagaagatgccggtgcagatgattggggacatcctggccgctgagctgtcccacatgcaggcttacatcaggttctgcagctgccagcttaatggagcagctctgttacagcagaagacagatgaagacacagatttcaaagaatttttaaagaagctggcatctgacccgcggtgtaaaggaatgcccctctccagcttcctgctgaaacccatgcagaggatcacccgctacccactgctcatcagaagtattctggagaacaccccggagagccatgcagaccattcctccctaaagctggccctcgagcgggcagaggagctgtgctctcaagtgaatgagggagttcgggagaaggaaaactcggaccgactggagtggatccaggcgcacgtgcagtgtgaaggcctcgcggagcaacttattttcaactctctcaccaactgcctggggccccggaagctcttacacagtgggaaattatacaagaccaagagcaacaaggaactgcacggattcctcttcaatgacttcctgcttcttacctacatggtcaagcagtttgctgtttcctctggctctgagaaacttttcagctcgaagtccaatgctcaattcaaaatgtataaaacgcccattttcctgaatgaagtcttggtgaaactgcccacagacccttccagcgatgagcctgtcttccacatttcccacattgatcgggtctacaccctccgaacagacaacattaatgagaggaccgcctgggtgcagaagatcaaggcggcgtctgagcagtacatcgacaccgagaagaagcagcgtgagaaagcttaccaagcccgctcccaaaagacttcaggcattgggcgcctgatggtgcatgtcattgaagctacagaattaaaagcctgcaaaccaaatggaaagagcaacccatactgtgaaatcagcatgggctcccagagctacaccaccaggaccatccaggacacactcaatcccaagtggaattttaactgccagttctttattaaggatctctaccaagacgtgctgtgtctcaccctgtttgacagagaccagttttcaccagatgatttcctgggtcgtactgaaattccagtggcaaaaattcgaacagaacaggaaagcaaaggccctatgacccgccgactgctgctgcatgaggtccccaccggggaggtctgggtccgttttgacctgcagctttttgagcaaaaaactctcctgttgattaa</t>
  </si>
  <si>
    <t>GTCGACACCatggttttatctggatcttttcggaatgatggtttgaaagcttctgatgtccttcctatcctaaaggagaaagtggcctttgtgtctgggggtcgtgataagcgaggtggacccatcctgaccttccctgcccgaaccaatcatgacagaataagacaggaagacctacggaaactcgtgacgaatttggccagcgtgccaagcgaggacgtttgcaaacgtggcttcaccgtcatcatcgacatgcggggctccaagtgggacctcatcaagcccctcctcaagacgctgcaggaagcctttcccgccgagatccatgtggccctcatcatcaagcctgacaacttctggcagaagcagaagaccaactttggcagctccaaattcatctttgagacgagcatggtgtctgtggagggcctcacgaagctggtggacccctcccagctgacagaagagtttgacggttccctggattacaaccacgaggagtggattgagttgcgcctctccctggaggagttcttcaacagtgcggtccacctgctctcacgcctcgaggacctgcaggagatgctggcccggaaggagttccctgtggatgtggagggctctcggaggcttatcgacgagcacacacaacttaagaaaaaggtgctgaaggcccccgtggaagagctggaccgggaggggcagcggctactgcagtgtatccgctgcagtgatggcttctcagggcgcaactgcatcccaggaagtgccgacttccagagccttgtacccaagatcaccagcctcctggacaagctgcattccacccgacaacacctgcaccagatgtggcacgtccgaaagctcaagctggatcagtgcttccagctgcggctcttcgagcaggatgccgagaagatgttcgactggataagccacaacaaggagttatttcttcagagccacacagagatcggagtcagctaccagcatgcactagacctccagacacagcacaatcactttgccatgaactccatgaatgcctatgtcaacatcaaccgcatcatgtctgtcgcatcccgcctctcagaggctggccattatgcctcccagcaaatcaagcagatctccacgcagctagaccaggagtggaagagctttgctgctgccctggatgaacgcagtacaatcctggccatgtctgctgtgttccaccagaaggcagagcagttcctgtcaggagtggatgcctggtgtaagatgtgcagtgaaggcggccttccttctgagatgcaggacctggagctggcaatccaccatcaccagtccttgtatgagcaggtgacccaggcctacacagaggtcagccaggatgggaaagcactcctggatgtcctgcagcgtcccctgagccctgggaactccgagtccctcacagccacagccaactactccaaggcggtacaccaggtgctggatgtggtacatgaggtgctgcaccaccagcggcggctcgagagcatctggcagcaccgtaaagtgcggcttcaccagcggctgcagctgtgcgtcttccagcaggatgtgcagcaggtgctggactggattgaaaaccacggtgaggcctttctcagcaaacacactggggtcggcaagtccctgcatcgggcacgggcattgcagaagaggcatgatgactttgaagaggtggctcagaatacatacaccaatgcggacaagctcctagaggcagcagagcagctggctcagactggggaatgtgacccggaagagatctacaaggctgcccgacacctggaggtgcgcatccaagacttcgtgcgcagagtggagcagcggaagcttcttctggacatgtccgtctctttccacacgcacaccaaagagctgtggacatggatggaagaccttcagaaggaggtgctggaggatgtctgtgcagactctgtggatgcggtccaggaactgatcaagcagttccagcagcagcagaccgctaccctggacgccactctcaacgtcatcaaggaaggcgaagaccttatccagcagctcaggtcagcgcctccctccctgggggagcccaccgaggccagggactcagctgtatccaacaacaagacgccccacagtagttccatcagccatatcgagtctgtcctccagcagctggacgatgctcaggtacagatggaggagctgtttcacgagcggaagatcaagctggacatcttcctgcagctgcgcatcttcgaacagtacaccattgaggtcaccgcagagctggatgcctggaatgaggacttgctccggcagatgaatgacttcaacacagaggacctgaccctggcagagcagcggctacagcgccacacagaacggaagcttgccatgaacaacatgacattcgaggtcatccagcagggccaggacctgcaccaatatatcatggaagtccaagcctcaggaatcgagttaatctgtgagaaggacgttgacctggcagctcaggtgcaagagctactggaatttctccatgagaagcagcacgaactggagctcaatgcggagcagacgcacaagcggctagagcagtgtctccagctgcggcacctccaggctgaggtcaaacaggttctgggatggatccgcaatggagagtccatgctcaacgccagcctggtcaatgccagctctttgtctgaggcagagcagctacagcgggagcacgaacagttccagctagccatcgagaagacgcaccagagcgccctgcaggtacagcagaaggcagaggcactgctccaggccggccactatgacgccgatgctatccgggaatgtgcggagaaggtggccctccactggcaacagctcatgctaaagatggaggaccggctgaaactcgtcaatgcctctgtggccttttacaagacctctgagcaggtgtgcagcgttctggagagcttagagcaggagtaccggagagacgaagactggtgcggcgggagagacaagctggggccggcggcagagatggaccacgtcattccactcctcagcaagcatctggagcagaaggaggccttcctgaaggcctgcactctggcacggcggaatgccgaggtgttcctcaagtacatccacaggaacaatgtgagcatgcccagtgttgccagccacaccaggggacccgaacagcaagtaaaagccatcttgagtgagctcttgcagagagagaatcgcgtcctgcacttctggaccttgaagaagcggcggttagaccagtgtcagcaatatgtggtgtttgaacgcagtgctaaacaggcactagactggatccaagaaacaggagaatattacctctcaacccatacctccactggagagaccacagaggagactcaggagctgctgaaagagtatggagaattcagggtgcctgccaagcaaacaaaagagaaggtgaagcttctgatccagctagcagacagctttgtggaaaagggccacatccatgccacagagatacggaaatgggtgaccacggtggacaagcactaccgggatttctccctgaggatggggaagtaccggtacaccctggagaaagccctgggagtcaacacggaggataacaaggacctagagctggacattatcccagcaagcctttcagaccgggaggtcaagctccgggatgctaaccacgaggtcaatgaagagaaacggaagtcagctcgaaagaaagaattcattatggctgaactgctccagaccgagaaggcttatgtaagagacctacacgagtgcttggagacctacctgtgggaaatgaccagtggtgtggaagagataccacctgggatcctcaataaggagcacatcatcttcggcaacatccaggagatctatgacttccacaacaacatcttcctcaaagagctggagaagtacgagcagctgcctgaggatgtgggacactgctttgttacctgggcagacaaatttcagatgtatgtcacctactgtaaaaacaagcctgattccaaccagctgatcctggagcacgcaggcaccttctttgatgagatccagcagcggcacgggctggccaactccatctcttcctacttaattaagcctgtccagagagttacgaagtaccagctgctcctgaaggaacttttaacttgctgtgaagaagggaaaggggagctcaaggatggcctggaggtgatgctcagtgtccccaagaaagccaatgatgccatgcatgtcagcatgcttgaagggttcgatgagaacttggatgtacagggggagttgattctccaggatgcctttcaagtgtgggacccaaagtcgctgatccggaaggggcgggaacggcatctgttcctctttgagatctccttggtgtttagcaaagagatcaaagactcttcaggacacacgaaatatgtttacaagaacaagctactgacctcagagctgggtgtgaccgagcacgtagaaggtgacccctgcaaattcgccttgtggtctgggcgcaccccatcctcagacaataaaacagtgctcaaagcttccaacatcgaaaccaagcaggaatggatcaagaacattcgggaagtgattcaggaaaggatcattcatcttaaaggagctttaaaggagccaatccagctccccaaaacaccagccaaactgaggaacaatagtaagagggatggggtagaggatggtgacagccagggggacgggagcagccagcccgataccatatccattgcctccaggacctctcagaacacagtggagagtgacaagctctcaggtggatgtgagctgaccgtggtcctccaggacttcagcgcggcccacagcagtgagctgagcatccaggtggggcagactgtggagctgttggaacgacccagtgagagacccggctggtgtctggtccgcaccacagagcggagccccccacaggaaggcctggtccccagcagcaccttgtgcatctcacactcgagaagcagcgtggaaatggactgcttcttccccctggtgaaagattcatactctcattcctccggtgagaatggaggcaagtctgagtccgtggccaacctgcagtctcagccctccctgaactccatccacagttcccctggtcccaagcgctccaccaacacccttaagaagtggctgacgagccctgtgcgtcggctcaacagcgggaaagcagacggaaacatcaaaaagcagaagaaagtacgggatgggcggaagagcttcgacctgggctcacccaagccaggggacgagacaacccctcagggagacagcgctgatgagaagagcaagaaaggttggggagaagatgagccagatgaagagtcacacacacctctccccccgcccatgaagatctttgacaacgaccccacccaggatgagatgtcctctttgctagcagcccggcaggctcccactgacgtgcctactgctgcagaccttgtcagtgcaatagaaaagttggtcaaaagtaagctgactctggaaggaggctcttaccgggggagcttgaaggaccctacagtctgcctgaatgaggggatggcccctcccacacctcctagaaacctggaagaagaacagaaagccaaggctctaagaggcaggatgtttgtcctgaatgagttggtgcagacagagaaggactacgtcaaggacctggggattgtggtggagggcttcatgaaaagaatagaagagaagggggtccccgaggacatgcgagggaaggaaaagatcgtgtttggaaacatccaccagatttacgactggcataaagattttttcctggctgaactggaaaaatgcatccaagagcaagacagattggcccagctcttcattaaacatgagcggaagctgcacatctatgtgtggtactgccagaacaaaccacgttccgaatacatcgtggctgaatatgatgcctactttgaggaggttaaacaagagatcaatcaaaggctgacccttagtgacttcctcatcaagcccattcagagaataacaaagtaccagctgctactcaaggacttcctgcggtacagcgagaaggctggtttggagtgttctgatattgagaaagcagtggagttaatgtgccttgtccccaagcgctgtaatgacatgatgaatctgggacgcctgcagggctttgagggcaccctgaccgcccagggcaagcttctacagcaggacacgttctatgtgattgagctggatgctggcatgcagtcccggaccaaggagaggcgtgtgtttctctttgagcagattgtcatctttagtgaactgctccgaaagggatccctcaccccaggctacatgttcaagaggagcatcaagatgaattacttggttctggaagaagatgtggatgatgacccctgcaaatttgcacttatgaacagggagacttcagaaagggtcattctgcaggccgccaactcagacatccagcaggcctgggtgcaggacatcaaccaagtcctagaaacacagagggacttcttaaatgctctgcagtcacccatcgagtatcagcggaaggagaggagcacagctgtgatccggtcccagccccctagggttcctcaagccagccccaggccctattcgtctgtcccagtgggctcagagaaaccccccaagggctccagctacaacccgcccctgccacccctgaaaatatctacctcgaatggcagtccagggttcgactaccaccagcctggggacaagtttgacgctagcaagcagaacgacctgggaggctgcaatgggacctcaaccatggccgtaattaaagattactatgcactgaaggagaacgaaatctgtgtgagccaaggtgaggtggtccaggtcctcgccgtcaaccagcagaacatgtgtctggtgtaccagcctgccagcgaccattccccagcagcggagggctgggtcccaggcagcatcctggcacccctcaccaaagccacagcgccggccgagagtagtgatgagagcatcaagaagtcatgctcatggcacactctacgcatgagaaagcgggcagacgtggagaacacgggtaaaaatgaagccacagggcctcgtaaacccaaggatattctgggcaacaaagcctctgttaaagagacgaacagttccgaggagtcagagtgtgatgatcttgaccctaatactagtatggagatcttgaatccgaatttcatccaggaagtggctccggaattccttgtgcccttggtagatgtgacctgcttgctcggagacacagtactgctacagtgcaaagcctgtgggcggccaaagcctaccatcacctggaagggtccagatcagaacatcctagacaccgacaacagttcagccacatacaccatctcctcctgtgattctggggaaagcaccctcaagatctgcaacctgatgccccaagacagcgggatttatacctgcatagcaacaaatgaccacggaaccgcatccacgtctgctacagttaaggtgcaaggtgtacccgcagcccccaatcgcccaatcgcacaggagaggagctgcacctccgtcatcctccgctggctgcccccagccagcaccggaaactgcactatttcggggtacacagtggagtaccgcgaggaaggttcgcaggtctggcagcagtcggtagcttcaaccttggacacttacctagtcattgaagatcttagtccagggtgcccttatcagttcagggtcagcgccagcaacccctggggaatcagccttcccagtgagccctcggagtttgtgcaccttccagagtacgatgcagctgctgatggtgccaccatttcttggaaggaaaattttgattctgcttacaccgaactgaacgagattggcagaggccgtttctctattgtaaagaaatgcattcacaaagctacccgcaaagacgttgctgtgaaatttgtgagcaagaaaatgaaaaagaaggaacaggctgcgcacgaggccgccctgctccagcacctgcagcacccccagtacgtcaccctccacgacacctacgagtcccccacatcctacatcctgattttggaactgatggatgacggccgactcttggactacctaatgaatcacgatgagctgatggaagaaaaggtagctttctacattcgagacatcatggaagctctgcagtaccttcacaactgcagggtggcacatttggacataaagcctgaaaacctcctcattgacctccggatcccagtgcctcgagtgaaactcatcgacttggaagatgctgtccagatctcaggccacttccacatccaccatctgctggggaaccctgagtttgctgccccggaagtgatccaaggcatccctgtctccctgggcacagacatctggagcatcggggttctgacctacgtcatgcttagcggggtctcccccttcttagatgagagcaaagaggagacctgcatcaacgtgtgcagggtggacttcagcttcccccacgaatacttctgcggtgtaagcaatgctgccagggacttcatcaacgtcatcttacaggaagacttccggaggcggcccacagcagccacgtgcctgcagcatccgtggctgcagccccacaacggcagctactccaagatccccttggatacctcccgcctggcctgcttcatagagcgccgcaagcaccagaatgacgtgcggcccattcccaatgtcaaaagttacatcgtcaacagggtgaaccaggggaccTGAGAAGCTT</t>
  </si>
  <si>
    <t>ggcgcgccatgcaagacatcgccttcttgtctggtggccggggaaaggacaatgcttggatcattacgtttccagaaaactgtaattttagatgtataccagaggaagtaatagcaaaagtacttacttacctgacatctattgcaaggcaaaatggatcagactcccggtttaccattattctggatcgaagattggatacatggtcttctctcaaaatctctctccaaaaaatctcggcttccttccctgggaacttgcacttggttttggttttacgtcctaccagctttcttcaacgaacgttcacagacattggattttggtttagtcaggaggattttatgcttaaattaccagttgttatgctgagctcagttagtgatttgctgacatacattgatgacaagcaattaacccctgagttaggcggcaccttgcagtactgccacagtgaatggatcatcttcagaaatgctatagaaaattttgccctcacagtgaaagaaatggctcagatgttacagtcctttggaactgaactggctgagacagaactaccagatgatattccctcaatagaagaaattctggcaattcgtgctgaaaggtatcatctgttgaagaatgatattacagctgtaaccaaagaaggaaaaattctgctaacaaatctggaagtgcctgacactgaaggagctgtcagttcaagactagaatgtcatcggcaaataagtggtgactggcaaactattaataagttgctgactcaagtacatgatatggaaacagcttttgatggattttgggaaaaacatcaattaaaaatggagcagtatctgcaactatggaagtttgagcaggattttcaacagcttgtgactgaagttgaatttctattaaaccaacaagcagaactggctgatgtaacagggactatagctcaagtaaaacaaaaaataaaaaaattggaaaacttagatgaaaattctcaggagctattatcaaaggcccagtttgtgatattacatggacacaagcttgcagcaaatcaccattatgcacttgatttaatctgccagaggtgcaatgagctacgttacctttctgatattttggttaatgagataaaagcaaaacggatacaactcagcaggaccttcaaaatgcataaactcctacagcaggctcgtcaatgctgtgatgaaggggaatgtcttctagctaatcaggaaatagataagtttcagtctaaagaagatgctcagaaagctctccaagacattgaaaattttcttgaaatggctctaccctttataaattatgaacctgaaacactgcagtatgaatttgatgtaatattatctcctgagcttaaggttcaaatgaagactatacaactcaagcttgaaaacattcgaagtatatttgagaaccagcaggctggtttcaggaacctggcagataagcatgtgaggccaatccaatttgtggtacccacacctgaaaatttggtcacatctgggacaccatttttttcatctaaacaagggaagaagacttggagacaaaatcagagcaacttaaaaattgaagtggtgcctgattgtcaggagaagagaagttctggtccatcctccagtttggacaatggcaatagcttggatgttttaaagaaccacgtactaaatgaactgatacagactgagagagtttatgttcgagaactgtatactgttttgttgggttatagagcggagatggataatccagagatgtttgatcttatgccacctctcctgagaaataaaaaggacattctctttggaaacatggcagaaatatatgaattccataacgacattttcttgagcagcctggaaaattgtgctcatgctccagaaagagtgggaccttgtttcctggaaaggaaggatgattttcagatgtatgcaaaatattgtcagaataagcccagatcagaaacaatttggaggaagtattcagaatgcgcatttttccaggaatgtcaaagaaagttaaaacacagacttagactggattcctatttactcaaaccagtgcaacgaatcactaaatatcagttattgttgaaggagctattaaaatatagcaaagactgtgaaggatctgctctgttgaagaaggcactcgatgcaatgctggatttactgaagtcagttaatgattctatgcatcagattgcaataaatggctatattggaaacttaaatgaactgggcaagatgataatgcaaggtggattcagcgtttggatagggcacaagaaaggtgctacaaaaatgaaggatttggctagattcaaaccaatgcagcgacaccttttcttgtatgaaaaagccattgttttttgcaaaaggcgtgttgaaagtggagaaggctctgacagatacccgtcatacagttttaaacactgttggaaaatggatgaagttggaatcactgaatatgtaaaaggtgataaccgcaagtttgaaatctggtatggtgaaaaggaagaagtttatattgtccaggcttctaatgtagatgtgaagatgacgtggctaaaagaaataagaaatattttgttgaagcagcaggaacttttgacagttaaaaaaagaaagcaacaggatcaattaacagaacgggataagtttcagatttctcttcagcagaatgatgaaaagcaacagggagcttttataagtactgaggaaactgaattggaacacaccagcactgtggtggaggtctgtgaggcaattgcgtcagttcaggcagaagcaaatacagtttggactgaggcatcacaatctgcagaaatctctgaagaacctgcggaatggtcaagcaactatttctaccctacttatgatgaaaatgaagaagaaaataggcccctcatgagacctgtgtcggagatggctctcctatatttaattaa</t>
  </si>
  <si>
    <t>ggcgcgccatggcgagggtggagagccccgtgcctgcagcgcgcgcttccctcactgggtcctgcgtccttgggcaggcgatgcccctgcggggaggggctggtccatccccggccagccacggacccacgcatggacccagcgacccacggacctgcttacctgggcgcggcgcgggtggcatgcggccacacggaaggggcgcgctgggctgctgcggcctctgcagcttctacacctgccacggggcggccggagatgaaatcatgcaccaggacatcgtcccgctctgtgctgccgacatccaggaccagctaaagaagcgctttgcttacctgtccggtgggcgggggcaggacggaagcccggttatcaccttccctgactacccggccttcagcgagattccggacaaggagttccagaatgtcatgacctacctcaccagcatccccagcctgcaggacgctggcatcggattcatcctggtgatagaccggcgacgggacaaatggacctccgtgaaggcgtccgtcctgcgcatcgcagcatctttcccggcaaacctgcagctcgtcctcgtgcttcgcccgacgggttttttccaaaggactctctccgacatcgctttcaaattcaatagagatgactttaagatgaaggtgccggtcataatgctgagctccgtaccagacttacacggttacatcgataagtcgcagctgaccgaggacctgggtgggaccctggactactgccactcccggtggctgtgccagcgcacggccatcgaaagtttcgccctcatggtgaagcagacggctcagatgctgcagtccttcgggaccgagctggctgaaacagagctgcccaatgacgtccagtcgacaagctcagtgctgtgtgcgcacacagagaagaaggacaaggcgaaggaggatttgaggctggcactgaaagaggggcacagtgtcctggagagcctcagggagctgcaggctgagggctcagagcccagtgtgaaccaggaccagcttgacaaccaggccaccgtgcagaggctcctggcccagctgaacgaaaccgaggctgccttcgatgagttctgggcaaagcatcagcagaaactggagcagtgtctgcagctccggcactttgagcagggcttccgggaggtcaaagccatcttggacgcagcgtcccagaagatagcaaccttcacagacatcggcaacagcctggcgcatgtggagcacctgctgagggacctggccagcttcgaggagaaatcaggcgtggccgtggagagggcccgggccctgtctctggacggcgagcagctcattgggaacaagcactacgcggtagactccatccgcccaaagtgccaggagctccggcacctctgtgaccagttctctgcggagatcgcaaggaggagggggctgctcagcaagtccctggagctgcaccgccgcctggagacgtccatgaagtggtgtgatgaagggatttacctgctggcctcacaacctgtggacaagtgccagtcccaggacggcgcggaggctgccctccaggaaatcgagaagtttttggagaccggtgcggaaaataagatccaggagctcaacgcgatttacaaggaatacgaatccatcctcaaccaagatctcatggagcacgtgcgaaaggtcttccagaagcaggcaagcatggaggaggtgttccaccgcaggcaggccagcctgaagaagctggcggccaggcagacgcggcccgtgcagccggtggcccccagacccgaggcactggcaaagtcgccctgcccctccccaggcattcggcgaggctctgagaactccagctccgagggcggtgcgctccggagagggccctaccggagggccaagagtgagatgagtgagagccggcagggccgcggctcagcgggggaggaggaggaaagcctggccatcctgcgcaggcacgtgatgagcgagctcctggacacagaacgggcctacgtggaggagctgctgtgcgtcctggagggctacgccgcggagatggataacccactgatggctcacctcctgtcaacaggccttcacaacaagaaggatgttttgtttggaaacatggaggaaatctatcacttccacaacaggatattcctcagggagctggaaaactacactgactgcccagaactggttggaagatgctttctggagaggatggaagatttccagatctatgagaagtactgtcagaacaagccccgctctgagagcctgtggagacagtgctccgactgcccgtttttccaggaatgccagagaaagctggaccacaagctgagcctggactcctacctgctgaagccagtgcagaggatcaccaagtaccagctgctgctcaaggaaatgctgaaatacagcaggaactgcgagggggctgaggacctgcaggaggcgctgagctccatcctgggcatcctgaaggccgtgaacgactccatgcacctcatcgctatcaccggctatgacgggaatctcggcgacctgggcaagctgctgatgcagggctcgttcagcgtctggaccgaccacaagaggggccacaccaaggtgaaggagctggccaggttcaagcccatgcagcggcacctgttcctgcacgagaaggcagtgctcttctgcaagaagagggaggagaatggggaggggtatgagaaagctccctcctacagctacaagcagtccttaaacatggctgccgttggcattacggagaacgtgaagggagatgctaagaagttcgagatctggtacaacgcgcgcgaggaggtctacatcgtccaggcgccaactcctgagattaaagccgcgtgggtgaatgaaattcggaaagtgctgaccagccagctgcaggcttgtagagaagccagccagcaccgggcgctggagcagtcacagagcctgcccctgccggccccgaccagcaccagtccctcaagaggaaactcaaggaacatcaagaagctggaagaaaggaaaacagaccccctaagcctggagggatacgtcagctcagcgccactgacaaagccccccgaaaagggcaaaggttggagcaaaacgtcccactcactggaggcacctgaggacgacgggggctggtcaagtgcagaggagcagattaactcgtccgacgcagaggaggacggcgggttgggccccaagaagctggttccaggtaaatacacggtcgtggcggaccacgagaagggaggccccgatgcgctgcgcgtgaggagcggggacgtggtggagctggtgcaggagggcgacgagggcctctggtacgtcagggacccgaccactggcaaggagggctgggtgccggccagcagcctgtccgtccggctcggcccgtccggctcggcccagtgcctgagcagctcagagtcgagcccggggtcggccgtgctgagcaactcgtccagctgcagcgagggcggccaggcccccttctccgacctgcaggggttaattaa</t>
  </si>
  <si>
    <t>ggcgcgccatgctgtcttgcttaaaagaagagatgcctccccaggagctcacccggcgactggccacagtgatcactcatgtcgatgaaattatgcagcaggaagtcagacccctgatggcggtggagataatagaacaacttcacagacaatttgccattctttcaggaggccgaggggaggatggcgcccccatcatcacgttcccagagttttcggggttcaaacacatcccagatgaagacttcctgaatgtcatgacctacctgactagcatccccagtgtggaggctgccagcattggattcattgttgttatcgacagacgaagagacaagtggagctccgtaaaggcatccttgacacgaatagctgtggcatttccaggaaacttacagctcatattcatccttcgtccatctcgctttatccagaggacattcactgacattggcattaaatactatcgaaatgagtttaaaacgaaagtgccgatcatcatggtaaactctgtctctgaccttcacggctacatcgacaaaagccaactgacccgggaattaggggggactttggaatatcgccacggtcagtgggtaaatcaccgcactgccatcgaaaactttgccttgaccttgaagaccactgcccagatgctgcagacgtttgggtcctgcctggccacagcagagctgcccagaagcatgctatccacggaagaccttctcatgtcccacacaaggcagcgggacaagctgcaggatgagctgaaattacttggaaagcaggggaccacattgctgtcatgcatccaagaaccagcaaccaaatgtcccaacagcaaactcaatctcaaccaacttgagaatgtaactaccatggaaaggttattagttcaactggatgaaacagaaaaagcctttagtcacttttggtctgagcatcatctgaagcttaaccagtgcctacaactacagcattttgagcacgatttttgtaaggctaagcttgccctggataatttgctggaagagcaagcagagtttacaggcattggagacagcgtgatgcacgtggagcagattcttaaggaacacaaaaaactggaggaaaaaagccaggagcccctggaaaaggcccagctgctggcactggttggggaccagctcatccaaagccaccattatgcagcagatgccatcaggccccggtgtgtggagctcaggcacctctgtgacgatttcatcaatggaaacaagaaaaaatgggacattttaggaaagtccttagagtttcatagacagctggacaaggtcagccaatggtgtgaggcaggaatctacctcttggcttcccaagctgtagacaagtgccagtctcgagaaggggttgatatcgccttgaacgacattgcgacattcctgggcacagtcaaggagtacccgttgctcagccccaaggagttttacaacgagtttgagttgctgctcaccctcgatgcaaaggccaaagcccagaaagttttgcagaggctggatgatgtccaggaaatatttcacaagaggcaagtgagtctgatgaaactggcagccaaacagactcgtccagtgcaacctgtggccccacatcctgagtcttcaccaaaatgggtgtcatcaaaaaccagccagccctccacctcggtccctctagctcgtcctctgagaacgtctgaggaaccttatacggagacagagttgaactcccggggaaaggaagatgatgagactaaatttgaagtcaagagtgaagaaatctttgaaagccatcatgaaagggggaaccctgagctggagcagcaggccaggctcggagacctttccccccgcaggcgcattatacgtgacttgcttgagactgaagagatttacataaaagagattaaaagcataattgatggatatatcactccaatggattttatttggctaaagcatctaattccagatgttcttcagaataacaaggactttctctttgggaatattagagaactttacgaatttcacaacaggacttttctaaaagagttggaaaagtgtgctgagaaccctgaacttctggcacattgctttctcaagagaaaagaagatcttcagatatattttaaataccataagaatctgccccgagctagggcaatctggcaagagtgtcaagactgcgcctactttggggtatgccagcgccaactggatcacaatctccctctttttaagtatctcaaaggaccaagccagagacttataaaataccagatgctgttgaagggtctgctggatttcgagtctcctgaagatatggagatagacccaggtgaactaggaggctcggctaaggatgggccaaagagaaccaaagattcagcattctcaactgaactacaacaagctttggcagtgatagaggatttgatcaagtcctgtgagttggctgtggacctagcagcagtgactgaatgtccggacgatattggaaaactaggcaagctgttgctgcacggccctttcagcgtctggacaattcacaaggatcgttataaaatgaaggatttgattcgatttaaacccagccagaggcaaatctacctatttgaaaggggaatagtgttctgtaagatacgaatggagcctggggaccagggattatctcctcattacagcttcaagaagaccatgaagctgatgacactttcaattcgccagcttggaagggggagccatagaaagtttgagattgccagtcgaaatggacttgagaaatacatcctgcaggcagcttcaaaagaaatcagagactgttggttttcagaaataagtaaattattgatggaacaacaaaataatatcaaagaccaaggaaatccacagtttgaaatgagcacgagcaaaggcagtggagcaggatccggaccatggattaaaaatatggaaagagctaccactagcaaggaagacccggcctccagcacaggagggattaaaggctgctccagcagggagtttagctccatggacacctttgaagactgtgaaggcgcagaagacatggaaaaggagagcagtgctctgagtctcgcgggccttttccagtcggacgacagtcacgaaacctgttcctccaaatctgctttcctggagaggggagaaagcagccagggagaaaaagaagaacgcgatgaggaggaaacggcgacccgcagcaccgaggaggagcgcgctggggcgtccacgggccggctggctcctgcgggggcgacggctggtttccaggcgagggcgctgcgcccgaggacctccgcccaggagagcttaattaa</t>
  </si>
  <si>
    <t>ggcgcgccatgaatataaatgatggaggaagacgacgctttgaagataatgaacatacattacggatatatcctggggctatttcagaagggacaatctactgtccgattcctgccagaaaaaactccacagctgctgaggtgattgagtctcttataaacaaacttcatcttgacaaaacaaaatgttatgttctagcagaggtaaaggaatttggtggagaagaatggattctcaatccaacagattgtccagttcagcgaatgatgctgtggccccgaatggctctggaaaatcgcttaagtggagaggactaccgcttccttctgagagagaaaaaccttgatggatcaatccattatggtagcctgcagtcatggctacgggtaacagaagaacgtcgcaggatgatggaacggggttttcttccacagcctcaacagaaagactttgatgatttatgtagtttacctgatttgaatgagaaaactctcttagaaaacctacgaaatcgctttaagcatgaaaaaatttatacctatgttggcagtattctaatagttattaacccattcaagtttcttcctatttataaccccaaatatgtcaaaatgtatgataaccaccaactgggaaaacttgagccccacatttatgctgtggctgatgtagcttatcatgccatgcttcagcgcaaaaagaatcagtgcatcgtgatttcaggagagagtggttctgggaagactcaaagcacaaactttcttattcaccaccttactgctctcagtcagaaaggatttgccagtggagtagaacagattattcttggagctggaccagtacttgaggcctttggaaatgcaaagacagctcataataacaattcaagtcgttttgggaagtttattcaagtaaattaccaggaaacaggcactgtacttggtgcctatgttgaaaaatatctactggagaagtccagactcgtttatcaggagcataatgaacggaactatcatgtattctattacctcctggcaggagcaagtgaagatgagagatcagcattccatcttaagcaaccagaggaatatcattatctcaatcagataacaaagaaacccctcagacagagctgggatgattattgctatgactctgagccggattgcttcacggtggaaggagaagatttgagacatgactttgagcgcctacaacttgccatggaaatggtaggatttcttcccaagacacgaagacagattttctctcttctctcagccatactacatttgggtaatatctgttacaaaaagaagacataccgggatgactccattgatatctgtaatcctgaagttctgcctattgtctcagaattattagaggttaaagaagagatgctatttgaagcattagttacaaggaagacggtgacagtgggagaaaagcttattttgccatacaagttggcagaggctgtgacagtgaggaactccatggctaagtctctgtatagtgccctgtttgactggatagtttttcgaattaatcatgcacttctgaatagtaaagatttagagcataataccaagacattgtctattggtgttcttgatatttttgggtttgaagattatgaaaataacagctttgaacagttctgtattaattttgctaatgaacgtttacagcactactttaatcagcatatctttaaattggaacaagaggaatatagaactgaaggtatcagctggcacaacatagattacattgataatacctgctgcataaatcttattagcaaaaaaccaacaggactgcttcatcttttggatgaagaaagcaactttccacaggctacaaatcaaacattgctagacaagtttaagcatcaacatgaagataattcttacatcgaatttccagccgtgatggagcctgctttcattataaaacattatgctggaaaagtaaaatatggggtaaaggatttccgggaaaaaaatacagatcatatgcgcccagacattgtagctcttctgagaagcagcaagaatgcatttatctctgggatgattggaattgatcctgtagctgttttccgatgggcaattctccgagcttttttcagagccatggttgctttcagggaagctgggaaaagaaacattcacagaaaaactggacatgatgatacagcgccatgtgcaattttgaaaagtatggatagttttagctttctccaacacccagtccaccagaggagcttagagattctgcagagatgcaaggaagagaagtacagtataacccggaaaaatcccagaacacctctttctgatctccagggcatgaatgctctaaatgaaaaaaaccaacatgatacatttgatattgcctggaatggcagaactgggattcgccagagcagactatcaagtggcacctccttgcttgataaagatggaatatttgctaattcaactagcagcaaactcctggagagagcccatggaattctcacgagaaacaaaaatttcaaatccaagcctgcccttccaaagcacttgctagaagtaaattctttaaagcacctgacaagactgacactacaagatcgcattaccaagtctcttcttcatttacacaagaagaaaaaacctcccagcatcagtgcccagtttcaggcatcattaagcaagctaatggaaacacttggtcaagcagaaccatattttgtaaaatgcattcgctctaatgctgaaaagctgcccttaaggttcagtgatgtcttggtacttagacagcttcgatacaccgggatgctggaaacagttcgaattcgccaatcaggatacagctccaaatattctttccaggattttgtgagccacttccatgtacttcttccccgaaatattattccatccaaatttaacattcaggatttcttcaggaaaataaatcttaatccagataattatcaagttggaaaaaccatggtctttctaaaggagcaggaacgacagcacttacaagatctgcttcaccaagaggtgctccgcagaatcatattgttgcagcgatggttcagggtcttgctgtgtaggcagcatttcctccatctgagacaagcatctgttattatccagagattctggaggaattacctaaatcagaagcaagtcagagatgcagctgtgcagaaggatgcttttgttatggctagtgcagctgctcttctccaagcttcctggcgtgctcacttagagaggcagcggtacttggagttacgggctgcagccatcgttatccagcagaaatggagagattactataggcgcaggcacatggctgctatttgcatacaagcaagatggaaagcctacagggaaagtaaaaggtaccaagaacaaaggaaaaaaattatccttttgcaatcaacatgtagaggattcagagcaagacaaagatttaaagctttaaaagaacaaaggctaagagaaacaaagccagaagttggattggtgaatattaagggatatggatctctggaaattcagggttcagacccttcagaatgggaggattgttcttttgacaacagaataaaagccatagaggaatgtaaatctgtaatagagagtaatcgaattagccgtgaaagttcagtggactgcttgaaggagtcaccaaacaagcagcaggagagagcccaaagccagagtggtgtggacttgcaggaagatgtgcttgtaagagagagacccaggtccttggaggatctccatcagaaaaaagtaggccgggctaagagagaaagtaggagaatgagagaactagagcaagctatatttagcttagaattgctgaaagttcgttctcttggtggtatttctccttcagaggatcgcagatggtctacagaattggtgcctgaaggccttcagtctccacggggtacacctgatagtgagagctctcaaggaagcttggaacttctgagctatgaggaaagccaaaagagcaaactagagtctgtcatttcagatgaaggagacttgcagtttccatcacctaagatatccagcagtccaaaatttgattcacgggacaatgccctcagtgcctcaaatgagactagcagtgcagagcatttgaaggatggaactatgaaggaaatggtggtctgcagttctgagtctattacctgtaaaccacagctgaaagactccttcatttcaaatagtctacctacttttttttatatcccccaacaagacccactgaaaacaaattcccaactagacacaagtatccaaagaaacaaactattggaaaatgaagacacagcgggggaagctcttactttggatatcaacagggaaactagaaggtatcactgctcaggaaaagatcagattgttccttctttgaatacagagtcttctaatcctgtgcttaagaagttagaaaagctaaacactgagaaggaagaaaggcaaaaacagttgcagcaacagaatgaaaaagagatgatggaacagattcgccagcaaacagatattttagagaaggagcgcaaagccttcaagacaattgaaaagccaagaattggagagtgtttggtggcaccatcttcctatcagtcaaagcaaagagtagagaggccatcctctctcctcagcttaaatacctcaaataagggagaacttaatgtactggggtccctatcattaaaagatgcagctcttgcccaaaaagacagttcctctgctcacttacccccaaaggaccgacctgtcaccgtgttctttgaaagaaaaggaagtccatgccaatctagtactgtcaaggaattatccaagacagacagaatgggcacccagctgaatgtagcctgtaaactctcaaataatcgcatttcaaaaagagaacactttaggccaactcagtcttacagccacaattctgatgacctttccagagagggaaatgctaggcccattttcttcactccaaaggacaatatgagtattccccttgtcagcaaagaagccttaaacagtaaaaatcctcaactccataaagaagatgaaccagcatggaaacctgtgaagttagctgggccaggccaaagagagacatcacagcgattttcgtcagttgatgaacaagcaaaacttcataagactatgtctcaaggagagattaccaagttggcagtgagacagaaggcttcagattcagatataagacctcagagagctaagatgagattctgggccaaagggaaacaaggggagaagaagactaccagagtgaaacctactacccagtcagaggtttcgccactctttgcaggcacagatgtgattccagctcatcagtttccagatgaattagctgcatatcacccaacacctcctttgagcccagaactgcccggcagttgccggaaggaattcaaagagaacaaagaaccttctccaaaggctaagcgcaagcgaagtgtgaagattagcaacgtggctttggattctatgcattggcaaaatgactctgtccagatcatagcaagtgtcagtgatttaaaaagcatggatgaatttcttctgaaaaaggtgaatgacctagataatgaagacagcaagaaggatacactagtggatgttgtatttaaaaaagccctgaaggaatttcggcagaatatcttcagcttttattcatctgcattggcgatggatgatgggaaaagcatacggtataaagacctctatgcactatttgaacagattctggaaaagacgatgaggcttgagcagcgtgattcactgggtgaatctccagtgagagtttgggtcaacacttttaaagtgtttttagatgaatatatgaatgaattcaagacttcagattgcacagccacaaaggtgccaaaaacagaaagaaagaaaagaaggaaaaaggaaactgatttggtggaagaacacaatggtcacatctttaaagccacccaatatagcatccctacatactgtgaatactgttcttctttgatatggataatggaccgagcctctgtttgcaaattatgcaagtatgcttgccataagaagtgctgtctgaaaaccacagccaagtgctctaaaaagtatgatccagagctgtcatctcgacaatttggggttgaactgtcccgtttgaccagtgaagaccgaactgttcctttagtagtggaaaagctcataaactacattgaaatgcatggactgtatacagaaggtatttatcgaaagtctggttcgactaataaaatcaaggagcttcggcagggtctagatacagatgctgagagtgtaaatctagatgactataacatacacgtcattgcaagtgtattcaaacaatggcttcgagatttgcccaatcctctcatgacctttgaactctatgaggaatttcttcgagctatgggccttcaggagaggaaggagacaatccgtggtgtatactctgtgattgatcaactctcccgaactcatctcaatacactggaacgcctcatctttcatctagtcaggattgctctgcaggaagacactaatcgaatgtctgctaatgctttggccattgtgtttgcgccctgcattctccgctgccctgacaccactgacccactacaaagtgtacaggacatcagtaagactaccacttgtgtggaactgattgttgtggaacaaatgaataaatacaaggctcgtctcaaagatatcagtagcttggaatttgctgagaataaggcaaagaccaggttgtcactgattcgtagatcaatgggaaaggggcgtattcgtcgaggaaactatccaggtccatcgtctcctgttgtagttcggttgccttctgtgtctgatgtctcagaggagaccttgactagtgaggcagccatggagactgacatcacagaacagcagcaagcagctatgcagcaggaggagagagtactgactgagcagattgagaacctacagaaggagaaggaggagctaacatttgagatgcttgtactggaaccccgtgcctctgatgatgaaacccttgagtctgaggcctccattgggactgctgatagctcagagaatttgaatatggagtctgaatatgctatctctgagaaatcagaaagaagcttagcccttagctccctgaagacagctggcaagtctgaaccttccagcaagttgcgaaagcaacttaaaaagcagcaagactctttagatgtcgtggactcttcggtctcctctttatgtctgtctaacacggcatcatctcatgggaccagaaaactatttcagatttattccaaatctccattctaccgagctgcctcaggtaatgaggccctgggaatggaaggaccattgggccagaccaaattcctggaagacaagcctcagttcatcagcagaggaaccttcaacccggaaaagggcaaacaaaaattaaagaatgtgaaaaactcacctcagaaaaccaaagagaccccagaggggacagtcatgtctggccgcagaaaaactgtggacccagactgcacctccaaccaacagctagcactctttggaaataatgaatttatggtcttaattaa</t>
  </si>
  <si>
    <t>ggcgcgccatgagtgctcacgaggctggcagctcaggccgaaggcggccggccaccttccacctgcacatctaccctcagctgcccagtgctgggagccagacctcatgccgtgtaaccgccaccaaggacagcacaacaagcgatgtcatccgagacgtggtggccagtctacacctggacggctcgaagcactatgtgctggtggaggtgaaggagtcgggtggggaggagtgggtgctggatgccagcgactcgcctgtgcaccgagtgctgctgtggcctcggcgagcgcagaaggagcaccctcgggaggacggctactacttcctgctgcaggagcgcaacgctgacggcagcattcagtacctgcacgtgcagctgctggctcagcccacagccgcatgtcgcctggtggagcgagggctgctgccaaggcctcaagcggacttcgacgacctgtgcaacctgccggagctgaacgaggccaacctgctgcagagcctgaagctgcgcttcgtgcagcagaagatctacacgtacgcgggcagcatcctggtggccatcaaccccttcaagttcctgcccatttacaaccccaagtatgtgaagatgtacgagaaccagcagctgggaaagctggagccgcacgtgttcgctctggccgatgtagcctactacaccatgctgcgcaagcacgtgaaccagtgcatcgtcatctctggtgagagcgggtccggcaagacgcaaagcaccaacttcctcatccactgcctcacagcgctcagccagaagggctacgccagcggcgtcgagaggaccatcctgggtgcagggcctgtgctggaggcttttgggaacgccaagacagcccacaacaacaactccagccgcttcgggaagttcatccaagtcaactacctggagagtggcatcgtgaggggagctgttgtggaaaaataccttcttgaaaagtctcgcctggtttcccaggagaaggatgagcggaactaccatgtgttttattatctgctgctgggcgtcagtgaggaagagcgtcaggaatttcagctgaagcagcctcaagactatttctacctcaaccagcataacttgaatattgaagatggagaagacctcaaacatgactttgaaaggcttcagcaggccatggagatggtgggcttcctacctgccacgaagaagcagatcttctctgtcctctcagccatcctgtatcttggcaatgtcacctataagaagagagccacaggccgggatgaaggcctggaggtcgggcccccggaggtattggacacactatcccagctcctgaaggtaaagcgggagaccctggtggaggtcctaaccaagagaaaaacaatcacggtcaatgacaaactcatcctgccttacagcctcagtgaggctatcactgcacgagactccatggctaagtctctgtacagcgccctgtttgactggattgtgctgaggatcaaccacgccctcctcaacaagaaggacatggaagaggctgtttcttgcttgtccattggcgtcctggacatattcggatttgaggactttgaacggaacagcttcgagcagttttgcatcaactacgccaacgagcagttgcagtactacttcacccagcacatcttcaagctggagcaggaggagtaccagggtgagggtatctcgtggcacaacattgactacaccgacaacgtgggctgtatccacctcatcagcaagaagcccactggcctcttctacctgctggacgaggaaagcaactttccccatgccacaagccacactctgctggccaaattcaagcagcagcatgaggacaacaagtacttcctgggcacaccagtcctggagcccgccttcatcatccagcacttcgcaggcagagtaaagtaccagatcaaggacttccgggagaagaacatggactacatgcggcctgacatcgtggcactgctaaggggcagtgacagctcctatgtgcgccaactcatcggcatggacccggtagctgtgttccgctgggctgtattacgggcagccatcagggccatggctgtgctgcgggaggctgggcgcctgcgtgcagagagagcagagaaagcagaagcaggtgtaagtagtcctgtcactcgaagtcacgtggaagagctgccaagaggagccaacaccccttcagagaaactgtaccgcgatttgcataaccaaatcatcaagagcctcaaaggactgccatggcagggcgaggacccgcggaggcttctccagtccctcagtcggctccagaagccccgcaccttcttcctgaagagtaaaggtatcaaacaaaagcagatcattcccaagaacctgctggactctaagtccctgaggctcatcatcagcatgacgctgcatgaccgaactaccaagtcactgctgcacctgcacaagaagaagaagccgcccagcatcagtgcacagttccagacatctcttaacaagctgttggaggcgctgggcaaggctgagcccttcttcatccgctgcattcgctccaatgccgagaagaaggagctctgctttgatgatgagctggtgcttcagcaactgcgctacacaggcatgctggagaccgtgcgcatccggcgctctggctacagcgccaagtacaccttccaggacttcacggagcagttccaggtgctgctgcccaaggatgtccagccctgtagggaggccattgctgccctgttggagaagctgcaggtggacaggcagaactaccagatcgggaagacgaaggtcttcctgaaggagacagagcggcaggccctgcaggagaggctgcatggtgaggtcttacgcaggatcctgctgctgcagagttggttccggatggtgctggaacgcaggcactttgtgcagatgaagcatgctgccctgaccatccaggcctgctggcggtcttatcgtgtgcgccgtacactggagaggacgcgggcagctgtgtatcttcaggctgcctggagaggctacctgcagagacaggcctaccaccaccagaggcatagcatcatccgcctgcagagcctctgccgtggccacctacagcgcaggagcttcagccagatgatgttagagaagcagaaggcagagcaagccagggagactgcaggagcagagatgtcagagggagagcccagccctgtggccgctggggagcagccgtctgagcaccctgtggaggaccctgagagcctgggtgtggagactgagacctggatgaacagcaagtccccaaatggcttgtcacctaagaaggagatccccagcccggagatggagaccccagcccaaaaaacagtgccagctgaaagtcatgagaaagtccccagtagccgggagaagcgagagtcacggcggcagcgagggttggagcatgttgaacgacagaacaaacacatccaatcctgcagggaggagaatagcaccctccgagaaccttccagaaaggcaagcctggaaacaggggagagcttccctgaggacacaaaggagcccagagaagatggacttgagacatggactgagaccgcagccccctcttgtccaaagcaggtgccgattgtgggagatccgcctaggagtcccagtcccttgcagaggcccgccagcctggacctagacagcagggttagcccagtgctccccagcagctccctggaatccccccaggatgaggacaagggtgagaacagcaccaaggttcaggacaagcccgagagtcccagtggctccacccagatccaacggtaccaacacccggacacagagcggctagccactgctgtggagatatggcgaggcaagaagctcgccagtgccatgctgagccaatccctggacctgagtgagaagccccggactgcaggggcagccctgactcccacagaggagaggcgcatctccttctccaccagtgatgtctccaagctgtccccggtcaagacttcaactgaagtcgatggggatctgagcgccaagaagccagccggccataagaagaagtcagaagacccatctgctggtcccgatgcaggcctgcccacaggctcccagggtgactctaaatctgcctttaagcgactcttcctgcacaaagccaaggataagaagcccagcctggagggtgtggaggagacagagggcagtggagggcaggctgcacaggaggccccggccaggaagactctagatgtaccttctagccagcagcaccgccacaccacaggcgagaagcctctaaaagggaagaagaaccgaaatcgtaaggtcggacagatcacagtgtccgagaagtggcgagagtcggtgttccgtaagatcactaatgccaacgagctcaagtttctggatgagttcctgctcaacaaggtgaatgaccttcgctcacagaagacacccatcgagagcttgttcattgaggccactgagcgtttcaggagcaatatcaagaccatgtattctgtgcctaacgggaagatccatgtaggctacaaggacttgatggagaactaccagatcgttgtcagtaacctggctgccgagcgtggggagaaggacaccaacctggtcctcaatgtcttccagtcactgctggatgaattcactcgcagctacaacaagactgactttgagccggtcaagggcaaagcccagaagaagaagaggaagcaggagcgtgctgtccaggaacacaatggacatgtgtttgccagctaccaagtgaacatcccgcagtcgtgtgagcagtgtctgtcctacatctggctcatggacaaggccctgctatgcagtgtgtgcaagatgacctgccacaagaaatgtgtgcacaagattcagagctattgctcctacactggacggaggaagagtgagctgggtgccgaaccaggccacttcggcgtgtgtgtagacagcctgaccagtgacaaggcctccgtgcccattgtgctggagaagcttctggaacatgtagagatgcatggcctgtataccgagggtctttaccgcaagtcaggcgctgccaaccggacacgggaattacgccaggctctgcagacagaccctgctacagttaagctggaggacttccccatccacgccatcaccggggtcctgaagcaatggctgcgggagctgcctgagccactcatgacttttgcccagtatggagacttcctcagggctgttgagcttccagagaagcaggagcagctggctgccatctatgcagtcctggaccacctgcctgaagccaaccacacctccctggagaggctcatcttccaccttgtcaaagtggccctgcttgaagatgtgaaccgcatgtctccgggagctctagctatcatcttcgcgccctgcctgcttcgctgccctgacaactccgaccccctgaccagcatgaaggacgtactaaagattaccacgtgtgtggagatgctcatcaaggaacagatgaggaaatacaaggtgaagatggaggagatcaaccacctggaggcagctgagagcattgcgttccgcaggctctccctgctgaggcagaatgccccgtggcctctcaaactggggttttcgtctccctatgagggggtccggaccaaaagccccaggaccccagtggtccaagacttggaggagctgggggctctccccgaggaggcggcaggtggtgacgaggaccgggaaaaggagattctcatggagaggattcagtccatcaaagaagagaaggaggacatcacatatcgactgccggagctggacccacggggttctgacgaggagaaccttgactcagagacatcagccagcactgagagcctgctggaggagagggccgtgcggggggccgcagaagagttaattaa</t>
  </si>
  <si>
    <t>ggcgcgccatggtggcacatgatgagactggaggtctcctacctattaaaaggaccatacgagtcctagatgtcaataaccagtccttcagagaacaagaggagccaagcaataaaagagttcgacctctggctcgtgtcacgtccttggcaaatttaatctctcctgtaagaaatggagctgtcagacgttttggtcaaacaatacagtcatttacccttcgtggtgaccacagatccccagcctctgcccagaagttttctagcaggtcaacagtcccaacacccgccaagagaaggagcagtgcactgtggtcagagatgctggacatcaccatgaaggagtctctcaccaccagggagatcagacggcaggaggcaatatatgaaatgtcccgaggtgaacaggatttaattgaggatctcaaacttgcaagaaaggcctaccatgaccccatgttaaagttgtccatcatgtcagaagaggaactcacacatatatttggtgatctggactcttacatacctctgcatgaagatttgttgacaagaataggagaagcaaccaagcctgatggaacagtggagcagattggtcacattctcgtgagctggttaccgcgcttgaatgcctacagaggttactgtagtaaccagctggcagccaaagctcttcttgatcaaaagaaacaggatccaagagtccaagacttcctccagcgatgtctcgagtctcccttcagtcgaaaactagatctttggagtttcctagatatccctcgaagtcgcctagtcaaataccctttactgttaaaagaaattcttaaacacactccaaaagagcaccctgatgttcagcttctggaggatgctatattgataatacagggagtcctctctgatatcaacttgaagaaaggtgaatccgagtgccagtattacatcgacaagctggagtacctggatgaaaagcagagggaccccagaatcgaagcgagcaaagtgctgctgtgccatggggagctgcggagcaagagtggacataaactttacattttcctgtttcaagacatcttggttctgactcggcccgtcacacggaacgaacggcactcttaccaggtttaccggcagccaatcccagtccaagagctagtcctagaagacctgcaggatggagatgtgagaatgggaggctcctttcgaggagctttcagtaactcagagaaagctaaaaatatctttagaattcgcttccatgacccctctccagcccagtctcacactctgcaagccaatgacgtgttccacaagcagcagtggttcaactgtattcgagcggccattgcccccttccagtcggcaggcagtccacctgagctgcagggcctgccggagctgcacgaagagtgtgaggggaaccacccctctgcgaggaaactcacagcccagaggagggcatccacagtttccagtgttactcaggtagaagttgatgaaaacgcttacagatgtggctctggcatgcagatggcagaggacagcaagagcttaaagacacaccagacacagcccggcatccgaagagcgagggacaaagccctttctggtggcaaacggaaagagactttggtgttgattaa</t>
  </si>
  <si>
    <t>ggcgcgccatggagaccagggaatctgaagatttggaaaagacccggaggaaatcagcaagtgatcaatggaacactgataatgaaccagccaaggtgaaacctgagttactcccagaaaaagaggagacttctcaagctgaccaggatatccaagacaaagagcctcattgccacatcccaattaagagaaattccatcttcaatcgctccataagacgcaaaagcaaagccaaggccagagacaaccccgaacggaacgccagctgcctggcagattcacaggacaatggaaaatctgtaaatgagcccctgaccttgaatatcccctggagcagaacgcctccttgcagaacagcaatgcagacagacccaggagcccaggaaatgagtgagtcgtcctccaccccgggaaatggggccacgcccgaggagtggccggccctggccgacagccccaccacgctcaccgaggccctgcggatgatccaccccattcccgccgactcctggagaaacctcattgaacaaatagggctcctgtatcaggaataccgagataaatcgactctccaagaaatcgaaaccaggaggcaacaggatgcagaaatagaagacaataccaatgggtccccggccagtgaggacaccccggaggaggaagaagaagaggaggaggaggaggagccggccagcccaccagagaggaagactctgccccagatctgcctgctcagtaacccccactcaaggttcaacctctggcaggatcttcccgagatccggagcagcggggtgcttgagatcctacagcctgaggagattaagctgcaggaggccatgttcgagctggtcacttccgaggcgtcctactacaagagtctgaacctgctcgtgtcccacttcatggagaacgagcggataaggaagatcctgcacccgtccgaggcgcacatcctcttctccaacgtcctggacgtgctggctgtcagtgagcggttcctcctggagctggagcaccggatggaggagaacatcgtcatctctgacgtgtgtgacatcgtgtaccgttatgcggctgaccacttctctgtctacatcacctacgtcagcaatcagacctaccaggagcggacctataagcagctgctccaggagaaggcagctttccgggagctgatcgcgcagctagagctcgaccccaagtgcagggggctgcccttctcctccttcctcatcctgcctttccagaggatcacacgcctcaagctgttggtccagaacatcctgaagagggtagaagagaggtctgagcgggagtgcactgctttggatgctcacaaggagctggaaatggtggtgaaggcatgcaacgagggcgtcaggaaaatgagccgcacggaacagatgatcagcattcagaagaagatggagttcaagatcaagtcggtgcccatcatctcccactcccgctggctgctgaagcagggtgagctgcagcagatgtcaggccccaagacctcccggaccctgaggaccaagaagctcttccacgaaatttacctcttcctgttcaacgacctgctggtgatctgccggcagattccaggagacaagtaccaggtatttgactcagctccgcggggactgctgcgtgtggaggagctggaggaccagggccagacgctggccaacgtgttcatcctgcggctgctggagaacgcagatgaccgggaggccacctacatgctaaaggcgtcctctcagagtgagatgaagcgttggatgacctcactggcccccaacaggaggaccaagtttgtttcgttcacatcccggctgctggactgcccccaggtccagtgcgtgcacccatacgtggctcagcagccagacgagctgacgctggagctcgccgacatcctcaacatcctggacaagactgacgacgggtggatctttggcgagcgtctgcacgaccaggagagaggctggttccccagctccatgactgaggagatcttgaatcccaagatccggtcccagaacctcaaggaatgtttccgtgtccacaagatggatgaccctcagcgcagccagaacaaggaccgcaggaagctgggcagccggaatcggcaattaattaa</t>
  </si>
  <si>
    <t>ggcgcgccatggagccgccgctcccggtcggagcccagccgcttgccactgtcgagggtatggagatgaagggtcctctccgggagccctgcgccctgaccctagcccagaggaacgggcaatatgagttaataatccagttgcatgagaaggaacagcatgttcaagatatcattcctataaatagccacttcagatgtgttcaagaagcagaagaaactcttttgattgacatagcttctaacagtggctgcaaaattcgggttcagggggactggatcagagagcgccgctttgaaatccctgatgaggaacactgtttgaagttcctctcagctgtccttgctgctcagaaagctcagtcacagcttcttgttccagagcaaaaggactcatctagctggtaccagaaattagacactaaggacaaaccttctgttttttcagggcttcttggatttgaagacaatttttcttctatgaatttggacaagaaaataaattcacaaaatcagcctactgggattcatcgggaacccccacctccacccttttcagtgaataaaatgcttccacgtgaaaaagaagcttctaacaaggagcagcccaaagtgaccaacaccatgcggaagctctttgtaccaaatacccaatctgggcagcgggagggtctcatcaaacatatcctggcaaagcgagagaaagaatatgtcaacattcagactttcagattttttgttggaacttggaatgtgaatggccagtctccagatagcgggttagaaccttggctgaactgtgatcccaatcctcctgatatctactgcattggattccaagaactggacttgagcacagaagccttcttctactttgaatctgtgaaggaacaagaatggtccatggctgtagagagaggtttgcattccaaagccaagtataagaaagttcaactggtgcgccttgttgggatgatgcttcttatatttgccagaaaggatcagtgtcgatacattcgtgatattgctacagaaacagttggaactggaatcatggggaaaatgggaaacaaaggtggggtagctgtgagatttgtatttcacaacaccaccttttgcattgtcaattcccatctggctgcacacgtggaggactttgagagaaggaatcaagattataaggacatttgtgcgagaatgagttttgtggtcccaaatcagaccctcccgcagttgaacatcatgaaacatgaggttgtcatttggttgggagatttgaattatagactttgcatgcctgatgccaatgaggtgaaaagtcttattaataagaaagaccttcagagactcttgaaattcgaccagctaaatattcagcgcacacagaaaaaagcttttgttgacttcaatgaaggggaaatcaagttcatccccacttataagtatgactctaaaacagaccggtgggattccagtgggaaatgccgggttccagcctggtgtgaccgaattctttggagaggaacaaatgttaatcagcttaattatcggagtcacatggaactgaaaaccagcgaccacaagcctgttagcgccctcttccatattggggtgaaggttgtggatgaacgaaggtaccggaaagtctttgaagatagtgtacgcatcatggacagaatggaaaatgacttccttccttccttagaactcagcaggagggagtttgtgtttgaaaatgtgaagtttcggcaactacaaaaggagaagttccagatcagcaacaatggacaggttccctgccatttttctttcatccctaaacttaatgacagccagtactgcaagccatggcttcgggctgaaccttttgagggctacttggagccaaatgagacagtggacatttctcttgatgtgtatgtcagcaaagactctgtaaccatcctgaactcgggagaagataagattgaagatattctcgtccttcacctggatcgaggcaaagattacttcttgactatcagtggaaattacctcccaagttgttttggcacatccttagaggctctgtgccgtatgaaaagaccaatccgagaagttcctgttaccaaactcatagacttggagaaatcccttctgcaaatggttcctttggatgaaggtgccagtgagagaccccttcaggttcccaaggagatctggcttctagtagatcacctattcaaatacgcctgtcaccaggaggacctgttccagacccctggaatgcaggaagagctccagcagatcattgattgtctggataccagcattcctgagacaatccctggcagcaaccactctgtggctgaagcactgctcattttcttggaagccctgccagagccagtcatctgttacgagctgtatcagcgatgtcttgactctgcttatgatccccggatctgccgacaggtgatctcccagcttccgagatgccatagaaatgttttccgttacttgatggcattccttcgagaactcttaaaattctctgaatacaatagcgtcaatgccaacatgatcgctactctcttcactagtcttctcctgaggcctccacccaaccttatggcaagacagactccaagtgaccgccagcgtgctattcagttccttctgggctttctgcttgggagcgaagaagactaattaattaa</t>
  </si>
  <si>
    <t>ggcgcgccatggggcatcccccgctggagttcagcgactgctacctcgacagccccgatttccgccagaggctcaagtattatgaagaggagctggagaggaccaataaattcatcaaagacgtgatcaaagacggcagcgcgcttatcagcgctatgagaaattactcttctgcggttcagaaattttctcagacactccagtcatttcaatttgatttcattggagacacgctgaccgatgatgagattaatatagcggaatcattcaaggaatttgctgaattgctcaatgaagtagaaaatgaaaggatgatgatggtacaaaatgctagtgacttgctgatcaaacccctggaaacttttcggaaggaacaaataggttttacaaaggaaaggaagaagaaatttgaaaaggatggtgagaggttttactcgctactggaccgccacttacatctgtcatccaaaaagaaagaatctcagctactagaggcagacctccaagtggataaggaaaggcacaatttctttgaatcatctcttgactatgtttatcaaattcaggaagtccaggagtcaaagaagttcaatattgtggagccggtcttggccttccttcatagcctcttcatttctaacagcttgactgtggagctcacacaggatttcctgccatacaaacaacagctgcagctcagcttacagaatacaagaaatcatttctccagtacccgggaggagatggaagaacttaagaaaaggatgaaagaagcccctcagacatgcaaacttccaggacagccaaccattgaaggctatctctacacacaggagaaatgggccctggggatatcctgggcgaaatactattgtcggtatgagaaagagaccaggatgctcacaatgataccaatggaacagaagccaggtgctaagcagggaccggtggacttaactttgaagtactgcgtgagaaggaagacagagtcaattgacaagagattctgttttgatatagaaactaatgaaagacctggaaccatcactctgcaggcgccttccgaagccaatagaaggctatggatggaagccatggatggcaaagaacctatctaccacactcctataacaaaacaggaagaaatggagctgaatgaagtggggttcaaatttgttaggaagtgcatcaattttattgagaccaaagggatcaagacagaagggctgtaccgcaccgtgggcagcaacatccaggttcagaagctgctctatgccttttttgatccaaaatgtccaggggatgttgatttccataacagtgactgggacattaagacaatcacaagctctttaaaattctacctcaggaatctctcagaacctgtcatgacttataagctccataaagaactcgtctctgctgccaaatctgacaacctggattaccgtctgggggctattcactccctagtatataagctaccagaaaagaaccgggagatgctggaacttctaatcaaacacttggtaaatgtgtgtgagcacagcaaagagaatcttatgacaccttccaatatgggggtgatctttgggcccaccctgatgagagctcaagaggacactgtggctgctatgatgaacatcaaattccagaacattgtggtagaaatcctgattgaacactttggcaagatttatttaggtccacccgaagatagccaagtacctccagtgcctccacctcgagtgacagcaagaagacacaaaccaatcacaatctcaaagcgcttgctgagagaaaagactgtgttctatacttcttccctggatgaaaataaagatgaaagtcaccatcaaactcctaatggtacaatcactagcaacctggatccccccaagctactgcagcacctcaaaccacccatgcaaaaaagtggggaaactgaccctggaagaaagtccccaagcagacctgtttctgactgtcaatcggagccctgcctagagacggatgtggggaggttgttatttaggttgcaggatggagggaccaaggctactccaaaggcttccaatggacctgttccaggctctggacacacaaagacctcctctttccatataaggagaccagctcccaggccaatggctcaccacaaggaaggcgatactgacggtttcagcaaagtccggcccccaggagaaaagcaaacaatcatccgtcctccggtgaggcccccagaccctccttgccggtccatcactccacaaaagccagagccaaagccagaaacagggtctggcaatgcagacgaaatcccatcatccgtggtggcatctaggaccagattctttgaaacagcttcccggaaaactggaagttctcaaggaaaacttcctggagatgagagtttaattaa</t>
  </si>
  <si>
    <t>ggcgcgccatgagtgctgaggggtaccagtacagagcgctgtatgattataaaaaggaaagagaagaagatattgacttgcacttgggtgacatattgactgtgaataaagggtccttagtagctcttggattcagtgatggacaggaagccaggcctgaagaaattggctggttaaatggctataatgaaaccacaggggaaaggggggactttccgggaacttacgtagaatatattggaaggaaaaaaatctcgcctcccacaccaaagccccggccacctcggcctcttcctgttgcaccaggttcttcgaaaactgaagcagatgttgaacaacaagctttgactctcccggatcttgcagagcagtttgcccctcctgacattgccccgcctcttcttatcaagctcgtggaagccattgaaaagaaaggtctggaatgttcaactctatacagaacacagagctccagcaacctggcagaattacgacagcttcttgattgtgatacaccctccgtggacttggaaatgatcgatgtgcacgttttggctgacgctttcaaacgctatctcctggacttaccaaatcctgtcattccagcagccgtttacagtgaaatgatttctttagctccagaagtacaaagctccgaagaatatattcagctattgaagaagcttattaggtcgcctagcatacctcatcagtattggcttacgcttcagtatttgttaaaacatttcttcaagctctctcaaacctccagcaaaaatctgttgaatgcaagagtactctctgaaattttcagccctatgcttttcagattctcagcagccagctctgataatactgaaaacctcataaaagttatagaaattttaatctcaactgaatggaatgaacgacagcctgcaccagcactgcctcctaaaccaccaaaacctactactgtagccaacaacggtatgaataacaatatgtccttacaagatgctgaatggtactggggagatatctcgagggaagaagtgaatgaaaaacttcgagatacagcagacgggacctttttggtacgagatgcgtctactaaaatgcatggtgattatactcttacactaaggaaagggggaaataacaaattaatcaaaatatttcatcgagatgggaaatatggcttctctgacccattaaccttcagttctgtggttgaattaataaaccactaccggaatgaatctctagctcagtataatcccaaattggatgtgaaattactttatccagtatccaaataccaacaggatcaagttgtcaaagaagataatattgaagctgtagggaaaaaattacatgaatataacactcagtttcaagaaaaaagtcgagaatatgatagattatatgaagaatatacccgcacatcccaggaaatccaaatgaaaaggacagctattgaagcatttaatgaaaccataaaaatatttgaagaacagtgccagacccaagagcggtacagcaaagaatacatagaaaagtttaaacgtgaaggcaatgagaaagaaatacaaaggattatgcataattatgataagttgaagtctcgaatcagtgaaattattgacagtagaagaagattggaagaagacttgaagaagcaggcagctgagtatcgagaaattgacaaacgtatgaacagcattaaaccagaccttatccagctgagaaagacgagagaccaatacttgatgtggttgactcaaaaaggtgttcggcaaaagaagttgaacgagtggttgggcaatgaaaacactgaagaccaatattcactggtggaagatgatgaagatttgccccatcatgatgagaagacatggaatgttggaagcagcaaccgaaacaaagctgaaaacctgttgcgagggaagcgagatggcacttttcttgtccgggagagcagtaaacagggctgctatgcctgctctgtagtggtggacggcgaagtaaagcattgtgtcataaacaaaacagcaactggctatggctttgccgagccctataacttgtacagctctctgaaagaactggtgctacattaccaacacacctcccttgtgcagcacaacgactccctcaatgtcacactagcctacccagtatatgcacagcagaggcgatgattaattaa</t>
  </si>
  <si>
    <t>ggcgcgccatggcaggagccgagggcttccagtacagggctgtgtacccattccgccgggagcggcctgaagacctggagctgctccctggggacctcctggtggtgagccgggtggccctacaggcacttggtgtggctgatggaggagagcgctgcccacacaatgtgggctggatgcctggcttcaacgagcgcacccgacagcgaggggacttccccgggacatacgtggagttcctaggacccgtggctctggctcgaccaggccctcgcccacgggggccccgtccgttgcccgccaggcccttggatggatcttctgagtcaggccacatactcccagacctggcagagcagttctccccacctgaccctgctcccccgattctggtgaagctggtggaagccattgagcaagcagagctggacagtgaatgctacagtaagccggagctgcccgcaacacggacagactggtccctgagtgacttggagcagtgggaccgcaccgccttgtatgatgctgttaagggcttcctgctggcgttgcctgcagctgtggtgacccctgaagctgcagcagaggcgtaccgggcacttcgagaggttgcaggccccgtggggctggtgctggaacccccaacactgccgctgcaccaggctctcacactgcgtttcctgctgcaacacctgggtcgcgtggcccgcagagcaccctcgccagatacagctgtccatgcactggccagtgccttcgggccgctactgctgcgcatacctccgtcagggggcgagggtgatgggagtgagcctgtacccgacttccctgtgctgctgctagagaggctggtgcaggagcatgtggaggagcaagacgctgcccccccagcgctaccacctaagccctctaaggcaaagccggcacccacagctctggccaatggagggagcccgccctcgcttcaggatgcagagtggtactggggggacatctccagggaagaggtgaatgagagactccgggacacacctgatggtaccttcttagtcagagatgcatccagcaagatccaaggagagtacacgctcaccctcaggaaaggcgggaacaacaagttgatcaaagtcttccaccgggatggtcactatggcttctcagagccccttaccttctgctccgtggtggaactcatctcccactaccgccacgaatcactggcccagtacaacgccaagctggacacacgccttctctaccctgtgtccaagtaccaacaagaccaggtggtgaaggaggacagcgtagaggctgtgggcgcccagctcaaggtctaccaccagcagtaccaggacaagagccgcgaatatgaccagctgtatgaagaatacacacggacctcccaggagctgcagatgaagcgcacagccatagaggccttcaacgagaccatcaagatcttcgaagagcagggccagacacaggagaagtgcagcaaggagtatttggagcgcttccggcgagagggaaatgagaaggagatgcagaggatcctgctgaactccgagcgactcaagtctcgcatcgcggagatacacgaaagccgcacgaagttggagcaggatctgcgggcgcaggcctccgacaaccgtgagatcgacaagcgcatgaacagcctcaaacctgacctcatgcagctgcgcaagatcagggaccagtacctcgtgtggctcacccagaaaggtgcccgacagaggaagatcaacgaatggctgggaatcaagaacgagactgaggaccagtattcactgatggaggatgaggacgccctcccccaccacgaggagcgcacgtggtacgtgggcaagatcaaccgcacacaggcggaggagatgctgagtggcaaacgagacgggaccttcctcatccgggagagcagccagcggggctgttacgcatgctccgtggtggtggacggcgacacgaagcactgtgtcatctaccgcacagccaccggcttcggcttcgcagagccctataacctgtacgggtccctgaaggagctggtgctgcactaccagcacgcatcactcgtgcagcacaatgacgcacttaccgtcaccctcgcacaccctgtgcgtgcccccgggcctggcccaccgtctgcagcacgcttaattaa</t>
  </si>
  <si>
    <t>ggcgcgccatggagctctctgatagtgaccgacccgtcagcttcggttccacatcatcctcggcctcttcccgcgacagccatggttccttcggcagcagaatgaccttagtttcaaatagccacatgggcttgtttaaccaggataaggaggtaggggccataaaactggagctgattcctgccaggccgttttccagcagcgagctgcagagggacaaccccgccacggggcaacagaacgcggatgagggcagcgaaaggccacccagagcgcagtggagagtggactcaaacggggcacccaagacgatcgcagactcggccacgagccccaagctcctctatgtggatagagttgttcaggaaattctggaaaccgaaaggacttatgtacaagatttaaaaagcatcgtagaggattaccttgactgcatcagggaccaaacaaaacttcccctggggaccgaagaaagatcagccctttttggaaacatacaggatatctaccacttcaatagtgaacttctgcaagatttggaaaactgtgaaaatgatcctgtggccatagcagagtgttttgtgtccaagagtgaagagttccacatttatacccagtattgcactaactatccaaggtccgtggctgtgctaacagagtgtatgaggaacaagatactggccaaattcttcagggaacgtcaggaaactctgaaacactcgctgcctctggggtcctatctcttgaaaccagttcagcggattctcaagtatcatctccttctgcatgaaatagaaaaccaccttgataaggacacagaaggctatgatgtggtgcttgatgctatagacacaatgcagcgagtcgcctggcatatcaatgacatgaagcggaaacacgagcacgcggtccggttacaggagatacagagtttgctcactaactggaaggggccagacctgaccagctacggggaactggtgcttgagggaaccttccgcatccagcgagccaagaatgagcggacgctcttcctcttcgacaagctgctgctcatcacgaagaagagagatgacacgtttacatacaaagctcacatcctgtgtggcaacctcatgcttgtggaggtgattccaaaagagccgctcagcttcagcgtcttccactacaagaatcccaagctgcagcacacagtccaggccaaatcccagcaagacaaacgcctctgggttctgcacctaaagagactgattctggagaaccatgcagccaagattccagctaaggccaagcaagcaatccttgaaatggatgccattcatcatccaggcttctgttacagtcctgagggagggacgaaagcactgttcggctctaaagaaggttctgctccatatcggctgagaagaaaatctgaaccttcctcacggtcacataaagttttgaagaccagtgaaacagcacaagacatccaaaaggtttctagagaggaaggatctccccagctgtcttcagcaaggccgtctcctgcccagagaaatagtcagcctagcagttctaccatgatcagcgtgcttcgagcgggtggagctctcagaaacatctggaccgatcaccagatcaggcaagccttgtttcccagccgacggtccccgcaggagaatgaggatgatgaagatgattatcagatgttcgtgccgtcattttcctcctcagatctgaactctaccagactatgtgaagatagcacttctagtcgcccttgcagctggcatatgggacagatggagtccacagagacctccagctctggtcacaggattgtcaggcgggccagcagtgctggggagagcaacacatgccctcctgaaataggaactagtgacagaactagggaactgcagaacagccccaaaacagaagggcaggaggagatgactccctttgggtcatccatagagttgactattgatgacatagaccatgtctatgataacatcagttatgaggacttaaaactaatggttgctaagcgggaagaagctgaatccactccctctaaatcagccagggactccgttcgccccaagagcaccccagagttagccttcacaaagaggcaagctggccacagtaagggctctctttacgcacaaacagatggcaccctctcaggtggagaggcatccagccaaagcacgcatgaactccaagcggttgaggagaacatctatgacaccatagggctcccagatcctccgtcgctgggttttaagtgcagcagcctaaagcgtgcaaagcggagcacctttttgggtctggaggccgacttcgtgtgctgtgacagcctgaggccatttgtttcccaagacagcctccagctcagtgaggacgaagccccttaccatcaggccacccccgatcatggttatctgagtttgctgtatgactctcccagtggtaacttgtctatgcctcataagcctgtatctgataaactgtccgaagaagtagatgaaatctggaatgacctggaaaattacatcaagaaaaatgaagacaaggccagagaccgtctcctggcagcgtttcctgtgagcaaggatgatgtgccagacaggctgcacgcagagagcacccctgagctgagccgggacgtggggcgctctgtgtccacgctgtccctgcctgagagccaggctctcctcacgcccgtgaagagcagggctggcagagccagccgcgccaactgcccctttgaggaagacctgatttctaaagaaggctcctttatgagccttaaccggctttctctggctagtgaaatgcccctcatggacaatccctacgacctggccaacagtggcctgtctcaaacagacccagaaaaccctgacctggggatggaggccacagataagacaaaaagcagggtgtttatgatggctcggcagtacagtcagaagattaagaaggcgaatcaacttttaaaagtgaaaagtctggagctggagcagccgccggccagtcagcatcagaaatccatgcacaaagacctggctgccatcttggaagagaagaagcaaggagggcccgccattggtgccaggattgctgagtattcccagttgtatgaccagattgtattcagagagtctcccttgaaaattcagaaggatggctgggccagccctcaagaatcctccctcctgaggtctgtgtcaccttcccaggtccaccatggtagtggagactggcttctgcattcaacctatagtaatggagagttagcagatttctgtctcccaccagagcaagacttgaggtcaagatatcccacgtttgagatcaatacaaaaagtactcccaggcaattgtccgcagcttgctctgtgccttctcttcaaacctctgaccctctgccaggctctgtgcagagatgcagcgtggtagtaagtcagcccaacaaagagaactggtgtcaggaccatctttacaactccttgggtcggaaagggatcagcgctaaatctcagccttatcacaggtcccagtcatcttcctccgtcttgatcaacaaatcaatggattccatcaactaccctagtgatgtgggaaagcagcagctgctgtctttacacagaagttcaaggtgtgagagtcaccaggacttgctgccagatattgctgactcgcatcaacagggcactgaaaaactctcagatctcacactccaagactcacagaaagttgtggtggtcaatagaaatttacccttaaatgcccaaattgcaacacagaattatttttccaatttcaaagagactgatggagatgaagatgactatgtggaaatcaagtcagaagaagatgagtcggagttggagctatctcacaatcgtagaaggaaatctgactcaaagtttgtggatgctgacttttctgataatgtctgcagcggcaacacattgcattctttgaatagtccgcgcactccaaaaaagccggttaacagcaaacttggcctttcaccatatctgacaccatataatgattctgacaaactgaatgactatctttggagggggccatctcccaatcaacaaaatattgtccagtctctaagggaaaaatttcagtgtctcagttcaagcagctttgcttaatgattaattaa</t>
  </si>
  <si>
    <t>ggcgcgccatgcccgagggagcccggggattgagcctgcccaaacccagccttaggctcgggtgtggccaccaaggtgaagtttgcgactgcgcagcagtgagtgacactccaacagcagcgcaggcagccaccaccatggcttctccaaggggttctggcagctccacttcgttgagcactgtgggctccgagggggacccatctccagcctgctcagcctccaggccagagcccctaccggagccccccatacgcctgcacctgttgcctgtgggaatccagggttcggtgaaaccctccaggctggaacgagtggccagggagattgtggagacagagcgggcgtatgttcgcgaccttcgcagcatcgtggaggactacctaggccctctgatggatggcagggccctggggctgaacatggagcaggtgggcacactgtttgccaacatcgaggacatctatgagtttagcagtgagctcctggaggacttggaaggctgcagcagtgcagggggcatcgccgagtgcttcgtgcaaagaagcgaagattttgacatctatacattgtactgcatgaactacccaagctccctggccctgctccgagagctgtcagtgtccccgccagccactctgtggctacaggagcgtcaggcccagctccgtcactccctgcctctgcagagcttcttgctgaagcctgttcagcgcatcctgaagtaccatctcctgctgcaggaactgggcaagcactgggcagagggcccagacagtggagggcgagagatggtggaggaagccattgtatccatgactgcagtggcctggtacatcaatgacatgaagcgcaagcaagagcatgctgcacgcctgcaggaagtgcagcggaggctgggtggctggactggcccggagctcagcgcctttggagagctagtactggaaggcactttccgagggggaggcgggggaggccccaggcttcgtgggggtgagcgcctcctcttcttgttctcccggatgctgctggttgccaagcgtcgggggcctgaatacacctacaagggccacatcttttgctgtaacctcagcgtaagcgagactccgcgggaccccttaggatttaaggtgtcagacctgaccatccccaagcacagacacctgttccaggccaagaaccaggaagagaaacggctgtggatccactgtctccagcgcctcttctttgagaaccacccggcttccatccctgccaaggcaaagcaagttctcttggaaaacagcctacattgtgctccaaagagcaaacatatcccagaacccccaacatccccactggactctccccgacctcgagatgctccaggttttacccccggcagaagaaacccagctccatctccaagactttctggcagtcgccgtggccgcaggcagtctgagccagcaaaggaagcttatgtcatttttccccagaatgataagcctcaagtcaagcatgctggcagtgaaggagagctccacccctcatctgagctgcagccagtgtctgcttctggccctcctgaagacctggaggatgctgggcctcccacgttggacccgtcggggacttccataactgaggagatcctagaactgctgaaccagagaggcctcagggactcggggccagccacccacgacattcccaagttccccagagactcccgggtgccagttgaaagcgaacccctcccgttccaatccctgcccagccgagagtcttcagaagaggaggaggaggaggacctggagacagatgaacgcgagccttccccactgcacgtcttagaggggctggaaggttcgagcgcagctgaaattccctgcattcccagccttactgacattcccagtgaagtgcccagccttccagaaattcctgaggctccctgccttccctgtctctctgatatctctggtgtttttgaggtaccctgcctttcacccacatccactgtgcctgacattcccagcttggccaccaccccctcctttccctgtggctcctggctccctggacccctgcaggaggcagcccagcctcaagccaccaggagggaactgttgagtgggagcaatccaggaagactgagtgagtccccctcagaaagcagagaggggcaggaggatgacacagaaggcgtgtcattctcagctgtgcagagggaggctggcacctcggtccaaggattcccggaagaactggaataccgctcttgttcagaaatccggagtgcctggcaagctctggagcaggggcagctggcccggcctggcttcccagaacctctgctcatcctggaggactctgatcttagaggaggcagcaccagcgggaagacaggaatgccacattcagagcggtcagcatcgcgggtgcgagagttggctcggctctacagtgagcgtatccagcagatgcaacgagctgagactagggcatccaccaatgcaccccgccgcagacctcgagtcctggcccaaccccagccatccccttgcccaccccaggaagaggctgaaccaggggccctgcctgcatttggacatgtgcttgtatgtgagctggctttcccactgaactgcacccaggagtctgtccctctgggccctgctgttctggttcaagctgccacacctttgtgtattcaaggagatgacctgagtggccagaatctaaatgtttcagatttgtccaagcaaggccatctgagtagtaactccattccaccgcctgtccctttacctgggcaaagcaacttccagaacatacaggttccctctacatcccttttgcctaagcaagagcctccagatgtccaggtcccaactgcctcaaccttgcctgatacaagccagctccaaagccaagttcccgctgccactccatcagctgggcatagaaactgtgtggagatccaggttcagtccaccacctcccttcctggccaagagtgtcaggcagacactgtggcattgtccaagcaagaaggtcatgaagacagccagaacccaaacaaggccccaggagccgagcaaagagacgtcagcattgatcagggtctagctgttgttggtggccggcctgtcagccctttgccagtgtgcacaagtagccctgaccagcagatcccagccaccaccccactgccattgtcaactgacttcccagacatggagggtcctggtgccttacctctgcccacacaggaaggtcgtccggactgcagcatcccatgcaaccctctaccatctttgtcccaagacgttcaggtgccagcggtcatccctgtgtcccagctgcaaggccttacagacaccagggccacagtgcccctgtcttcccacaagcaggaggacgctccagagtgtctgggtccagagcccagcctcacagacacaccagctcccagactcttatcttcactgggccaacagaacaccacagatggccctgtttcagcagctgccgtgcctttgactgaacaaggatgctctcaggatctgcaaggcctaattacttccccagttcagacaaccatggagttacccaaaccaaggggtttagtctctcgtgttgccacctcagagtctttggacttgaccccaccgcatagcccctcgctctccactcgccagctcctgggccccagtgcagctgccctttcaaggtacctggcagcttcatacatcagccagagcttggctaggcgccagggacctgggggagagggcacggtagcctcccagggtcactggtcctcctctgcccccacatcacgggcaccttcaccaccacctcagccccagcccccagcccctccagccaggaggctcagctatgccaccacagttagtattcaggtaggaggtggtgggcggctacgaccagccaaagctcaggtccggctaaaccaccctgctctcttggcagcccctcacccgggagccgttgggccttcccagggcccaggaggctcctgattaattaa</t>
  </si>
  <si>
    <t>ggcgcgccatgcctgtgtccacctccctccaccaggatggcagccaggagcggccggtgagcctgacctctaccacctcctcgtcgggctcctcctgtgacagtcgcagtgccatggaggagcccagcagctccgaggctcccgccaagaatggggcaggctccctgagaagccggcatctgcccaacagcaacaacaactccagcagctggttgaacgtgaaggggcccctctccccgttcaacagccgggcagcggcagggcctgcacaccacaagctcagctacctgggccgagtggtgcgggagatcgtggagacagagcgcatgtacgtacaggacctgcgcagcatcgtggaggactacctcttgaagatcattgacacacccgggctgctgaagccagaacaggtcagcgccctctttgggaacatagaaaacatctacgcgctgaacagccagctcctcagagacctggacagctgcaatagtgaccccgtggctgtggccagctgctttgtggaaaggagccaagagtttgatatctacactcagtattgcaacaattaccccaactccgtggccgccctgacggaatgcatgcgggacaagcagcaggccaagttctttcgggaccggcaggagctgctacagcactcgctgcccttgggctcctacctgctgaagccagtccagcgcatcctcaagtaccacctgctgctccaggaaattgccaaacattttgatgaagaagaggatggctttgaggtggtggaggatgccattgacaccatgacctgtgtggcctggtacatcaacgacatgaagaggaggcatgagcacgcggtccggctccaggagattcagtcactcctcatcaactggaaggggcccgacctgaccacctacggggagcttgtcctggagggcacattccgcgtgcatcgcgtgcgcaatgaaaggacctttttcctctttgacaaaacactgcttatcaccaagaagcggggcgatcactttgtctacaagggcaacatcccgtgctcctccctgatgctgatcgaaagcaccagagactccctgtgcttcactgtcacccactacaagcacagcaagcagcagtacagcatccaggccaagacagtggaggagaaacggaactggactcaccacatcaagaggctcatcctagagaaccaccatgccaccattccccagaaggccaaggaagccatcttggaaatggattcctattatcccaatcggtaccgctgcagcccagagcggctgaagaaggcttggtcctcccaggatgaggtgtccaccaatgtgcgccaggggcgccggcaatctgagccaaccaaacacctgctcaggcaactcaacgagaaagcccgagcagcaggaatgaagggaaaggggcgcagggagtctgaaagctccaggagcagcagaaggcccagtggccggtctccaaccagtactgagaagcgcatgagcttcgagtccatttcttccctgccagaggttgagccggaccctgaggctgggagtgagcaagaggtattttctgctgtggaagggcccagtgccgaggagacgccttcagacacagaatctccagaagtcctggagacacagcttgatgcccaccagggccttctggggatggaccccccaggtgacatggtggacttcgtggcagctgagagcactgaggaccttaaggccctgagcagcgaggaggaagaagaaatgggaggtgccgcccaggagcctgagagccttctgccaccctccgtgctggaccaggccagcgtcattgcggagcgatttgtcagcagcttctctcggcggagcagcgtggcacaggaggacagcaagtccagtggctttgggagcccgcggctggtcagccggagcagcagcgtgctcagcctggagggcagcgagaagggcctggcccggcatggcagtgccacagactccctcagctgtcagctctccccagaagtggacatcagtgtgggggtggccacagaggacagcccttctgtcaatgggatggagcccccaagcccaggctgcccagtggagcctgaccggtcttcctgcaagaagaaggaatcagcactctccacccgagaccggctgttgctagacaagattaagagctattatgaaaatgcagaacaccatgatgcaggcttcagcgtccgtcgccgggagagcctctcctacatccccaaaggactggtaagaaactccatctccaggttcaacagccttccccggccagacccagagccagtacctccagtggggagcaagagacaggtgggctcccggccgacttcgtgggccctgtttgagctcccaggaccaagccaggcagtcaaaggggacccacctcccatctcagatgctgagttccgcccatcttcagaaattgtgaagatctgggagggaatggagtcttccggagggagccctgggaaggggccaggccagggccaggccaatggctttgacctgcatgagccactcttcatcctggaggagcatgagctgggagccatcacagaggagtcggccactgcctccccggaaagctcctctcccactgaggggcgcagcccggcccacctggcccgggagctgaaagagctggtgaaggagctgagcagcagtacccagggggagctggtggccccactgcacccccgcatcgtgcagctctcccacgtaatggacagccacgtgagcgagcgcgtcaagaacaaggtctaccagctggcccgccagtacagcctccggatcaagagcaacaagccagtgatggccaggccaccactgcagtgggaaaaggtggcccctgagagggatgggaagagccccactgtgccctgtctacaggaagaggctggagagccattaggtggcaaaggtaagaggaagccggtgctgtctctatttgactatgagcagctgatggcccaggagcacagccctcccaagccctcctcggctggggagatgtcaccacagcgtttcttcttcaacccgtctgctgtcagccagaggaccacctcgcctgggggccggccctccgcccggagccccctcagccccacagagaccttcagctggcccgacgtccgtgagctctgctccaagtatgcctcccgcgatgaggcacgccgagcagggggcggccggccccgcggcccacccgtcaacaggagccactcggtgccggagaacatggtagagccacctctgtcgggcagggtgggccgctgccgcagcctgagcaccaagaggggccggggaggcggagaggctgcccaatcccctgggcctctgccccagagcaagccggatggaggcgagaccctgtatgtcactgcagacctcaccctggaggacaaccggcgggtgattgtcatggagaagggaccccttcccagccccactgcagggctggaggagagcagtggccagggaccaagctcaccggtggccctgctggggcaggttcaggacttccagcagtctgcagagtgccagccgaaggaagagggttccagggacccggcagacccgagccagcagggcagagtgagaaaccttagagagaagttccaggccttgaactctgtcggttaatgattaattaa</t>
  </si>
  <si>
    <t>ggcgcgccatggaaaggcccctggagaatggggatgagtccccagactctcagggccatgccaccgactggagatttgctgtgtgcagtttcagggatgcctgggaagaggaggaacctgcttcccagatgcacgttaaggacccaggtcctccaagaccaccagccggggccacccaggatgaggagctacagggcagccccttgtccaggaaattccagttacccccagctgcagatgagtcgggggatgcccagaggggcacagtagaaagctcctcagtcctgtcagaagggccaggcccctctggagtggagagtctcctatgccccatgtcctcccacctcagcttggcacagggtgagagtgacaccccaggggtagggttggtaggggacccaggtccaagcagggcgatgccatctggcttgagccctggggcattggacagcgaccctgtgggccttggagaccctttatcagaaatatcaaagctgctggaggcagcccccagtggatccggcctccctaagcctgctgactgcctcctggcccaagacctctgttgggagctgctggccagtggtatggccaccttgccagggactcgggatgtccaaggccgggcagtgctgcttctgtgtgcccacagcccagcctggcttcagtctgagtgcagcagccaggaactcatccgcctcctgctgtacctgcgaagcatccccaggcccgaagtacaggcactgggactgacagtgctagttgatgcccgaatttgtgctccaagttcttccctcttctctgggctcagccaactacaagaagcagccccaggggccgtgtaccaggtgctgctagtgggaagcacgctgctgaaggaagtgccttccgggctgcagctggagcagttgccttctcagagcctgctgacccacatcccaacggcggggctgcccacttcgctaggaggaggcctgccttactgccaccaggcctggctggatttccgaaggcggctggaagctctactacagaactgccaggcagcttgtgccctgctccagggggccatcgaaagtgtgaaggctgtgccccagcccatggagcctggggaggtcggtcagctgctacagcagacagaggtcctgatgcagcaggtgctagactcgccatggctggcatggctacaatgccaggggggccgggagctgacatggctgaagcaagaggtcccagaggtgaccctgagcccagactacaggacggcaatggacaaggctgacgagctatatgaccgggtggatggattgctgcaccaactgaccctgcagagcaaccagcgaatacaggccctagagttggtccaaacactggaggcccgggaaagcggactgcaccagattgaagtgtggctgcagcaggtgggctggccagcactggaggaggctggggagccctcgctggacatgctgctccaggcccaaggctcttttcaggagctgtaccaggttgcccaggagcaggtcaggcaaggggagaagtttctgcagccgctgactggctgggaggcggctgaactggacccccctggggcacgctttctggccctgcgagcccagctgactgaattctctagggctttggcccagcggtgccagcggctggcggatgctgagaggctgtttcagctcttcagggaggccttgacgtgggctgaggaggggcagcgagtgttggcagagctggagcaggaacgcccgggggttgtgttgcagcagctgcagctgcactggaccaggcaccctgacttgcctcctgcccacttccgaaagatgtgggctctggccacggggctgggctcagaggccatccgccaggagtgccgctgggcctgggcgcggtgccaggacacctggctggccctggaccaaaagcttgaggcttcactgaagctaccaccggtgggcagcacagctagcctgtgtgtcagccaggtccccgctgcacctgcccaccctcccctgaggaaggcctacagcttcgatcggaatctggggcagagtctcagtgaacctgcctgccactgccaccatgcggccactattgctgcctgccgcagaccagaggctggaggaggtgccctgccccaggcatcccctactgtgcctccaccaggcagctctgaccccaggagcctcaacaggctacagctggtgctggcagagatggtggccacggagcgggagtatgtccgggctctagagtacactatggagaactatttccccgagctggatcgccccgatgtgccccagggcctccgcggtcagcgtgcccacctctttggcaacctggagaagctgcgggacttccactgccacttcttcctgcgtgagctggaggcttgcacccggcacccaccacgagtggcctatgccttcctgcgccatagggtgcagtttgggatgtacgcgctctacagcaagaataagcctcgctccgatgccctgatgtcaagctatgggcacaccttcttcaaggacaagcagcaagcactgggggaccacctggacctggcctcctacctgctaaagcccatccagcgcatgggcaagtacgcactgctgctgcaggagctggcacgggcctgcgggggccccacgcaggagctcagtgcgctgcgggaggcccagagccttgtgcacttccagctgcggcacggaaacgacctgctggccatggacgccatccagggctgtgatgttaacctcaaggaacaggggcagctggtgcgacaggatgagtttgtggtgcgcactgggcgccacaagtccgtgcgccgcatcttcctttttgaggagctgctgctcttcagcaagcctcgccatgggcccacaggggttgacacatttgcctacaagcgctccttcaagatggcagaccttggtctcactgagtgctgtgggaacagcaacctgcgcttcgagatctggttccgccgccgcaaggccagggacacctttgtgctgcaggcctccagcctggctatcaagcaggcctggacagctgacatctcccacctgctttggaggcaggccgtccacaacaaggaggtgcgcatggctgagatggtgtccatgggtgtggggaacaaggccttccgagacattgctcccagcgaggaagccatcaacgaccgcaccgtcaactatgtcctgaagtgccgagaagttcgctctcgggcgtccattgccgtagccccgtttgaccatgacagcctctacctgggggcctcgaactcccttcctggagaccctgcctcttgctctgttctggggtccctcaacctgcacctgtacagagacccagctcttctgggtctccgctgtcccctgtatcccagcttcccagaggaagcagcactggaggctgaggcagagctgggcggccagccctctttgactgctgaggactcagagatctcgtcccaatgcccatcagccagtggctccagtggctctgacagcagctgtgtgtcagggcaggccctgggtaggggcctggaggacttaccctgtgtctgattaattaa</t>
  </si>
  <si>
    <t>ggcgcgccatggaagccttgcggaaccccatgcccctgggcagctctgaggaggccctcggggacctggcctgcagctccctgactggagccagcagggacctggggactggggcagtagccagtgggacccaggaggaaacctctggcccccggggagacccccaacagaccccaagtctagagaaggagaggcacacacccagccggacaggtccaggagctgcagggcggactcttcccaggagatctcggtcctgggaaagggcacccagaagctccagaggggcccaggctgcagcctgccacacctcccaccactcagcaggctccaggcctgggggccacctaggaggacaagctgtggggaccccaaactgtgtcccagtagagggtcccggctgcaccaaagaggaagacgttcttgcatcctcagcctgtgtcagcacagacggcggcagcctccattgccacaaccccagcgggccttccgatgtgcctgcccggcagccacaccccgagcaagaagggtggccacccggcacaggagacttccccagccaggtgcccaagcaggtgctggacgtcagtcaggagctgctgcagtccggggtcgtcaccctcccagggacccgagaccgtcatggcagagcagtggtgcaggtccgcaccaggagcctgctctggaccagggaacactcgtcctgtgctgagctgacccgcctgctgctgtacttccatagcatccccaggaaagaggtccgggacctggggctggttgtcctggtggatgcacgcaggagtccagctgcccctgccgtctcccaggccctctcaggattgcagaacaacacatctcctataattcatagtatcttgctgttggtagataaagaatctgcatttaggcctgacaaggatgcaataattcagtgtgaggtcgtgagctccctgaaggccgtgcacaaatttgttgacagctgccagctgaccgcagacctcgacggctcctttccctacagccatggtgactggatctgcttccgtcagaggctggaacacttcgctgcaaactgtgaagaagccatcattttcctacagaattcattctgctccctgaacacccacagaaccccaagaacagcccaggaagtcgccgagttaattgaccagcatgagacgatgatgaagcttgtcctggaagacccactgcttgtgtctctcaggctggaggggggcaccgtcctggcgcggctgaggagagaagagcttggcacagaagacagccgggacaccctggaggccgccacaagcctgtacgaccgagtggatgaggaggtgcacaggctggtcctcacctcgaacaatcgtctccagcagctggagcacctccgggagctggcgtcactcctggaagggaatgaccagcaatcctgccagaaaggactacagctggcgaaggagaacccgcaacgtacagaggaaatggtccaggatttcagaaggggcctgagcgccgtggtcagccaggctgagtgcagggagggagagctggccaggtggacccgctcgtccgagttgtgcgagacggtgagcagctggatggggcccctggacccggaggcttgtccctcctcacccgtggctgagtgtttgaggagctgtcaccaggaggctacctcggtggctgcagaggccttccccggggcaggtgtggcagtgctgaagcctcatgccctggggaaaccgtgggcatcacagcaagacctgtggctgcagtacccccagacccggctccgtctggaagaggccctttctgaggctgccccagaccccagcttaccgccccttgcccagagccccccaaagcatgagcgtgcccaggaggccatgaggaggcaccagaagccaccctcattccccagcacggacagtgggggtggtgcctgggaacctgcccaaccactgtccggcctccctggacgagcgcttctgtgtggacaggacggggagcccctgggcccagggctgtgtgctctgtgggacccactgtccctcctcaggggccttccaggggcaggggccaccacggcccacctggaggacagctctgcctgttcctctgagcccacccagaccctggccagccgccccaggaaacatccccagaagaaaatgataaagaaaacgcaaagtttcgagatacctcagcccgacagtggccccagggactcctgccagccagaccatactagtgtcttcagcaagggcctggaggtaaccagcactgtagccacagagaagaagctcccgctgtggcagcatgccaggagccccccggtcactcagagccggagtctgtcctccccctcggggctccaccctgctgaggaggatgggaggcagcaggtgggcagcagccgactgaggcacatcatggccgagatgatcgccacagagagggagtacattcggtgcttaggatacgtcattgacaactattttccagaaatggaaagaatggacttgccccagggccttcgagggaagcaccacgttattttcggcaacttggagaagctccacgacttccaccagcagcacttcctccgggagctggagcgctgccagcactgccccttggccgtgggccgcagtttcctgagacacgaagagcagtttgggatgtacgtgatctacagcaaaaacaagccgcagtcggatgccctgctcagcagccatggcaacgccttcttcaaggacaagcagcgggagctaggtgacaaaatggacctggcctcctacctgctgcggcccgtgcagcgtgtggccaagtacgcgctgctactccaggacctgctcaaggaggccagctgtggcctggcccaggggcaggagctgggcgagctccgagccgccgaggtcgtggtctgcttccagctgcgtcacggcaatgacctgctggccatggacgccatccgcggctgtgacgtgaatttgaaggaacaggggcagctgagatgccgggatgagtttatcgtttgctgcgggaggaagaagtatctgaggcatgtgttcctctttgaagacctcatcctgtttagcaagacccagaaggtggagggcagccacgacgtctacctgtacaagcagtccttcaagacggccgagatcgggatgacagagaacgtcggggacagtggcttgaggtttgagatttggtttcgcaggcggcagaaatctcaggacacctacattctccaagcaagctcggcagaggtcaagagtgcatggaccgatgtcatagggaggatcctgtggcggcaggcactaaagagcagagaactcagaatccaagaaatggcatccatggggataggcaaccagccattcatggatgtcaagcccagagaccggacccctgactgtgcagtgataagcgacggggctcccaaatgtgcagtgatgagcgaccgggtccccgacagcatcgtcaagggcacagagtcacaaatgagagggtccacagcggtgtcctcctctgaccacgccgcccccttcaagcgaccacactccaccatctcagacagcagcacctcctcttctagcagccagtcctcctccatcctggggtcgctgggcctgcttgtgtcctccagcccagcccacccgggcctatggagccctgcccacagcccctggtcatctgatatcagagcctgcgtcgaggaagatgagccagagccagaactagagacgggcacccaggctgcagtgtgtgagggggctcctgctgtgctgctgagccgcacacgccaggcctaatgattaattaa</t>
  </si>
  <si>
    <t>gtacaaaaaagcagaagggccgtcaaggcccaccatggggacaggaccgggcgtctccgggcgccgagcagcagccaggcccagctctgagctaccctccccagactcccagctcctctgggtcgggggtcatgcccacagcagcgacagccaggtatgccatcatgccgactgccagcagctgcaccaccgggggcctctcaacctgtgtgagacctgtgatagcaagttccacagcaccctgcactacgacggccatgtccgatttgacctgcccccgcaaggctctgtcctggcccggaatgtttccacccggtcctgtcctccccgcaccagccctgctgcagacctggaggaagaagaggaaggctgtaccgacggaaaaggggaccggaagagcgccggcctaaaaatctctaagaagaaagcaaggaggagacacacagatgacccgagcaaggagtgcttcaccttgaaattcgacctgaacgtggacatcgaaacagaaattgtgccagccatgaagaagaagtcactgggggaagtactgctgcctgtgtttgagaggaagggcatcgcactgggcaaggtagacatctacctggatcaatccaacacacccctgtccctcaccttcgaggcctacaggtttggaggacactacctgcgggtcaaagccaagccgggggacgagggcaaggtggagcagggagtgaaggattccaagtccctcagtctgccagccctgaggcccagtggggctgggccccctgtgtcggaacgtgtggaccctcagagccgccgagagagcagtctggacatcttggcccctggccgccgtcgcaagaacatgtctgaattcctgggagaggcaggcatccctggacacgagccccccgcaccttccagctgttctctgcccgttggcagcagtgggggtaccagcagtggcatcaatgagagctggaagaaccgggcagccagtcgcttcagcggcttcttcagctccagcccgagcaccagtgcctttagccgggaggtagacaagatggaacagctggagagcaagctccatgcctacagccttttcgggctaccccggatgcccaggaggctgcgctttgaccatgactcctgggaggaggaagaggaagatgacgaggaggatgaagagagttcaggcctgaggctggaggacagctggagggagctcactgatgggcatgagaagctgaccaggcggcagtgccaccaacaggaggcagtgtgggaactcctccacacagaagtctcctacatccggaaactacgtgtgatcaccaacctgttcctgtgttgtcttcttaacctacaagagtcggggctcctgtgtgaggttgaggctgagcgcttgttcagcaacattcctgagatcgccaagctacaccgcggcttgtggggcagcgtgatggtgccagtgctggagaaggcgcggcggacgcgggcgctgctgcagcccagcgactttctcaaaggcttcaagatgttcggctcactcttcaagccatacatccgatactgtatggaagaggagggctgcatggagtacatgcgcggcctgctgcgtgacaacgatctgttccgggcatacgtcacgtgggcggagaagcaccagcagtgccagcggctgaagctgagtgacatgctggccaagccccaccagcggctcaccaaatacccactgctgctcaagtcggtgctaaggaagacagatgatccccgcaccaaggaagccatcgtcaccatgatcagctcggtggaacgcttcatacaccacgtgaacacgtgcatgcggcagcggcaggagcggcagcgcctggcgggggtggtgagccggatcgatgcctacgaggttgtggagggcagcaacgacgaggtggataagctcctgaaggaatttctacatctggacctgacagcacccatgcctggaacctcccctgaagagacccgacagctgctgctggaagggagcctgaggatgaaggaggggaaagatagcaagatggacgtgtactgcttcctcttcactgacctactcttggtgaccaaggccgtgaagaaagcagagaggacgaaggtcatcaggccaccgctactggtggacaagattgtgtgccgggaacttcgggaccctggttccttcctcctcatctacctgaatgaattccacagtgctgtgggggcctacactttccaggccagcagccaggccttgtgccggagctgggtggacactatttacaacgcacagaaccagctgcagcagctgcgtgcacagctcagtgcacaggagcacccaggcagccagcatctgcagagcctggaagaggaggaagatgagcaggaggaggagggtgaagagagcggtacctcagctgccagctcccccaccatccttcgaaagagcagcaacagcctcgactctgagcactgcacctcagatggctccacggagaccctggccatggttgtggtagagcctggggcgacactgtcttccccggagtttgaaggcggtcccgtcagctcccagtcggacgaatcttctctcagtaacactgcttcctctgtcactcccaccagcgagctgctgcccctgggccctgtggatggccgctcctgctccatggactccgcctatggcaccctgtcccccacttcccttcaagactttgtggctccacaccccgtggtcgagccagcgcctgtgcctcagaccccctctccccagccctcaccccgcctccgccgtcgcactcctgtccagctgctccctcgcccgccccgcctgctcaagtccaaatcggaggctagcctcttacaattactgtcaggaaccccagccgcccgtggcgtgcctccggctcccagccgcagcctgtcagaactgtgcctgatctctgtggcccctggggttaggactcagcgcccccttcaggaaggtggtcctggctggaatggtccagggatgtgtgacccctgccatggccctcagttgtcagaatctgagaacagacctagccacatgacggggggacctgcagattctgcccgaaggagatgcagagagatgccttctgggactatgtccagggtgcagtctgagcctccctcaggggtctctgctcaacacaggaagctgaccctggcccagctctaccggatcaggaccaccctgctgctcaactccacgctcactgcctcggaggtgtgataaggcctcatgggcccagctttcttgtac</t>
  </si>
  <si>
    <t>ggcgcgccatgaaggcctttggtcctccacatgagggccccctccaaggactcgtggcctcccgcattgagacttatgggggccggcatcgagcctctgctcagagcactgctggcagactctatccccgaggataccctgtgctggatcccagtcgccgacgcctccagcagtatgtcccctttgccaggggttctggccaggcccgaggcctgtcacccatgagactgcgagatccagagcccgagaagaggcacgggggccatgtgggggctggcctgcttcactcccccaaactcaaggaactcaccaaggcccatgagctggaggtgaggctgcacactttcagcatgtttgggatgccccggctgccccctgaggaccggcggcactgggagataggagagggtggcgacagtggcctgaccatcgagaagtcctggagggagctggtgcctgggcacaaggagatgagccaggagctctgccaccaacaggaggccctgtgggagctcctgaccaccgagctgatctacgtgagaaagctcaagatcatgactgatctgctagccgccggcctgctgaacctgcagcgagtgggactgctgatggaagtgtcagctgagaccctgtttggaaatgtccccagcctgattcgaacccaccggagcttttgggatgaggtgctggggcccaccctggaggagactcgggcctcgggccagcctctggaccccattggtctgcaaagtggcttcctgacgtttggccagcggttccacccctatgtccagtactgcctccgagtgaagcagaccatggcttacgcccgagaacagcaagaaactaaccctctcttccatgccttcgtgcagtggtgtgagaagcacaagcgctctgggaggcagatgctctgtgacttgcttatcaagccccaccagcgcatcaccaagtacccactgctgctccatgctgtgctcaagaggagccccgaggcacgagcccaagaggccctgaatgccatgattgaagccgtggagtcattcctgcgacacatcaatgggcaggtccgccagggcgaagagcaagagagcttggcggctgcagcacaacgcatcgggccctacgaggtgctggagccacccagtgatgaggtggagaagaacctgcgcccattctccaccctggacctgacgtcccccatgctgggggttgcatctgagcacaccagacagctgctgctggaggggcctgtgcgagtgaaggagggacgagaagggaagctggacgtgtacctgttcctcttctctgatgtgctccttgtgaccaagccccagcgcaaggcggacaaagccaaggtcatccgaccccctctcatgctggagaagctcgtgtgccaacccctgcgagaccccaacagcttcctgctgatccacctcactgaattccagtgtgtctccagcgccctccttgtgcactgtcccagtcctacagaccgtgcccagtggctggagaagacccagcaggcccaggccgccctacagaagctgaaggcagaggagtatgttcaacagaagagggagctcctgaccctctatcgggaccaggacagggagtcccccagcaccaggccctccacgccttccctggagggctctcagagcagcgcagaggggaggactcctgagttctcgaccattatcccccacctggtggtgacagaagacacagatgaagatgctccccttgtgccagatgatacctcagactctggctacggcactttgatcccaggcacccccacggggtcccgctccccactgagccgtctacgccaaagagcccttcggcgggaccctcgcctcaccttctccaccctggaactccgggacatccctctgcgtccccaccctcccgacccccaagctcctcaacgccgaagcgcccccgaactgccggaaggaatcctaaaaggaggcagtcttccccaggaagacccaccaacctggtctgaggaagaagatggggcctccgagcgagggaatgtggtggtggaaacactccacagggcccggcttcggggccagcttccctcctccccaacccatgctgactctgccggggaaagcccctgggagtcctcaggggaggaggaagaagaggggcctctgttcctgaaagctggccacacatccctgcgcccaatgcgggctgaggacatgctcagagagatccgggaggagctggccagccaaaggattgagggggccgaggagccccgggacagcaggccacggaagctgactcgggcccagctgcagaggatgcgggggccccacatcattcagctggacacccctctgtccgcatcagaggtatgattaattaa</t>
  </si>
  <si>
    <t>ggcgcgccatgatctttatgaatacactaagatatctgcaaactcatgaatatctcctagatgtggatttatggagactttttgcaaacctggaggagttaactcagacaagccttggttttgtgaacagtctctttggcatcatcaaggactatgtagacgcttctgagatttcctcatcactggattttatttccgtgctcacaaagtatttccgagggagtctctgtcagagccaccagacctactgcctgaactattcagctgctatcttttatcttgagagcctgaggcagagagatgactttggaatttatttaaaatggtgtgagcagaatgaacaatgcagacggctccacgtgccagagctgctagtggccccactacagaggctcactcgatatccgttgttgctgaagaatatctggaaaaggagcatggactctgctgagaaaatcatgatctactccatcaaggaaaaggtggaaaagtccatccgggaccttgaaggaaaagtgaagtggctggacaatttccaaaaatttagatatctacaggagattatagtgtggccaccgctttgggatagagataaaaggtttttcattccagagtgtttgaaacacatttttaaagaacacatggcagaaaacatcttgtcaccaaccagcagacaccttctctatgaaggaaaattaactcttgcagaaagcacaagattcctagatgtttatctgtttctcttcaatgatttcctcttagttacgaaaactaagtgcaacaaaaagaaacttggaggctcagaccctggtttaatgtgtccttctcttactcctgagttgcaagcagtaataaaagagggtggttcgtgtacagtactcgatcagcctattccactagatagattggtagtcaaaagtattgaaccactccatgtgtcagtctttgggctgagaaatgcttttcttatacaacacgaaaacagatatcgacagtgtatagcagcattcttattacaagcccaaacggaaaacatcaaaaaaacatggatggcacaaataacaactgcaatttcttgctttaccaagagtcaggaaaccaagaaaatatctttattcacattgcccgcagaatcctctgaaattttaattaa</t>
  </si>
  <si>
    <t>ggcgcgccatggaggcgcccagcggcagcgagcccggcggcgacggggccggggactgcgcccacccggacccccgggcccctggcgccgcggcgcccagctccggccccggcccgtgcgcggccgcccgggagtccgagcgccagctgcgcctccgcctctgcgtcctcaacgagatcttgggcaccgagagggactacgtgggcaccttgcgcttcttgcagtcggcattcctgcatcgcatccggcagaacgtggccgactcagtggagaagggcctcacggaggagaatgtcaaggtcctgttctcgaacatcgaagacatcctggaagttcataaggatttcttggccgccttggagtattgtttacacccggagccgcagtctcagcatgaacttgggaatgttttcttaaaattcaaggacaagttctgcgtgtacgaggagtattgcagcaaccatgagaaagccctgaggctgctggtggagctgaacaagatccctaccgtgcgcgccttccttttgagctgcatgcttctgggaggccggaagaccacggacatccctttggaaggctacctgttgtctccgatccagaggatctgcaagtacccgctcctccttaaggagctggccaagaggactcccggcaagcacccagaccaccccgcggtccagagtgccctgcaggccatgaagaccgtttgctccaacatcaatgagaccaagcggcagatggagaagctggaagccctggagcagctgcagtcccacatcgaaggctgggagggttccaacctcacagacatctgcactcagctcctcctgcaagggactttgttaaagatctctgcgggcaacatccaggaaagggccttcttcctcttcgacaaccttctcgtctactgcaagcggaaatccagggtcaccgggagcaagaagtccaccaagaggaccaaatccatcaacggctccctctacatcttcaggggtcgaatcaacactgaagtcatggaggtggagaatgtggaagatgggacagcggattaccatagcaacggctataccgtcaccaacggctggaagatccacaacacggccaagaataagtggtttgtctgcatggccaagacggcagaggagaagcagaagtggctggatgccatcatccgcgagcgggagcagcgcgagagcctgaagctgggcatggagcgtgatgcctacgtcatgattgcggagaagggggagaagctgtaccacatgatgatgaacaagaaggtgaacctcatcaaggaccgccggagaaagctgagcactgtccccaagtgctttcttggcaatgagttcgttgcctggctcctagaaattggtgaaatcagcaagacggaagaaggagtcaacttgggccaagccctgttggagaatggcatcatccaccatgtttccgacaagcaccagttcaagaatgagcaggtgatgtatcgcttccgctacgacgatggcacctacaaggcccgaagtgagctggaggacatcatgtccaagggtgtgaggctttactgccgtcttcacagcctctacaccccggtgatcaaagaccgtgattaccacctgaagacctacaagtcagtgcttcccgggagcaagctggtggactggctgctggctcagggagactgccagactcgggaggaggcagtggcgctcggcgtgggtctgtgcaacaatggcttcatgcaccacgtgctggagaagagcgagttcagggatgagtcccagtacttccgctttcatgctgacgaggagatggaggggaccagcagcaagaacaaacagcttcgcaacgacttcaagctggtggagaacattctggccaagcgcctgctgatcctgccccaggaggaggactatggctttgacatcgaggagaagaacaaggctgtggtggtgaagtccgtccagaggggctcgctggctgaggtggctggcctgcaggtggggaggaagatctactccatcaatgaggacctggtgttcctgcggccgttttcagaggtggagtccatcctcaaccagtccttctgctcccgccgccctctgcgcctcctggtggccacgaaggccaaagagatcatcaaaatccccgaccagccggacacactgtgcttccagattcgtggagctgccccaccgtacgtctatgctgtggggagaggctctgaggccatggctgcagggctctgtgctggtcagtgcattctgaaggtcaatggcagcaacgtgatgaacgatggtgcccctgaggtcctggagcacttccaggcattccggagtcggcgcgaagaggccctgggcctgtaccagtggatctaccacacccatgaggatgcccaggaagcacgagccagtcaggaggcctccactgaggaccccagtggcgagcaggcccaggaggaagaccaggctgattcagccttcccactgctgtccctgggtccccggctgagcctgtgtgaggacagccccatggtcaccctgactgtggacaacgtgcacctggaacacggcgtggtgtatgagtatgtgagcacggcaggcgtcaggtgccatgtgctggagaagatcgtggagccccgcggctgcttcggcctcaccgccaagatcctcgaggcctttgctgccaatgacagcgtcttcgtggagaactgcaggcggctcatggccctgagcagcgccatcgtgaccatgccccactttgagttccgcaacatctgtgacaccaagctggagagcattggccagaggattgcctgctaccaggagtttgcagcccaactgaagagcagggtcagcccacccttcaaacaagcccccctggagccccacccgctgtgtggcctggacttctgccccaccaattgccacatcaacctcatggaagtgtcctaccccaagaccaccccctcagtgggcaggtccttcagcatccgctttggacgcaaaccctccctcatcggccttgacccggagcaaggccacctgaaccccatgtcgtacacccagcactgcatcaccaccatggctgctccctcctggaagtgcttgcctgctgcagagggtgatccccaaggccagggtctccatgatggcagcttcgggccagccagtgggacccttggtcaggaagaccggggcctcagcttcctactcaagcaggaggaccgtgagatccaggatgcctacctgcagctcttcaccaagctggatgtggccctgaaggagatgaagcaatatgtcacccagatcaacaggctgctgtccaccatcacagagcccacctcgggtgggtcctgcgacgcatccttggctgaggaggcctcctccctgcccctggtcagtgaagagagcgagatggacaggagtgaccatgggggcatcaagaaggtgtgcttcaaggtggccgaggaggaccaggaggactcaggccacgacaccatgagttatcgcgactcctacagcgagtgtaacagcaatcgagactcggtcctgtcctacaccagcgtgagaagtaacagctcctacttgggcagcgacgagatggggtctggagatgagctgccctgtgacatgcggatcccatctgacaagcaggacaagcttcatggctgcctggagcacctctttaaccaggtggactccatcaatgctctcctcaaggggccagtcatgagccgggctttcgaagagaccaagcatttccctatgaaccacagcttacaagagtttaaacagaaagaagagtgtacaatccgtggccggagcctgatccagattagcatccaggaggacccctggaacctccccaactccatcaagaccctggtggacaacattcagagatatgtggaagatgggaagaaccagctgctcctggccttgctgaagtgcacagacacggagctgcagctgcgcagagacgcgatcttctgccaggccctggtggccgccgtgtgcaccttctccgagcagctgctggcggccctgggctaccgctacaacaacaatggcgagtacgaggagagcagccgcgacgccagccgcaagtggctggagcaggtggcggccacgggcgtcctgctgcactgccagtccctgctctcgccagccacagtgaaggaggaacggaccatgctggaggacatctgggtgacgctgtcagagctggacaatgtcaccttctcctttaagcagctggacgagaactatgtggccaacaccaacgtcttctaccacattgagggcagccggcaggcgctgaaggtcatcttctacctcgacagctaccacttctccaagctgccctcccgcctggagggtggggccagcctgaggctgcacacagcgctgttcacgaaagtgctggagaacgtggaggggctgccttctccaggcagccaggccgcggaggatttgcagcaggacatcaacgcgcagtccctggagaaagttcagcagtattaccgcaaactcagggcattttacctggagcggtctaacctgcccacggatgccagcaccacggcggtaaagatagaccagctgatccgccccatcaatgccctggatgagctctgccgcctcatgaagtcctttgtccacccaaagcctggtgctgctgggagtgtgggcgccggcctcatccccatctcctcggagctctgctaccgcctgggggcctgccagatggtcatgtgtggcacaggcatgcagaggagcaccctgagcgtgtccctggagcaggcggccatcttggcacggagccacgggttgctgcccaagtgcatcatgcaggccacggacatcatgcggaagcagggcccaagggtggagattctggccaaaaacctgcgagtcaaggaccagatgccccagggtgctccgcgcctctaccgcctctgccagccgccggtggatggggacctcttaattaa</t>
  </si>
  <si>
    <t>ggcgcgccatgagcgaggacagccgcggagacagccgcgccgagagcgccaaggacctggagaagcagcttcgcctgcgcgtgtgcgtgctcagcgagctccagaagaccgagcgggactatgtgggcacgctggagttcctggtgtcggcattcttacacagaatgaaccagtgtgcagcatcaaaagttgacaaaaatgtgacagaagaaacagtgaagatgttgttctcaaacattgaagacatccttgcagtacataaagaattcttaaaagtcgtggaagaatgcttacaccccgaacctaatgctcaacaagaagtgggaacctgctttcttcactttaaagacaagtttcgtatctatgatgaatattgtagtaaccatgagaaggcacaaaaattacttcttgaactcaacaaaataagaacaatccggacatttcttttgaactgcatgctgcttggaggacggaagaacacagatgttcccttggaaggatatttagtaacaccaatacaaagaatatgcaagtaccctcttattttgaaggagttgctgaagcggactccacggaaacacagtgactatgcagcagtgatggaagccctccaagccatgaaagctgtctgttccaacataaacgaggccaagagacagatggagaagttagaagttttagaggaatggcagtctcacattgaaggctgggaggggtccaacatcactgacacctgcactgaaatgctaatgtgtggagtcttactgaaaatttcttctggaaatattcaagaacgggtgttttttcttttcgataatcttttggtgtactgcaaaagaaaacacagacggttgaagaacagcaaggcatctacagatggacatcggtacctttttcgtggccggatcaacacggaggtgatggaagtggagaatgtggatgatggcaccgctgatttccatagcagtggacacattgttgttaatggatggaagatacataacacagcaaaaaataaatggtttgtttgtatggcaaaaacacctgaagagaagcatgaatggtttgaagctattttgaaagaaagagaacggcggaaaggtttaaaattaggaatggagcaagatacctgggtcatgatctctgaacagggtgagaaactttataaaatgatgtgcagacaaggaaatctgatcaaagaccgaaagagaaaactgactacgttccctaaatgctttcttggaagcgaatttgtgtcatggctgttggaaattggagagattcacaggcctgaggaaggcgtgcacttgggacaagcattattagaaaatggaatcattcaccatgttactgataaacatcaattcaaaccagaacagatgttatatagatttcgctatgatgatggaacattttatccaagaaatgagatgcaggacgtgatttcaaagggtgtaagattatattgtcgtcttcatagcctttttactccagtgataagagataaagattaccatttaaggacctacaaatctgtggtcatggccaacaaactgatagactggttaattgcacagggagattgccgcaccagagaagaggcaatgatatttggcgttggactctgtgacaatggatttatgcaccatgtccttgaaaaaagcgaattcaaagatgaacccctacttttccgttttttttcggatgaggaaatggagggatcaaatatgaaacatcgacttatgaaacatgacttaaaagttgtggaaaatgttatagctaagtcattattgattaaatccaatgaaggcagctatggctttggattagaagacaaaaataaagttccaataataaagttggtagaaaagggatctaatgctgagatggctggcatggaagtcgggaaaaagatttttgctattaatggtgacctagtttttatgagacctttcaatgaagtggattgcttcctgaaatcgtgtttaaacagcagaaaacctctaagagttcttgtgagcacaaagccaagagagacagtgaaaattccagattcagctgatggacttggcttccagatccggggatttggcccttctgttgtgcatgctgtaggaagaggaactgtggctgcagcagctggtcttcaccctggacagtgcattatcaaggtgaatggaatcaatgtcagcaaagagacacatgccagtgtcattgcacacgttacagcctgcaggaagtacaggcggccaacgaagcaagattccatacaatgggtttataatagcattgagagtgctcaagaagaccttcaaaaatctcactccaagccccctggagatgaagcaggggatgcttttgactgtaaagtagaagaggttattgacaaattcaacactatggccatcattgatgggaagaaggagcatgtgagtctgacagtggacaatgtccacctggaatatggtgtcgtgtatgagtacgacagcacagctggcatcaagtgcaatgtggtggaaaagatgattgagcccaaaggtttcttcagcttaactgccaagattcttgaagccctggctaaaagtgatgagcattttgtacaaaactgtaccagcctaaattctctaaatgaagtgattcctactgaccttcagagtaaattcagtgccctttgcagtgaaagaattgaacacctatgtcagagaatatccagttataaaaagttttctcgtgtactgaagaatagggcctggcctacttttaaacaggccaaatctaaaatctccccactgcacagcagtgatttctgccctaccaactgccatgtcaatgtgatggaagtttcttatcccaaaacatcaacctctttgggaagtgcatttggtgttcagttggatagcaggaagcataattctcatgataaagaaaacaaatcttcggagcaagggaaactgagccctatggtgtacattcagcacaccatcacaaccatggcggccccttcaggtctgtctctgggacagcaggatggccatggtctcaggtatctgctaaaagaagaagacttagaaacccaagacatctatcagaaactgctgggcaaacttcagactgcactgaaagaggtggagatgtgtgtttgtcaaatagatgaccttctgtcttcaataacatattctcctaaattagaacgtaagacatcagagggcataataccaacagacagtgacaatgagaagggagaaagaaacagcaaacgggtatgttttaatgtagcaggagatgaacaggaagattctggtcatgacaccatcagcaacagagactcttacagtgactgcaacagcaataggaattccatcgcctccttcaccagcatctgcagcagccagtgcagctcgtatttccacagtgatgaaatggactcaggtgatgaacttcccttaagtgttcgcatatctcatgataaacaggacaagatacatagttgccttgagcatcttttcagccaggtggattcaattaccaatctcctaaaagggcaggctgttgtgagggcctttgaccaaaccaagtatctcactccaggccgaggattgcaagaatttcaacaggaaatggaaccaaagctgagttgtccaaaaaggctacggcttcatatcaagcaagatccttggaatcttcccagcagcgtccggactcttgctcagaacatcaggaaatttgttgaagaggtaaagtgtaggctactcctggctcttcttgaatattcagatagtgagacacagctccgtagagacatggttttctgccagactcttgtggccactgtctgtgccttctctgagcagctcatggcggccttgaaccagatgtttgacaacagcaaggaaaatgagatggaaacttgggaagccagcaggaggtggctggaccagatagcgaatgcaggtgttctttttcactttcagtcacttctgtcaccaaacttgacagatgaacaagccatgttagaagatacactggttgcactatttgatttggaaaaggtttccttttactttaaaccatcagaagaggaacctctggttgcaaatgttcctcttacatatcaagcagaaggaagtcggcaagctctgaaagtttacttctacattgatagttatcattttgaacaacttcctcaacggctgaaaaatggaggagggtttaaaattcatcctgttctttttgcacaagcactagagagcatggaaggatattattacagagacaatgtttctgtggaagaatttcaagctcagataaatgcagcctcactggaaaaggtcaaacagtacaaccagaagctcagggcattctacttggacaagtcaaattcaccaccaaactccacatccaaagctgcctatgtagataagctaatgaggcctctcaacgctttggatgaactttaccgactggtagcctcgtttatcagatccaagcgcacagctgcctgtgcaaacacagcttgcagtgcttctggggttggactgctgtcagtttcctcggagctgtgcaacaggctgggcgcctgccacatcatcatgtgcagcagcggtgtgcatcggtgcaccctgagcgtgacgctggagcaagccatcattctggccagaagccacggactgccacctcgttacatcatgcaggctacagatgtgatgcggaagcagggagcaagagttcagaacacagcgaagaatttgggagtcagagaccggactccacagtctgcaccaaggctgtacaagctgtgcgagccacctcccccagctggagaagaattaattaa</t>
  </si>
  <si>
    <t>ggcgcgccatggatactatgatgctgaatgtgcggaatctgtttgagcagcttgtgcgccgggtggagattctcagtgaaggaaatgaagtccaatttatccagttggcgaaggactttgaggatttccgtaaaaagtggcagaggactgaccatgagctggggaaatacaaggatcttttgatgaaagcagagactgagcgaagtgctctggatgttaagctgaagcatgcacgtaatcaggtggatgtagagatcaaacggagacagagagctgaggctgactgcgaaaagctggaacgacagattcagctgattcgagagatgctcatgtgtgacacatctggcagcattcaactaagcgaggagcaaaaatcagctctggcttttctcaacagaggccaaccatccagcagcaatgctgggaacaaaagactatcaaccattgatgaatctggttccattttatcagatatcagctttgacaagactgatgaatcactggattgggactcttctttggtgaagactttcaaactgaagaagagagaaaagaggcgctctactagccgacagtttgttgatggtccccctggacctgtaaagaaaactcgttccattggctctgcagtagaccaggggaatgaatccatagttgcaaaaactacagtgactgttcccaatgatggcgggcccatcgaagctgtgtccactattgagactgtgccatattggaccaggagccgaaggaaaacaggtactttacaaccttggaacagtgactccaccctgaacagcaggcagctggagccaagaactgagacagacagtgtgggcacgccacagagtaatggagggatgcgcctgcatgactttgtttctaagacggttattaaacctgaatcctgtgttccatgtggaaagcggataaaatttggcaaattatctctgaagtgtcgagactgtcgtgtggtctctcatccagaatgtcgggaccgctgtccccttccctgcattcctaccctgataggaacacctgtcaagattggagagggaatgctggcagactttgtgtcccagacttctccaatgatcccctccattgttgtgcattgtgtaaatgagattgagcaaagaggtctgactgagacaggcctgtataggatctctggctgtgaccgcacagtaaaagagctgaaagagaaattcctcagagtgaaaactgtacccctcctcagcaaagtggatgatatccatgctatctgtagccttctaaaagactttcttcgaaacctcaaagaacctcttctgacctttcgccttaacagagcctttatggaagcagcagaaatcacagatgaagacaacagcatagctgccatgtaccaagctgttggtgaactgccccaggccaacagggacacattagctttcctcatgattcacttgcagagagtggctcagagtccacatactaaaatggatgttgccaatctggctaaagtctttggccctacaatagtggcccatgctgtgcccaatccagacccagtgacaatgttacaggacatcaagcgtcaacccaaggtggttgagcgcctgctttccttgcctctggagtattggagtcagttcatgatggtggagcaagagaacattgaccccctacatgtcattgaaaactcaaatgccttttcaacaccacagacaccagatattaaagtgagtttactgggacctgtgaccactcctgaacatcagcttctcaagactccttcatctagttccctgtcacagagagtccgttccaccctcaccaagaacactcctagatttgggagcaaaagcaagtctgccactaacctaggacgacaaggcaacttttttgcttctccaatgctcaagttaattaa</t>
  </si>
  <si>
    <t>ggcgcgccatgactgagtgcttcctgccccccaccagcagccccagtgaacaccgcagggtggagcatggcagcgggcttacccggacccccagctctgaagagatcagccctactaagtttcctggattgtaccgcactggcgagccctcacctccccatgacatcctccatgagcctcctgatgtagtgtctgatgatgagaaagatcatgggaagaaaaaagggaaatttaagaaaaaggaaaagaggactgaaggctatgcagcctttcaggaagatagctctggagatgaggcagaaagtccttctaaaatgaagaggtccaagggaatccatgttttcaagaagcccagcttttctaaaaagaaggaaaaggattttaaaataaaagagaaacccaaagaagaaaagcataaagaagaaaagcacaaagaagaaaaacataaagagaagaagtcaaaagacttgacagcagctgatgttgttaaacagtggaaggaaaagaagaaaaagaaaaagccaattcaggagccagaggtgcctcagattgatgttccaaatctcaaacccatttttggaattcctttggctgatgcagtagagaggaccatgatgtatgatggcattcggctgccagccgttttccgtgaatgtatagattacgtagagaagtatggcatgaagtgtgaaggcatctacagagtatcaggaattaaatcaaaggtggatgagctaaaagcagcctatgaccgggaggagtctacaaacttggaagactatgagcctaacactgtagccagtttgctgaagcagtatttgcgagaccttccagagaatttgcttaccaaagagcttatgcccagatttgaagaggcttgtgggaggaccacggagactgagaaagtgcaggaattccagcgtttactcaaagaactgccagaatgtaactatcttctgatttcttggctcattgtgcacatggaccatgtcattgcaaaggaactggaaacaaaaatgaatatacagaacatttctatagtgctcagcccaactgtgcagatcagcaatcgagtcctgtatgtgtttttcacacatgtgcaagaactctttggaaatgtggtactaaagcaagtgatgaaacctctgcgatggtctaacatggccacgatgcccacgctgccagagacccaggcgggcatcaaggaggagatcaggagacaggagtttcttttgaattgtttacatcgagatctgcagggtgggataaaggatttgtctaaagaagaaagattatgggaagtacaaagaattttgacagccctcaaaagaaaactgagagaagctaaaagacaggagtgtgaaaccaagattgcacaagagatagccagtctttcaaaagaggatgtttccaaagaagagatgaatgaaaatgaagaagttataaatattctccttgctcaggagaatgagatcctgactgaacaggaggagctcctggccatggagcagtttctgcgccggcagattgcctcagaaaaagaagagattgaacgcctcagagctgagattgctgaaattcagagtcgccagcagcacggccgaagtgagactgaggagtactcctccgagagcgagagcgagagtgaggatgaggaggagctgcagatcattctggaagacttacagagacagaacgaagagctggaaataaagaacaatcatttgaatcaagcaattcatgaggagcgcgaggccatcatcgagctgcgcgtgcagctgcggctgctccagatgcagcgagccaaggccgagcagcaggcgcaggaggacgaggagcctgagtggcgcgggggtgccgtccagccgcccagagacggcgtccttgagccaaaagcagctaaagagcagccaaaggcaggcaaggagccggcaaagccatcgcccagcagggataggaaggagacgtccatcttaattaa</t>
  </si>
  <si>
    <t>ggcgcgccatgcagaaggggatccggctgaatgatggccacgtcgcgtccctgggactgctggcgcgcaaggacggcacgcgcaaaggctacctgagcaagcggagttcggacaacacaaaatggcaaaccaagtggttcgcgctgctgcagaacctgctcttctacttcgagagcgactcgagctcgcggccctcggggctttacctgctggagggctgcgtctgcgaccgcgcgccctcccccaagccggcgctgtcggccaaggagccgctggagaaacagcattacttcacggtgaacttcagccatgagaaccagaaagccttggagctgaggacagaggacgcaaaagattgtgacgaatgggtggcagccattgcacatgccagctacaggaccctcgccacagagcatgaggcattaatgcagaaatacctgcacctgctgcagatcgtggagacagagaagaccgtggccaagcagcttcggcagcagatcgaggatggggagatcgagatcgagcggctgaaggcagagatcacatccctgctcaaggacaatgagcgcatccagtccacccagactgtcgcccccaacgatgaagacagcgacatcaagaaaattaagaaggtgcagagcttcctgcggggctggctgtgccggcggaagtggaagaccatcatccaggactacatccggtcaccccatgctgacagcatgcgcaagaggaaccaggtggtgttcagcatgctggaggctgaggctgagtacgtgcagcagctgcacatccttgtcaacaatttcctgcgcccgctgcggatggccgccagctccaagaagcctcccatcacacacgacgacgtcagcagcatcttcctgaacagcgaaaccatcatgtttttacatcagatcttttaccaaggcctgaaggcccgcatctccagctggcccacgctggtcctggctgacctatttgacatcctgctgcccatgctcaacatctaccaagagttcgtccgcaaccaccagtacagcctgcagatcctggcccactgcaagcagaaccgtgacttcgacaagctgctgaagcactacgaggccaagcctgactgcgaggagaggacgctggagaccttcctcacctaccccatgttccagatccccaggtacatcctgaccctccatgagctcctggcccacacgcctcatgagcacgttgagcgcaacagcctggactacgccaagtccaaactggaggagctgtccagaataatgcacgatgaagtaagtgagacggagaacatccggaaaaacctggccatcgagcgcatgatcatcgaaggctgtgagatcctcctggacaccagccagacctttgtgagacaaggttccctcattcaggtgcccatgtctgaaaagggcaagatcaccagggggcgcctggggtctctctccctaaagaaagagggcgagcgacagtgcttcctgttttctaagcatctgattatctgtaccagaggctctggagggaagcttcacttgaccaagaatggagtcatatccctcattgactgcactttattggaggagccagaaagcacggaggaggaagccaaaggatccggccaagacatagatcacttggattttaaaatcggggtggagccaaaggattccccgccctttacagtcatcctagtggcctcgtccagacaggagaaggcagcgtggaccagtgacatcagccagtgtgtggataacatccgatgcaatgggctcatgatgaacgcatttgaagaaaattccaaggtcactgtgccgcagatgatcaagtccgacgcctccttatattgtgatgatgttgacattcgcttcagcaaaaccatgaactcctgcaaagtgctgcagatccgctacgccagtgtggagcggctgctggagaggctgacggacctgcgcttcctgagcatcgacttcctcaacaccttcctgcactcctaccgcgtcttcaccaccgccatcgtggtcctggacaagctcattaccatctacaagaagcctatcagtgccattcctgccaggtcgctggagctcctgtttgccagtggccagaacaataagctcctgtacggtgaaccccccaagtccccgcgcgccacccgcaagttctcctcgccgccacctctgtccatcaccaagacatcgtcaccgagccgccggcggaagctctccctgaacatccccatcatcactggcggcaaggccctggacctggccgccctcagctgcaactccaatggctacaccagcatgtactcggccatgtcacccttcagcaaggccacgctggacaccagcaagctctatgtgtccagcagcttcaccaacaagattccagatgagggcgatacgacccctgagaagcccgaagacccttcagcgctcagcaagcagagctcagaagtctccatgagagaggagtcagatattgatcaaaaccagagtgatgatggtgatactgaaacatcaccaactaaatctccaacaacacccaaatcagtcaaaaacaaaaattcttcagagttcccactcttttcctataacaatggagtcgtcatgacctcctgtcgtgaactggacaataaccgcagtgccttgtcggccgcctctgcctttgccatagcaaccgccggggccaacgagggcaccccaaacaaggagaagtaccggaggatgtccttagccagtgcagggtttcccccagaccagaggaatggagacaaggagtttgtgatccgcagagcagccaccaatcgtgtcttgaacgtgctccgccactgggtgtccaagcactctcaggactttgagaccaacgatgagctcaaatgcaaggtgatcggcttcctggaagaagtcatgcacgacccggagctcctgacccaggagcggaaggctgcagccaacatcatcaggactctgacccaggaggacccaggtgacaaccagatcacgctggaggagatcacgcagatggctgaaggcgtgaaggctgagccctttgaaaaccactcagccctggagatcgcggagcagctgaccctgctagatcacctcgtcttcaagaagattccttatgaggagttcttcggacaaggatggatgaaactggaaaagaatgaaaggaccccttatatcatgaaaaccactaagcacttcaatgacatcagtaacttgattgcttcagaaatcatccgcaacgaggacatcaacgccagggtgagcgccatcgagaagtgggtggccgtagctgacatatgccgctgcctccacaactacaatgccgtactggagatcacctcgtccatgaaccgcagtgcaatcttccggctcaaaaagacgtggctcaaagtctctaagcaggtgcgggcaggaggctggcaccactgcctccctggggctggattggggctggggcaggaagacccgtgggctggccactgggcatccacaagtgggcaaaggactgggctgaggtctaacactcccaggttgattaa</t>
  </si>
  <si>
    <t>ggcgcgccatgcagaagagcgtgcgctacaacgaggggcacgccctgtacctggcctttctggcgcgcaaggagggcaccaagcgcggcttcctgagtaagaagacggccgaggcgagccgctggcacgagaagtggttcgccctctaccagaatgtgctcttctacttcgagggcgagcagagctgccgcccggcgggcatgtacctcctggagggctgcagctgcgaacgaacgcccgcgccacccagggccggcgccgggcagggaggcgtccgagacgcgctggacaagcagtattactttactgttctttttggccatgaaggtcagaagccactggagctgcgctgtgaggaggagcaggatggtaaagagtggatggaggccattcaccaagccagttatgcagacattttgattgagagggaagtattaatgcagaagtacattcatctagttcagatcgtagagacagaaaaaattgcagctaaccaactccgacatcaacttgaagatcaagacacagaaatcgaaaggcttaaatcagagattattgctcttaataaaaccaaagaacgaatgcgaccttaccaaagcaaccaagaagacgaagatccagacatcaagaagattaaaaaggttcagagcttcatgcgaggatggttgtgcagaaggaaatggaagaccatcgtgcaggattacatttgttctcctcatgctgaaagtatgaggaagagaaaccagattgtgttcaccatggtggaggcagagtcagagtacgttcaccagctctacatcctggtcaatggctttctccggcccctgcgtatggccgccagctccaagaagccccccatcagccacgacgacgtcagcagtatttttcttaacagtgaaacaatcatgtttcttcatgaaatatttcatcaaggactaaaggcaaggatagcaaactggcccactttaattttagctgatctgtttgatattttgctccccatgctgaacatttatcaagaatttgtgcgtaatcaccagtacagcctgcaagttctcgccaattgtaagcaaaacagagattttgacaaactcttaaaacagtatgaagccaatccagcctgtgaggggaggatgctggagacattcttgacctatcccatgtttcagatccccagatatatcatcacactccatgagctccttgctcacacaccccatgagcatgtggaaaggaaaagcctggagtttgccaaatcaaagctagaggaactatccagagtaatgcacgatgaagtcagcgacactgaaaacataaggaaaaaccttgccatcgaaagaatgatcgtggagggctgtgacatcttgctggacaccagccaaacgttcatccgccaaggttctcttattcaagtaccttccgttgagagggggaaacttagtaaagttcgcctgggttcgttgtctttgaaaaaggaaggagagagacaatgcttcttatttacaaaacactttttaatatgtacaagaagttcaggagggaagcttcatctgctcaagacaggtggggttctgtctctaatagactgcacattgattgaggagccagatgcaagcgatgatgactctaaaggttctgggcaagtgtttgggcacctggattttaaaatagtggtggagcctcctgacgctgccgccttcactgttgtcttgttagcaccctcacgccaggagaaagctgcctggatgagtgacatcagtcagtgtgtggacaatatacgatgtaatggtttaatgactatagtgtttgaagagaattccaaagtcactgtgccacatatgattaagtctgatgcccgtcttcataaagacgacactgacatttgcttcagtaaaacactcaactcctgcaaagtgccccagatccgttatgccagcgtggagcgcctcttggaacgactgacagacttgcggtttcttagtattgatttcctcaacacctttctgcacacctatcgtattttcactactgccgctgtggtgctggggaaactctccgacatatacaagaggcctttcacctccatccctgtcaggtcattggaattgttttttgctaccagccagaacaacagaggtgaacatttggtggatggcaaatccccacgtctgtgtcgcaaattctcttccccgccaccactggctgtgtccagaacatcttccccagtgagggccagaaagctgtctttgacttctcccttgaactcaaagataggagcattggacctgacaacttccagcagtcccaccaccaccacccagagtcccgctgcgtctccaccaccacacactggtcagataccactggatctcagcagaggcctctcttctccagagcaaagcccgggaacggtagaagagaatgtcgataacccacgcgtggatctgtgtaacaagctaaaacgaagtattcaaaaagcagtcctagagtctgcaccagcggaccgagcaggagtggaaagctcccctgcagcggacaccacagaactttcaccttgcagatccccctcaactcctcggcacctccgctatcgacagcctggaggacagacggcggacaatgcccactgctctgtttcaccggcttctgcttttgcaatagccacagctgcagcaggacatgggagtccaccaggctttaacaacaccgagagaacatgtgataaagagtttattatacggagaacggctaccaatcgagttctgaacgtcctccgtcactgggtctcaaagcacgcacaggatttcgaactcaacaatgaactaaagatgaatgtcctaaatttgctagaagaagttttgcgagacccagaccttcttccccaagaaaggaaagccgccgcgaatatcctcagggccctttcacaagatgaccaagatgacatccacctaaaattagaggatataattcaaatgactgactgcatgaaggccgaatgctttgagtccttgtcggccatggagctggcagaacagatcaccctcctggaccatgtcattttcagaagcattccctacgaggagtttcttgggcaggggtggatgaagctggataaaaacgaaagaactccttacattatgaaaaccagccaacacttcaatgacatgagtaacctggtggcctcccagataatgaactatgctgatgtcagctcccgtgccaacgccatcgagaaatgggtggcagtggcggacatctgccgatgcctgcacaactacaacggcgtgctggagatcacctcggccttaaacagaagtgccatctacaggctgaagaaaacctgggccaaggtctctaagcagacaaaagctctaatggacaaacttcaaaagactgtttcctctgaaggaagatttaaaaatcttagagaaacccttaaaaattgtaaccctcctgcagttccttatcttgggatgtacttgacagacctggcatttattgaagaaggaacaccaaactttactgaggaaggccttgtcaatttctccaaaatgagaatgatatcacacatcatcagagagatacgccagttccagcagacttcctacagaatagatcatcagccaaaggtcgcacagtacttgcttgacaaagaccttatcatagatgaagatacgctatatgagctgtcactaaaaattgaacctcgactccctgcttgattaattaa</t>
  </si>
  <si>
    <t>ggcgcgccatgatgaagaggcagctgcaccgcatgcggcagctggcccagacgggcagcttgggacgcaccccggagaccgctgagttcctgggtgaggacctgctgcaggtagaacagcggctggagccggccaagcgggcagcccacaacatccacaagcggctgcaggcctgtctgcagggccagagcggggcagacatggacaagcgggtgaagaagcttcccctcatggctctgtccaccacgatggctgagagcttcaaggagctggaccctgattccagcatggggaaggccttggagatgagctgtgccatccagaatcagctggcccgcatcctggccgagtttgagatgaccctggagagggacgtcctgcagccactcagcaggctgagtgaggaggagctgccagccatcctcaaacacaagaaaagcctccagaagctcgtgtccgactggaacacactcaagagcaggctcagtcaggcaaccaagaattcaggcagcagtcaaggcctaggaggcagcccgggtagtcacagccatacgaccatggccaacaaggtggagacgctgaaggaggaggaggaggagctgaagaggaaagtggagcaatgcagggacgagtacttggctgacctgtaccactttgttaccaaggaggactcctatgccaactacttcattcgtctcctggagattcaggccgattaccatcgcaggtcactgagctcgctggacacagccctggctgagctgagggagaaccacggccaagcagaccactccccttcgatgacagccacccacttccccagggtgtatggggtgtcgctggcaacccacctgcaagagctgggccgggagattgccctgcccatcgaggcctgcgtcatgatgctgctttctgagggcatgaaggaagagggtctcttccgtctggctgctggggcctcggtgctgaagcgtctcaagcagacaatggcctcggacccccacagcctggaggagttctgctccgacccgcacgctgtggcaggtgccctcaagtcctatctgcgggagctgccagagcctctgatgaccttcgacctctatgatgactggatgagggcagccagcctgaaggagccaggggcccggctgcaggccctccaagaggtgtgcagccgcctaccccccgagaacctcagcaacctcaggtacctgatgaagttcctggcacggctggccgaggagcaggaggtgaacaagatgacacccagcaacatcgccatagtcctgggacccaacttgctgtggccacctgagaaagaaggggaccaggcccagctggatgcagcctccgtgtcttccatccaggtggtgggcgtcgtcgaggcgctgatccagagcgcagacaccctcttccctggagacatcaacttcaacgtgtcaggcctcttctcagctgttaccctccaggacacagtcagtgacaggctggcctctgaggaacttccgtccactgccgtgcccaccccagccaccaccccggctccggctccggctccagctccagctccggccccagccttggcttcagcagctaccaaggaaaggacagagtctgaggtgcctcccagaccagcctcccccaaggtcaccaggagtcccccggagacagctgccccagtggaggacatggctcggaggaccaagcgcccggcgccagcccggcccaccatgccgcccccccaggtctccggctcccgctcctcccctccagccccgcccttgccccctggctctggcagccctgggaccccccaagccctgccccgacgtctggttggcagcagcctccgagcccccacagtgccacccccgttaccccccacaccccctcagcctgcccggcgccaaagccggcgttcaccagcctcccccagcccggcctccccaggtccagcctcccccagcccagtctctttgagtaaccctgcacaggtggacctgggggctgccacagcagagggaggagcccctgaggctatcagtggggtccccactcccccagctatccccccgcagccccgccccaggagccttgcctcagagaccaactgattaattaa</t>
  </si>
  <si>
    <t>gtacaaaaaagcagaagggccgtcaaggcccaccatgcaggcgcagcagctgccctacgagtttttcagcgaagagaacgcgcccaagtggcggggactactggtgcctgcgctgaaaaaggtccaggggcaagttcatcctactctcgagtctaatgatgatgctcttcagtatgttgaagaattaattttgcaattattaaatatgctatgccaagctcagccccgaagtgcttcagatgtagaggaacgtgttcaaaaaagtttccctcatccaattgataaatgggcaatagctgatgcccaatcagctattgaaaagaggaagcgaagaaaccctttatctctcccagtagaaaaaattcatcctttattaaaggaggtcctaggttataaaattgaccaccaggtttctgtttacatagtagcagtcttagaatacatttctgcagacattttaaagctggttgggaattatgtaagaaatatacggcattatgaaattacaaaacaagatattaaagtggcaatgtgtgctgacaaggtattgatggatatgtttcatcaagatgtagaagatattaatatattatctttaactgacgaagagccttccacctcaggagaacaaacttactatgatttggtaaaagcatttatggcagaaattcgacaatatataagggaactaaatctaattataaaagtttttagagagccctttgtctccaattcaaaattgttttcagctaatgatgtagaaaatatatttagtcgcatagtagatatacatgaacttagtgtaaagttactgggccatatagaagatacagtagaaatgacagatgaaggcagtccccatccactagtaggaagctgctttgaagacttagcagaggaactggcatttgatccatatgaatcgtatgctcgagatattttgcgacctggttttcatgatcgtttccttagtcagttatcaaagcctggggcagcactttatttgcagtcaataggcgaaggtttcaaagaagctgttcaatatgttttacccaggctgcttctggcccctgtttaccactgtctccattactttgaacttttgaagcagttagaagaaaaaagtgaagatcaagaagacaaggaatgtttaaaacaagcaataacagctttgcttaatgttcagagtggtatggaaaaaatatgttctaaaagtcttgcaaaacgaagactgagtgaatctgcatgtcggttttatagtcagcaaatgaaggggaaacaactagcaatcaagaagatgaacgagattcagaagaatattgatggttgggagggaaaagacattggacagtgttgtaatgaatttataatggaaggaactcttacacgtgtaggagccaaacatgagagacacatatttctctttgatggcttaatgatttgctgtaaatcaaatcatgggcagccaagacttcctggtgctagcaatgcagaatatcgtcttaaagaaaagttttttatgcgaaaggtacaaattaatgataaagatgacaccaatgaatacaagcatgcttttgaaataattttaaaagatgaaaatagtgttatattttctgccaagtcagctgaagagaaaaacaattggatggcagcattgatatctttacagtaccggagtacactggaaaggatgcttgatgtaacaatgctacaggaagagaaagaggagcagatgaggctgcctagtgctgatgtttatagatttgcagagcctgactctgaagagaatattatatttgaagagaacatgcagcccaaggctggaattccaattatcaaagcaggaactgttattaaacttatagagaggcttacgtaccatatgtacgcagatcccaattttgttcggacatttcttacaacatacagatccttttgcaaacctcaagaactactgagtcttataatagaaaggtttgaaattccagagcctgagccaacagaagctgatcgcatagctatagagaatggagatcaacccttgagtgcagaactgaaaagatttagaaaagaatatatacagcctgtgcaactgcgagtattaaatgtatgtcggcactgggtagagcaccacttctatgattttgaaagagatgcatatcttttgcaacgaatggaagaatttattggaacagtaagaggtaaagcaatgaaaaaatgggttgaatccatcactaaaataatccaaaggaaaaaaattgcaagagacaatggaccaggtcataatattacatttcagagttcacctcccacagttgagtggcatataagcagacctgggcacatagagacttttgacctgctcaccttacacccaatagaaattgctcgacaactcactttacttgaatcagatctataccgagctgtacagccatcagaattagttggaagtgtgtggacaaaagaagacaaagaaattaactctcctaatcttctgaaaatgattcgacataccaccaacctcactctgtggtttgagaaatgtattgtagaaactgaaaatttagaagaaagagtagctgtggtgagtcgaattattgagattctacaagtctttcaagagttgaacaactttaatggtgtccttgaggttgtcagtgctatgaattcatcacctgtttacagactagaccacacatttgagcaaataccaagtcgccagaagaaaattttagaagaagctcatgaattgagtgaagatcactataagaaatatttggcaaaactcaggtctattaatccaccatgtgtgcctttctttggaatttatctcactaatatcttgaaaacagaagaaggcaaccctgaggtcctaaaaagacatggaaaagagcttataaactttagcaaaaggaggaaagtagcagaaataacaggagagatccagcagtaccaaaatcagccttactgtttacgagtagaatcagatatcaaaaggttctttgaaaacttgaatccgatgggaaatagcatggagaaggaatttacagattatcttttcaacaaatccctagaaatagaaccacgaaaccctaagcctctcccaagatttccaaaaaaatatagctatcccctaaaatctcctggtgttcgtccatcaaacccaagaccaggtaccatgaggcatcccacacctctgcagcaggagccaaggaaaattagttatagtaggatccctgaaagtgaaacagaaagtacagcatctgcaccaaattctccaagaacaccgttaacacctccgcctgcttctggtgcttccagtaccacagatgtttgcagtgtatttgattccgatcattcgagcccttttcactcaagcaatgataccgtctttatccaagttactctgccccatggcccaagatctgcttctgtatcatctataagtttaaccaaaggcactgatgaagtgcctgtccctcctcctgttcctccacgaagacgaccagaatctgccccagcagaatcttcaccatctaagattatgtctaagcatttggacagtcccccagccattcctcctaggcaacccacatcaaaagcctattcaccacgatattcaatatcagaccggacctctatctcagaccctcctgaaagccctcccttattaccaccacgagaacctgtgaggacacctgatgttttctcaagctcaccactacatctccaacctccccctttgggcaaaaaaagtgaccatggcaatgccttcttcccaaacagcccttccccctttacaccacctcctcctcaaacaccttctcctcacggcacaagaaggcatctgccatcaccaccattgacacaagaagtggaccttcattccattgctgggccgcctgttcctccacgacaaagcacttctcaacatatccctaaactccctccaaaaacttacaaaagggagcacacacacccatccatgcacagagatggaccaccactgttggagaatgcccattcttcctcaggcctcatgggcccagctttcttgtac</t>
  </si>
  <si>
    <t>ggcgcgccatgcagcaggcgccgcagccttacgagttcttcagcgaggagaacagtccgaaatggcggggactgttggtctcggccctgcggaaggttcaggaacaagtgcatcccactctctcagctaatgaagagtctctctattatattgaagagctgatttttcagctgcttaataaattatgcatggcccagccaaggactgttcaagatgtagaggagcgagttcagaagacctttcctcacccaattgataaatgggccattgctgatgcacaatctgctatagaaaaacgaaaacgaagaaatcctcttttactgcctgtggacaaaatccatccttcgttgaaggaagtattagggtacaaagtggactaccatgtatccctatatattgtggctgtactagagtatatctcagctgatattttaaaattggctggtaattatgtttttaatatccggcattatgaaatatctcagcaggacattaaagtgtcaatgtgtgcggataaggttttgatggacatgtttgatcaggatgacataggtttggtttctctctgtgaagatgaacctagttcttctggtgaattaaactactatgatcttgtcagaactgaaatcgcagaagaaagacagtatctacgggaattaaatatgatcataaaagtgtttcgagaagcctttctttctgatagaaagctgttcaaaccttctgatatcgaaaagatttttagtaacatttcagatatacatgaattgactgtgaaacttttaggtttgattgaagacacagttgaaatgactgatgaaagcagtcctcatcccttagctggcagctgttttgaagatttggcagaagagcaagcatttgatccttatgaaacattatcacaggacattctttcaccagagtttcatgaacatttcaataaattgatggccagacctgcagttgctctacactttcagtccattgctgatggttttaaagaggcagttcgttatgtccttccacgtcttatgctggtgccagtgtatcactgttggcactactttgagttactaaagcaattgaaagcatgtagtgaagaacaagaagacagagaatgtttgaaccaagctattactgctctcatgaatctccaaggtagcatggaccgaatttacaagcagtattcacctagacgtcgacctggagatcctgtttgccctttttatagtcaccaattaagaagcaaacacctggctatcaaaaaaatgaatgaaattcagaaaaatatcgatggatgggaaggcaaagatattggacagtgttgtaatgaattcattatggagggaccattgacaagaatcggtgccaaacatgaacggcatatttttctgtttgatggcttaatgatcagttgtaaacctaatcatggccagactcggcttccaggttacagtagtgcagaatacaggttaaaagaaaaatttgtcatgaggaaaatacaaatttgtgataaagaagatacttgtgagcacaagcatgcatttgaattagtatccaaagatgagaacagcataatatttgctgctaagtctgctgaagaaaaaaacaactggatggcagcccttatttctcttcattatcgtagtactctagatcgaatgttagattcagtattattgaaagaagaaaatgagcaaccactgagattaccaagtcctgaagtatatcgttttgtagtaaaagactctgaggaaaacattgtttttgaagacaacttgcaaagtagaagtggcatccccattattaaaggaggaactgtagtgaaattaattgaaaggttaacatatcatatgtatgcagatcccaattttgttcgtacttttcttaccacatatcgttcattttgtaaaccacaggaattgctgagcttactgattgaacggtttgaaattccagagccagaacctactgacgcagacaaattggcaatagagaaaggcgagcagccaatcagtgcagaccttaaaagatttcgcaaggaatatgtccaaccagtacaacttaggatcttaaatgtatttcggcattgggttgaacatcatttttatgactttgaaagagacttggaattgcttgaaagactagaatccttcatttcaagtgtaagagggaaagctatgaaaaaatgggtagagtcaattgctaagatcatcaggaggaagaagcaagctcaggcaaacggagtaagccataatattacctttgaaagtccacctccaccaattgaatggcatatcagcaaaccaggacagtttgaaacatttgatctcatgacacttcatccaatagaaattgcacgtcagctgacacttttggagtctgatctttacaggaaagttcaaccgtctgaacttgtagggagtgtgtggaccaaagaagataaagaaataaattctccaaatttattaaaaatgattcgccataccacaaatctcaccctctggtttgaaaaatgcattgtggaagcagaaaattttgaagaacgggtggcagtactaagtagaattatagaaattctgcaagtttttcaagatttgaataatttcaatggcgtattggagatagtcagtgcagtaaattcagtgtcagtatacagactagaccatacctttgaggcactgcaggaaaggaaaaggaaaattttggacgaagctgtggaattaagtcaagatcactttaaaaaatacctagtaaaacttaagtcaatcaatccaccttgtgtgcctttttttggaatatatttaacaaatattctgaagaccgaagaagggaataatgattttttaaaaaagaaagggaaagatttaatcaatttcagtaagaggaggaaagtagctgaaattactggagaaattcagcagtatcagaatcagccttactgtttacggatagaaccagatatgaggagattctttgaaaaccttaaccccatgggaagtgcatctgaaaaagagtttacagattatttgttcaacaagtcactagaaattgaacctcgaaactgcaaacagccacctcgatttcctaggaaatcaactttttccttaaaatctcctggaataaggcctaacacaggccgacatggctctacctcaggtactttacgaggtcacccaacaccattagaaagagaaccatgtaaaataagctttagtcggattgctgaaactgagctggaatcaacagtgtcagcaccaacctctccaaatacaccatctactccaccagtatctgcttcttcagaccttagtgtatttttagatgtggatctcaacagctcctgtggcagcaatagcatctttgctccagtgcttttgccacattcaaagtctttctttagttcatgtggtagtttacataaactaagtgaagagcccctgattcctcctcctcttcctcctcgaaaaaagtttgatcatgatgcttcaaattccaagggaaatatgaaatctgatgatgatcctcctgctattccaccgagacagcctcctcctccaaaggtaaaacccagagttcctgttcctactggtgcatttgatgggcctctgcatagtccacctccgccaccaccaagagatcctcttcctgatacccctccaccagttccccttcggcctccagaacactttataaactgtccatttaatcttcagccacctccactggggcatcttcacagagattcagactggctcagagacattagtacgtgtccaaattcgccaagcactcctcctagcacaccctctccaagggtaccgcgtcgatgctatgtgctcagttctagtcagaataatcttgctcatcctccagctccccctgttccaccaaggcagaattcaagccctcatctgccaaaactgccaccaaagacttacaaacgggagctttcgcaccccccattgtacagactgcctttgctagaaaatgcagaaactccccaagttttaattaa</t>
  </si>
  <si>
    <t>ggcgcgccatgacttctgccagccctgaagaccagaatgctccagtgggctgccccaaaggagcccggagaaggcgccccatttccgtgataggtggggtcagcttgtatgggaccaaccagacggaggaactggacaatcttctgacccaaccggcttccaggccgcccatgcctgctcaccaggtgccaccctacaaggctgtgtcggcccggttccggcccttcacattctcccagagcacccccattgggttggaccgtgtgggacgccggcggcagatgagagcatccaacgtttcttcagatggaggtactgagccctctgccttagtggatgacaacggtagtgaggaggacttcagctatgaagacctctgccaggccagccctcggtacctgcagcccggcggggagcagctggccatcaatgagctgatcagtgatggcaacgtggtctgcgcagaagccctgtgggaccatgtgaccatggatgaccaggaactgggcttcaaagccggggatgtcatccaggttctggaagcctccaacaaggactggtggtggggccgcagtgaagataaggaagcctggttccccgcgagcttcgtcagattgcgagtgaatcaggaagagctgtcggaaaactccagcagcacccccagtgaggagcaggacgaggaggccagccagagccgccacagacactgtgagaacaagcagcagatgcggaccaacgtcatccgggagatcatggacaccgagcgggtgtacatcaaacacctcagggacatctgtgagggctatatccgacagtgccgcaagcacacaggaatgttcaccgttgcgcagctagccactatttttggaaacattgaagatatttacaaattccaaagaaagtttctgaaagaccttgagaaacagtacaacaaagaggaacctcacttaagtgaaataggatcttgctttcttcaaaatcaagagggctttgccatctattccgagtactgcaacaaccacccgggcgcctgcctggagctcgccaacctcatgaagcagggcaagtacagacatttctttgaagcctgccgcctgctgcagcagatgattgacatcgccatcgacgggttcctgctcacaccagtgcagaagatctgcaaatacccgctgcagctggccgagctgctcaagtataccacacaggaacacggtgattacagcaacataaaggcagcatatgaggccatgaagaatgtggcctgtctgatcaacgagcgcaagcgcaagctggagagcatcgacaagatagctcgctggcaggtgtctatcgtgggctgggagggactggatatcttagaccgaagctcagaattgattcattctggggagctgaccaaaatcactaagcaaggcaaaagccagcagcggacgttcttcctgtttgaccaccagctggtgtcctgcaagaaggacctgctgcgcagggacatgctgtactacaagggccggctggacatggatgagatggagcttgtggacctgggggatgggcgcgacaaggactgcaacctcagcgtgaaaaatgccttcaagctcgtcagtaggaccacagacgaggtttatttgttttgtgccaaaaaacaagaagacaaggcgaggtggctgcaggcctgtgcagatgaaaggaggcgggtgcaagaggacaaggagatgggaatggaaatttcagaaaaccagaagaaacttgccatgttaaatgctcaaaaggcaggacatggaaagtcaaaaggctacaacaggtgccctgtggccccaccgcaccagggcctgcaccccatccaccagcgccacatcactatgcccacaagcgtcccccagcagcaggtctttggcctggcggaacccaagaggaagtcctcgctcttctggcacaccttcaacaggctcacccccttccggaaatgattaattaa</t>
  </si>
  <si>
    <t>ggcgcgccatgtccaccccgagccgattcaagaaggacaaagagatcatagccgagtatgaaagtcaagtcaaagaaattcgagctcaactggtagaacaacaaaaatgcctggagcagcaaacggagatgcgagttcagcttctccaggatctgcaagatttcttccgaaaaaaagctgaaattgagacggaatattcccggaatctagagaagttagcagaaaggttcatggcaaaaacaagaagcactaaggatcatcaacaatacaagaaagaccagaacctgttgtctccagtgaactgctggtatttgctcctgaaccaagtaaggagagaaagcaaagaccatgcaaccttgagtgacatctatctgaacaatgtgattatgcggttcatgcagataagtgaggattctaccaggatgtttaaaaagagcaaagagattgcattccaacttcatgaggatttaatgaaggttcttaatgagctttatacggtgatgaaaacataccatatgtatcatgcagagagcatcagtgcagagagcaagctgaaagaggccgaaaaacaagaggaaaagcaaattgggagatctggtgatccagtcttccatattcgactagaggagagacatcaacggcgaagctctgtaaagaaaattgaaaaaatgaaagaaaaaagacaagcaaaatattcagaaaataagctaaaatcaattaaggcacggaacgaatatctcctaacacttgaagccaccaatgcctcagttttcaagtactatattcatgatctttctgatttaattgattgctgtgatcttggctaccatgcaagtctgaacagagccctaagaacatatctgtctgcggagtacaaccttgaaacctccagacatgagggcttagacattattgagaatgcagttgataatttagagcccaggagcgataagcagagattcatggagatgtaccctgctgcgttctgtccaccaatgaagtttgagtttcagtctcacatgggtgatgaggtgtgccaggtcagtgcccagcagccagtccaggcagagctcatgctcaggtaccaacagttgcagtcccgccttgccacgctcaaaatcgagaatgaagaggttaagaaaacgactgaagccaccttgcagacgatacaagatatggtcaccatcgaggactatgatgtttctgaatgcttccagcacagtcgttccacagaatctgtgaagtccactgtctctgaaacctacctgagtaaacccagcatcgccaagagaagagccaaccagcaggaaactgaacagttctacttcatgaaactcagagaatatttggaaggcagtaatctcatcacaaaacttcaagccaaacatgacttgctgcagaggaccctgggagaaggtcatagagctgaatatatgactacaaggcctccaaatgttccccctaagccccagaaacacaggaagtccaggccccgctcacagtataatactaagttgtttaatggggatttggaaacattcgtcaaggactcaggacaggttattcccctcattgtggaaagctgtattcggttcatcaatctctatggtcttcagcatcaggggattttcagagtgtctggttcccaggtggaagtcaatgatattaaaaattcatttgagagaggtgaaaatcctttggctgatgaccagagtaaccatgatattaactcagttgctggcgttctgaagctctatttccgtgggctggaaaaccccctctttcctaaggaaagatttaacgatctgatttcttgtatcagaatagataatctctatgagagggcgcttcacatccgcaaactcctcctgactttgcccaggtcggtccttatagtgatgaggtacctctttgccttcctcaatcatctatcacagtacagcgatgagaatatgatggacccttataacctggccatttgctttggcccaacattgatgcctgtcccagaaatacaggatcaagtgtcttgccaggcacatgtgaatgaaattatcaaaaccatcatcatccaccatgagactattttcccagatgctaaagagctggatggccctgtttatgagaaatgtatggctggagatgactattgcgacagcccatacagtgagcacggtacattggaggaagtggaccaagatgctggtacagagccccacacaagtgaagatgaatgtgagccaatagaagcaatagccaagtttgactatgttgggcggtccgccagagaactatccttcaagaagggtgcctccctgctgctgtatcaccgtgcatctgaggactggtgggaaggcaggcacaacgggattgacgggctggtgcctcaccagtatatagtggtgcaggatatggatgatacgttttcagacactctgagccaaaaagccgacagtgaggccagcagtgggccagtcacggaagacaagtcctcatccaaggacatgaactccccgacagaccgtcatcctgacggctatttagccaggcaacgaaaaagaggagagccaccccctccagtaaggcgtcctggcaggaccagtgatggccattgcccgctccaccctccacatgccctttctaactcctcagttgacctagggtccccaagccttgccagtcacccccggggcctgctgcagaaccgtggcctcaacaatgacagtcctgagcggaggcgcaggcctggccatggcagcctgaccaacatcagccggcacgactccctcaagaagatcgacagccctcccattagaaggtccacgtcatcagggcaatacacgggcttcaatgaccacaagccactggacccagagacaattgctcaggatattgaagaaacgatgaacacagctttgaatgaactccgagaactggagagacagagcacagcaaagcatgcccctgatgtggtgctggataccctggagcaagtgaaaaactctcccacccctgccacttccacggaatctctcagccctttgcacaacgttgccctcaggagctccgagcctcagattcgacgtagcacgagctcctccagtgacacaatgagtactttcaagcctatggtggcacccagaatgggcgtgcagctgaagcctccagcccttaggccaaaacctgctgttcttccaaaaacaaatcctaccataggacctgccccacctccccagggtccaacagacaagtcatgcacaatgttaattaa</t>
  </si>
  <si>
    <t>gtacaaaaaagcagaagggccgtcaaggcccaccatgacgtctccagccaaattcaaaaaggataaggagatcatcgcagagtacgatactcaggtcaaagagattagggctcagctcacagagcagatgaaatgcctagatcagcaatgtgagctccgggtgcagctgttgcaggacctgcaggacttcttccgcaagaaggctgagattgaaatggactactctcgaaacctggagaagctagccgagcgctttctagccaagacacgaagcaccaaggaccagcaatttaagaaggaccagaatgttctttctccagtcaactgctggaacctcctcttaaaccaagtgaagcgggagagcagggatcataccaccctgagtgacatctacctgaataatataattcctcgatttgttcaagtcagcgaggactcaggaagactctttaaaaagagtaaagaagttggccagcaactccaagatgatttgatgaaagtcctgaacgagctttactcggtcatgaagacatatcacatgtacaatgccgacagcatcagtgctcagagcaaactgaaggaagcagagaaacaagaagagaagcaaattggcaaatcagtaaagcaagaggaccggcagacccctcgctcccctgactccacagccaatgtccgcattgaggagaagcatgtccggaggagctcagtgaagaagattgagaagatgaaggagaagcgacaagccaagtacacagaaaataagctgaaggccattaaagcccggaatgagtatttattggctttggaggcaaccaatgcatctgtcttcaagtactatatccatgacctgtctgatattattgatcaatgttgtgacctaggctaccatgctagcctgaaccgggctctacgcactttcctatctgctgaattaaatctggaacagtcaaaacatgaaggtctggatgctattgaaaatgcagtagaaaacctagatgccaccagtgacaagcaacggctcatggagatgtacaacaatgttttttgcccccctatgaaatttgaattccagccccacatgggagatatggcctctcaactctgtgcccagcagcctgtccagagtgagctggtgcagagatgccaacagctgcagtctcgcttatccactttgaagattgagaatgaagaggtgaaaaagacaatggaggccaccctgcagaccattcaagacattgtgactgttgaggattttgatgtatctgactgcttccagtatagcaattccatggagtctgtcaaatcaactgtctctgaaacattcatgagcaagcccagcattgctaagaggagagcgaaccagcaagagacggaacagttttatttcacgaaaatgaaggagtacttggagggtaggaacctcatcacaaagctacaagccaagcatgacctcctgcagaaaaccctgggagaaagtcagcggacagactgtagtcttgccaggcctccttgctccactccagcccctacaaagcaaatcctcttttttccactcttgtttatcctccataacttgtatggttttgaccttgacatacttttcaaagattccagccaagcaattcctctggtggtagaaagctgcatccggtttattagcagacatggcctacaacatgagggaattttccgggtttctggatcacaagtagaagtgaacgacataaaaaacgcctttgagagaggagaggatcccctggctggggaccagaatgaccatgacatggactctatagctggtgtcctcaagctttacttccggggcctggaacacccgctcttccctaaagacatcttccatgacttgattgcctgtgtcacaatggacaacctgcaagagagagctgtgcatatccggaaagtccttctggtcctgcccaagcccactctgattatcatgagatatctctttgccttcctcaatcacttatcacagttcagtgaagagaacatgatggacccctacaaccttgccatctgcttcgggccctcactgatgtcagtgccagagggccacgaccaggtgtcctgtcaagcccacgtgaatgagctgatcaaaaccatcatcatccaacatgagaacattttcccaaaccccagggagctggagggtcccatctacagcagaggaggaagcatggaggattactgtgacagcactcatggagagactacctctgctgaagactccacccaggacgttacagcggagcaccacacaagcgatgatgaatgtgagcccatagaagccattgccaagtttgactacgtaggccggacagcccgagaactgtctttcaagaagggagcatccctgctgctctaccagcgagcttctgatgactggtgggagggccggcacaacggtatagatggactcatcccccatcagtacatcgtagtccaagacaccgaggacggtgtcgtggagaggtccagccccaagtctgagattgaggtcatgtctgagccacctgaagaaaaggtgacagccagaacgggggccagctgtcccactaatcacatttttttcaatatttacaagtctgtgttaattatgcgtctacaatcacaaggagcgagtatgccagaaagaaaagctggagatgacagccatgggctgggcagttctctgactgactcctcctccctgggggtgggggctagctgccgtccatcctcccagcccatcatgagccagaatctccccaaggaagggccagataagtgttccatcagcggccatggcagcctcaactctatcagccgccactcatccttgaagaaccggatggacagtccgcagatccggaagaccgctacggcaggaaggtcaaaaagtttcaataaccatcggcccatggaccctgaagtcattgcacaggatattgaagcaacaatgaactctgccctgaatgagcttcaagagctagagcggcagagcagtgctaagcacacacctgatgtggttctggacaccttggaaccactcaagacctccccggtggtagcccccacatctgagccctccagccctctgcacacccagctcctcaaggaccctgagcctgccttccagcgcagcgctagtactgctggggacattgcctgcgccttccggcctgtaaagtctgtcaagatggctgctccagtcaaaccaccagccacacggcccaagccaactgtcttccccaaaacaaacgccactagccctggtgtcaattcatctgcttccccacaggccactgacaagtcttgtactgtctcaggcctcatgggcccagctttcttgtac</t>
  </si>
  <si>
    <t>ggcgcgccatgtcatctcaaactaagttcaagaaagacaaagagatcattgctgaatatgaagcccaaataaaagagatccgcacgcagctggtggagcagttcaaatgtctggagcagcaatcagagtcgcgactgcagctgcttcaagacctccaggagtttttccgccggaaagctgagattgagctcgagtactcccgcagcctggagaagctggctgagcgcttctcctccaaaatccgcagctcccgggagcaccagttcaagaaggaccagtacctcctctcgcctgtgaactgttggtatctggttctgcatcagacccggcgggagagccgagaccatgccaccctcaatgacatcttcatgaacaatgtcatcgtccgcctctcccagatcagtgaggatgtcatcagactcttcaaaaagagcaaggagattggcctgcagatgcacgaggagctcctgaaggtgaccaatgagctctacacagtcatgaaaacctaccacatgtaccatgcagagagcatcagtgcggaaagcaagctgaaggaggctgagaagcaggaggagaagcagttcaataagtcaggagacctcagcatgaacctgctccggcacgaggaccggccccagcgccgcagctctgtgaagaagattgagaagatgaaggagaagaggcaggccaagtactctgagaacaagctgaaatgcacaaaggcccggaatgactacttgctcaatctggcagccaccaacgcagctataagcaaatactacatccatgatgtctctgatctgatcgattgctgtgatttgggcttccatgccagcctggcccgcaccttccggacctatctctcagctgaatacaacctggagacctctcgccacgaagggctggatgtcattgagaatgcagtggacaacctggattcccgaagtgacaagcacacagtcatggacatgtgcaatcaagtcttctgccctccactcaagttcgagttccagccccacatgggggatgaggtctgccaggtcagcgctcagcagcccgtccagacagaactgctcatgcgttatcaccagctgcagtccagactggccaccctcaagatagagaatgaggaggttaggaaaaccctggatgccaccatgcagacattacaggacatgctgactgtggaggactttgatgtctccgatgccttccaacacagtcgatcgacagagtccgtcaagtcggctgcctctgagacctacatgagcaagatcaacattgccaagaggagagccaaccagcaggaaacagaaatgttttattttacaaaatttaaagagtatgtgaatggcagtaacctcatcaccaagctgcaggccaagcacgatttactcaagcagaccctgggcgaaggggaaagagcagaatgcggcaccaccagaggaagaagaaatgctcgaaccaggaaccaggattcaggacaagctataccgcttgtagtcgagagctgcatccgttacatcaatttatatggactccagcagcaggggatcttcagagtgccaggatctcaggtggaagtcaatgacatcaaaaattcctttgagagaggtgaagacccccttgtggacgatcaaaatgaacgagatatcaattcagtcgctggtgttttaaaactgtatttccgaggactggaaaacccactctttcctaaggaaaggtttcaagatttgatatctactattaaactggagaacccagccgagagggtgcaccagatccaacaaatcctcgtcacccttccccgcgtggtcattgtggtcatgagatacctcttcgctttcctcaaccacctctcccagtatagcgacgagaacatgatggatccctacaacctggccatctgcttcgggcctaccctcatgcacatccctgatgggcaggaccctgtgtcctgccaggcacacatcaatgaagtcatcaaaaccatcatcatccatcatgaagccatcttccccagcccccgggagctagagggacctgtgtatgaaaaatgcatggctggaggggaagaatattgtgacagcccacacagcgagccaggggccatcgatgaagttgaccatgacaatggcactgagcctcataccagcgatgaagaagtggagcagatcgaggctattgccaagtttgactacatggggcggtccccgcgtgagctatccttcaagaagggggcctcgctgctcctgtaccaccgcgcctcggaggactggtgggagggccggcacaacggcgtggatggactcatcccccatcagtacatagttgtacaggacatggatgatgccttctccgacagcctgagccagaaggctgacagcgaggccagcagtgggccattgctggatgacaaggcctcttccaaaaacgacctccagtcccccacggagcacatctcggattacggctttgggggggtgatgggccgagtgcggttacgatctgatggagcagccatccccagacgccgaagcgggggcgacacacacagcccgccccggggcctgggccccagcatagacacaccaccccgggctgctgcctgccccagcagcccccacaaaatccccctcacccgggggaggatcgagagccctgagaagcggaggatggcgacgttcgggagcgctggcagcatcaactaccctgacaagaaggcgctctccgaagggcactcgatgaggtcgacctgcggttccaccaggcacagcagcctaggggaccacaagtccctggaggccgaggccctggcagaagacatcgagaagaccatgagcacggctctgcacgagttgcgggaactcgagaggcagaacacggtcaagcaggcgccagatgtggtgctggacaccctggagcccctgaagaacccgccaggccccgtcagctcggagcccgccagtccccttcacaccatcgtcatccgcgaccccgatgccgccatgcgccgcagcagcagctcctccaccgagatgatgaccaccttcaagccagccctgtccgcccgcctggctggcgcccagctccgcccgccccccatgcggcccgtgcggccggtggtccagcaccggtccagcagcagcagcagctcgggcgtgggcagcccggccgtgacgcccaccgagaagatgttccccaacagctcagcggacaagtcgggcaccatggttttaattaa</t>
  </si>
  <si>
    <t>ggcgcgccatgaccttgaataattgtgcctcgatgaaactggaggttcattttcaaagcaagcagaatgaagactcagaagaggaagagcagtgtaccatcagtagccactgggccttccagcaggaaagtaagtgctggtctcctatggggtcctctgatctgttggccccaccgagccctggcctgccagcgacctcaagctgtgagagcgtcctcaccgagcttagtgccacctctctgccagtcatcaccgtgagcctaccacccgagccagcagacttgcccttgccaggccgtgcccccagctcgagtgaccggcccctcctcagccccacccagggccaggagggtccccaggacaaagccaagaagcgccatcgtaaccgtagcttcctcaagcaccttgaatctctgaggcggaaggaaaagagtggcagccagcaagcagagcccaagcatagtccagccacctcagagaaggtctccaaagcctcatctttccgcagttgtcgtggcttcctctcagctggattttacagggccaagaactgggccgccacctcagccggtggcagtggtgccaatactcggaaggcctgggaggcctggcctgtggcctcgttccggcatcctcagtggacacaccggggtgattgcctggtgcacgttcctggggaccacaaaccaggcacattccctcgctccctgtccattgagagcctgtgtcctgaggatggacaccgcctggcagactggcagccaggtaggcggtggggctgtgaggggcgccggggctcctgtggctcaacgggcagccatgccagcacgtatgacaacttgcctgagctgtacccagctgagcctgtaatggttggggctgaggctgaagatgaagatgatgaggagagtgggggcagctatgctcacctagacgacatcctccagcacgtgtgggggctacagcaacgagtagagctgtggtctcgggccatgtacccagacctggggcctggagatgaggaagaggaggaggccacttcatcagtagaaatagccacagttgaggtcaaatgccaagctgaggctctcagccagatggaggttccggcccatggagagtccccagcctgggcccaggctgaagtccagccagcagtcctggctccggctcaggctccagctgaggctgaaccagtggcacaggaagaggctgaggccccggccccagccccggccccggccccagcccaggacagtgagcaggaggcacattcaggcggggaacccacctttgcctctagcctgtctgtggaagaaggacactccatttctgacactgtggcctcctccagcgaacttgacagtagtgggaactccatgaatgaggctgaggctgcggggtccctggctggactccaggcatcaatgccccgtgaacggcgcgattcaggtgttggggcctcacttaccagaccctgcaggaagctccgttggcatagcttccagaactcccatcgtcccagcctcaactcagagtcgctggagatcaaccggcagtttgcaggccagatcaacctcctgcacaagggctcactgctgcggcttaccgcgttcatggagaagtacactgtgccccacaagcagggctgggtctggtcaatgcccaagttcatgaggaggaacaagaccccagattaccggggacagcacgtatttggggtgccacccctcatccacgtgcagcgcacgggccagccactgccacagagcattcagcaagccatgcgctacttgcgcagccagtgcctggaccaagtaggcatcttccgcaagtctggggtcaagtccaggatccagaacctgcgtcaaatgaatgagacctcgcctgacaatgtctgctacgagggccagtcagcctacgacgtggctgacctgctaaagcagtatttccgggacctgcctgagcccatcttcaccagcaagctcaccaccactttcctccagatctaccagctcctccccaaggatcagtggttggcagcagcacaagccgccaccttgctgctccccgatgagaaccgagaggtgctacagaccctgctctacttcttaagtgacattgcctctgccgaggaaaaccagatgacagcaggcaacctggcagtgtgcctggcgccctccatcttccacctcaatgtctctaagaaggatagcccctctcccaggatcaagagcaaacgcagcctcattggcaggccaggccctagggacctgagtgacaacatggcagccacccagggcctgtcgcacatgatcagtgactgcaagaaacttttccaggtgccccaggacatggtgctgcagctgtgcagctcctacagcgcagctgagctcagccctcccggcccagccctggctgagctgcgtcaggcccaagctgcaggggtaagcctgagcctctacatggaagagaatatccaggacctgctgcgtgatgctgctgagcgcttcaagggctggatgagcgtgccagggccccagcacacggagctggcttgcaggaaggcaccggatgggcaccccctgcggctatggaaggcatccacagaggtggcagcccccccagctgtggtgctgcatcgtgttctccgggagcgggccctctgggatgaggatctgctgcgggcccaggtgctggaagccctgatgccgggtgtggagctgtaccactatgtcaccgacagcatggcaccccatccctgccgcgactttgtggtgcttcggatgtggcgctctgacctgcctcgtgggggttgcctgcttgtctcccagtccctggatccggaacaacctgtgccagagtcgggtgtgcgagccctcatgctcacatcccagtacctcatggagccttgcggcttgggccgctctcggctcacacacatctgccgggctgacctcaggggccgttctcctgactggtacaacaaagtctttggacacctgtgtgccatggaagtggcaaagatccgggactccttccccaccctgcaggcagcgggccctgagacaaagctgttaattaa</t>
  </si>
  <si>
    <t>ggcgcgccatgttcagccaggtgcccaggacgccggctgcaggctgctactatctaaaccccttgacacctgagagccaggagatgtacttgcgatttgatcagactgccagacgctctccctacaggatgagccggatcctagcacgccatcacctagtgactaaaatccagcaagaaattgaggcgaaggaagcatgtgactggctccgagctgccgggttcccgcagtacgctcagctgtatgaagattcgcagttccccatcaacattgcggccgtcaaaaaagaccatgactttcttgaaagggaccttgtagaacctctttgcagacgacttaatacgttgaacaagtgtgcctcaatgagacttgatgtgaacttccaaaggaaaaagggtgacgactcagatgaggaagacctgtgcatcagcaacaaatggactttccagagaaccagccgcagatggtcccgtgtggatgacctgcatacgctgttccccgtggcagacagaaacgggtccccaggaggccctaggatgagaaacacagccagcagtgagagcgtgctcacggatctgagtgagccagaggtctgctctattcacagcgaaagcagtgggggcagtgacagccgcagccaatcagggcatcattctgctgacagtacgcatgcgctggaggccaccctggtcagtagcagcctcccacagtctacccgagagggtctcaaccagtcttttcaccccaagaatgagaaacccaccaggaccagggccaagtcctttctgaaacgcatggataccctgagagtgaagggtgcacttgggaggcataaggggccagggcggacaggaggcctggtcatcagtaggcctgtgctgcagcaggaaccggagtcctttaagaccatgcagtgcgtccagatacccaacggagatctgcagacctcacctccagctgcctgcaggaaaggcctcccatgctccagtaagtcaagtggtgagagcagccccctggagaacagcagcacagtgagcactccgtgcatgaaggaacgcaagtgccaccacgaggccaacaagcgcggtggcatgtacctggaggacctggatgtgctggcagggacggcattaccagatacgtcagaccaaaaccacgtgcatgggtttcactcccaagaaaacttggtggtccacattcccaaggatcacaaaccaggaacgttccccaaggcactttctatagaaagcctctcacccacagacaacagcaatggggttaactggaggaccgggagtatctccctgggtaggcaacagggccctggcatgagggaacccagactcatgtcttcctgccacagggccagccgtgtcagtatctatgacaatgtccccagctcgcacctgtatgccagcacaggagatctgttggacctggagaaagacggcctccttccacagctggatgacatcctacagcatgtcaatggcatacaagaggtagtggatgactggtcaaaaaacatcttacccgaactgcaaagtcacagcacattggcaggggatcctggtctgtccccattcccatctcccaatcaggtcactttagattttgaaggcaactctgtctcagaaggtcggacaacacctagtgatgtggaaagggacaggacttctctgaatgaatcggaggccactggggtcagagaaagaagggattctggtgtgggggcctctctgaccagaccaaacagacgactaaggtggagcagcttccagctctcacaccagccccagccgtctccagccaccccgcacatcagcagccagacggccgcccagctgaacctgctccagcgcttctccctacttcgtcttacggccatcatggagaagtactctatgtccaacaagcacggctggacctggtccgttccaaagttcatgaagaggatcaaagctcctgactaccgagacaaggctgtcttcggtgttccgctcatagtccacgttcagagaacaggacagcccctgcctcagagcatccaacaagcactgaggtatctacgtagcaactgtctggatcaggtgggtcttttccgcaagtcaggagtgaagtctcgaatccatgccctccgtcagatgaatgagaacttccctgacaatgtgagctatgaagaccagtctgcatacgacgtggcagatatggtgaagcagttcttccgggacctccctgagcccctgttcaccaacaagctcagcgagaccttcctccacatctatcagtatgtccccaaagagcagcggctgcaggccgtgcaggcagccatcctgctgctggccgacgagaaccgggaggtcctgcagactctcctgtgcttcctgcatgacgtagtaaacttggtggacgagaatcagatgacgcccatgaatctggccgtgtgcctggccccctccctctttcacctaaacttactgaagaaagaaagctccccaaaagtcatccagaagaaatacgccactgggaagccagatcagaaggacctcaatgaaaatctagctgcggctcaggggctggcccacatgatcacggaatgcaaccgactctttgaggttccacacgagatggtggcccagtctcgggactcctacttagaggctgaaatccatgtgcccagcctggaagacttgggagcacagctggcggagagcggggcaacttttcacacgtacttggagcatctagtccaaggcctccagaaagaggctaaggagaaattcaagggatgggtcacatgttccagccctgacaacacagaccttgctttcaaaaaggtgggcgatgggcacccgctgaagctgtggaaagcatctgtggaggtggaggcaccaccctccgtggtgctgaaccgtgtgctgagagaacgtcacctgtgggatgaggactttgtgcagtggaaggtggtggaaagattggacaaacaaacggaaatctaccagtacgtgctaaacagcatggttccacatccctccagagacttcctggtgctcaggacctggaagactgacctgcccaaaggaatgtgcaccctggtgtccctgtctgtggagtacgaagaagcccagctcatgggtggcgtgagggcggtggtgatggactctcagtacctgatagaaccctgcggttctggcaagtccaggctgacccacatctgcagaatagacctgaagggccactccccagaatggtacagcaaaggctttggacacctctgtgcggcagaagttaccagaattaggaactctttccagcctctcgttgctgagggtccagaaacaaaaatcttaattaa</t>
  </si>
  <si>
    <t>ggcgcgccatggccgagccgctactcaggaaaaccttctcccgcctgcggggccgggagaaacttccccggaaaaagtcggacgccaaggagcgcggccacccagcccagcgcccagagcccagccctccagagccagagccccaggctcccgaagggtcccaggccggagcagaggggccctccagccccgaggcatcaaggagccctgcacggggagcctacctgcaaagcctggagcccagtagccgccgatgggtgctgggtggggccaagccagctgaggacacctctttagggcctggggtacctggcactggggagcccgccggcgagatctggtacaaccccatccctgaggaagaccccagacctccagcacctgagcccccggggccacagcctggctcagctgagtcagagggcctggccccccaaggtgcagcccccgccagccccccaaccaaagcctcccgcaccaagtccccgggccccgccaggcgcctctccataaagatgaagaagctgccggaactgcggcgccgcctgagcctgcgaggcccccgggctggcagggagcgcgagagggctgcccctgcgggctccgtcatcagccgctaccacctggacagcagcgtggggggccccgggccggcagcagggcctgggggcacccggagcccgagggccggttacctcagcgacggggactcaccggagcgcccagctgggcccccatcacccacctccttccggccctacgaggtgggtcccgcagcccgggcacccccggccgcactctggggccgcctcagcctgcacctgtacggtctcggggggctgcggccagcgccgggggccacccccagggacctctgctgcctactgcaagtggatggggaggccagggcccgaacagggccactgcgaggggggccggacttcctgcggctggaccacaccttccacctggagctggaggccgccaggctcctgcgcgccctggtgcttgcgtgggaccctggcgtgagaaggcaccggccctgtgcccagggcaccgtgctgctgcccacggtcttccgagggtgccaggcccaacagctggccgtgcgcctggagcctcaggggctgctgtatgccaagctgaccctgtcggagcagcaggaagcccctgccacagctgagccccgcgtctttgggctgcccctgccactgctggtggagcgggagcggccccccggccaggtgcccctcatcatccagaagtgcgttgggcagatcgagcgccgagggctgcgggtagtgggactgtaccgtctttgtggctcagcggcagtgaagaaagagcttcgggatgcctttgagcgggacagtgcagcggtctgcctatctgaggacctgtaccccgatatcaatgtcatcactggcatcctcaaggattatcttcgagagttgcccaccccactcatcacccaacccctgtataaggtggtactggaggccatggcccgggaccccccaaacagagttccccccaccactgagggcacccgagggctcctcagctgcctgccagatgtggaaagggccacgctgacgcttctcctggaccacctgcgcctcgtctcctccttccatgcctacaaccgcatgaccccacagaacttggccgtgtgcttcgggcctgtgctgctgccggcacgccaggcgcccacaaggcctcgtgcccgcagctccggcccaggccttgccagtgcagtggacttcaagcaccacatcgaggtgctgcactacctgctgcagtcttggccagatccccgcctgccccgacaatctccagatgtcgcgccttacttgcgacccaaacgacagccacctctgcacctgccgctggcagaccccgaagtggtgactcggccccgcggtcgaggaggccccgaaagccccccgagcaaccgctacgccggcgactggagcgtttgcgggcgggacttcctgccttgtgggcgggatttcctgtccgggccagactacgaccacgtgacgggcagtgacagcgaggacgaggacgaggaggtcggcgagccgagggtcaccggtgacttcgaagacgacttcgatgcgcccttcaacccgcacctgaatctcaaagacttcgacgccctcatcctggatctggagagagagctctccaagcaaatcaacgtgtgcctcttaattaa</t>
  </si>
  <si>
    <t>ggcgcgccatgcacgacctgccccctgactcgggcgcgcggcggggcggcaggggcttggcggatcacagcttccccgcgggagcccgggctccgggccagccgccttcccgcggcgccgcgtaccgccgagcctgcccccgggacggggagcggggaggcggcggacgccctcggcagcaggtgtccccgccccggtcgcctcagagggagccgcggggaggccagctgcggactcctcggatgcggccgtcctgcagcagaagcctcgagagcctccgggtgggtgccaagccgcctcccttccagcggtggccgagcgacagctggatcaggtgcggcgcgcaccgggactgggacgagcccccgccacgtggaggcaggatggacggctggagtggggaccgcgcccgggcggctgcacccaccggcctccagcctccaggctgcaaggaccacggctgctcctcgggaagccctttcagggatccagcggggtcctctgtgatacgcagtggcaaaggagaccgccaggaaggcccctccttcctcaggccgccggcagtgacagtcaagaagctgcagaagtggatgtacaaagggcgtctgctgtccctgggaatgaagggtcgtgcccgtgggacggctcccaaagtcacaggaacgcaggcagcctccccaaatgtgggcgctttgaaagtgcgtgaaaaccgtgtcctgtcggtgcctccagaccaaagaattacgctgacagatttatttgaaaatgcctatgggtcttcaatgaagggaagagaacttgaagagctgaaggataatattgaattcagaggtcataagccacttaacagcatcactgtttcaaagaaacgcaattggctatatcagagtactctgaggcctcttaatctggaagaagaaaataagaaatgccaagatagaagtcatttatccatctcacctgtgtctctacctaaacatcagctatcacagtctttcctcaaatcatctaaagagtactgtacatatgtggtatgtaacgctacaaactcttcattatcgaaaaactgtgctttagattttaatgaggaaaatgatgcagatgatgaaggagaaatatggtacaatcccattcctgaggatgatgaccttggtatatcaagtgccttgagttttggtgaggccgactctgctgttctgaagctccctgctgtcaatttgagcatgttgtctggcagtgacctgatgaaagcagagcggcatactgaagactcactgtgctcttccgaacatgcaggtgatattcagaccacacggtcaaatggaatgaatcctatacatcctgcccattccacagaatttgtgcagcagtacaagcaaaagctaggacacaagacacaagaaggtataatggtggaggacagtcccatgttgaaatctccttttgcaggttctgggatcctggctgctacaaatagtactgaattgggaattatggaaccatcttctccaaatcctagccctgtgaaaaaaggcagttcaattaattggtcattgccagataaaataaaatctccacgaactgtgaggaaactttccatgaaaatgaaaaagttgccagaatttagccgaaagctaagcgttaagggaacattgaattatataaacagtccagataatactccttctttgtctaaatataactgccgagaagttcatcatactgatattctgccctctgggaacacaaccaccgctgctaagaggaatgttataagccgataccatcttgataccagtgtatcctcccagcagagctaccagaagaaaaactctatgagttctaagtattcctgcaaaggtggttaccttagtgatggagactcacctgaacttacaactaaagctagcaaacatggatctgaaaacaaatttggaaaaggaaaagaaataatttcaaatagttgtagcaagaatgaaatagacattgatgcttttaggcattatagcttttctgatcaacctaagtgttcacagtacatatctgggctcatgagtgtacatttctatggtgctgaggatttaaaaccacctcggatagattcaaaagacgtcttttgtgcaattcaggtagattcagtaaacaaagcaagaacagctttgctcacatgccgaacaacatttttagacatggatcacactttcaacatagaaattgaaaatgcacaacatttgaaactagtagtattcagttgggaacccactccaagaaaaaatcgagtttgttgtcatggaactgttgttcttcccaccttatttagagtgacaaagactcatcagttggctgtcaaacttgaacctagaggtcttatttatgtgaaagtgactcttatggaacagtgggagaattctcttcatggactagatataaaccaagaaccaataatatttggagttgatattcaaaaagttgtagagaaagaaaatataggactgatggtgccccttctgatacagaaatgtattatggaaattgaaaagagaggctgtcaggtagtaggcctgtatcgattatgtggttcggcagcagtcaagaaagaactgcgagaggcttttgagagagatagcaaagctgttggtctgtgtgaaaaccagtacccagatataaatgtaataacaggtgttcttaaggattatttaagagaactcccttctcctctgataacaaagcagctttatgaggctgtattagatgcaatggcaaaaagtcctttgaaaatgtcatcaaatggttgtgagaatgacccaggtgactctaagtacactgttgacctgctggattgtctgccagagattgagaaggcaaccctaaagatgttgttggatcatttgaaattggtggcttcctatcatgaagtgaataagatgacgtgccagaatttggctgtgtgctttggaccagtattattaagtcagaggcaagagccttccacccataacaacagagtctttactgattcagaagaacttgcaagtgctttggattttaaaaaacacattgaagttcttcattacttactccaactctggccagtgcagcgtttaactgtcaaaaaatcaacagacaatttattcccagagcagaagtcttctctgaattatctgaggcagaagaaagaacgacctcatatgttaaatttgagtggtactgattcatcaggagtacttaggccaaggcaaaaccgattagacagtccacttagcaatcgttatgcaggagactggagcagctgtggggaaaactactttttaaatacaaaagaaaatttaaatgatgtggattatgatgatgtcccttcagaagatagaaaaatcggagaaaattatagcaaaatggatgggccagaagtaatgattgaacagccaattcccatgtccaaagagtgtacatttcagacatatttgacaatgcagacagttgagtctacagtggatcgaaaaaacaatctcaaagatctacaagaaagtattgatactttgattggaaatctggaacgtgagctcaacaaaaacaagcttaatatgagttttttaattaa</t>
  </si>
  <si>
    <t>ggcgcgccatgaagctgataagcagtctcgatggttcaaaaacacttaatgctaacaacatggagacattaattgaatgtcagtcagagggtgatatcaaagtgcctcccctgctgacatcatgtgagagtgaagacagcatttgccagctaactgaaattaagaagagaaagaaagtgctgtcctggccatctctcatgagaaagctctctccttcatccgacttctctgggtcattggaaccagagctgaaagtgtcgctgtttgaccaacccttgtcgatcatctgtggggagaacgacacacttcccagacccatccaggacatcctcaccatcctctgccttaaaggtccttcaacggaagggatattcaggaaagctgccagcgagaaagcccgcaaggagctgaaggaggggcttaactgtggggtctccgtgaatctgaagcagctccctgtgcacctcctagctgtggtcttcaaggacttcctccgagggatacccctgaagctactctcctgtgatctctttgaggactggatgggcgccctggagaagcccaccgaggaggacagaatcgaggccctgaagcaggttgctggtggcctcccccggcccaaccttctcctgctcaggcacttgctctacgtgctccacctcatcagcaagaacgctgaggtcaacaagatggactccagcaacctcgccatctgcatcgggcctaacatgctcactctgaagaacgaccagagcctgtccttccaggcccagaaggacctgaacaataaggttaagatcttggtggaattcctcatcgacaactgctttgagatatttggggagaacattcggacgcgttcccgcatcacttctgacgactccctggaacacactgacagttcagacgtgtcaactctgcagaatgactcggcctatgacagcaatgacccagatgtggagcccacaagtggcgcagcctctcccaacaggcaactggagggtcccactcccacaatggctggtctggatacccggggccaacgggacacctgtgagtcaagctcagagtccagcgttagcatggtagtcaggctgaaaagctccattgtccaacaagacaggcggttctctgaacccaacatgtcaccctcacgagagtgcctcgtgggcccaacatccaagcaaaagctagcaaggagtgaggacagcttcactctgtcccaggacgcctcctgttctgaaggcgatgaagctgaagatccctttacagaggaagtcttcccagcagtggacagcaaacccaagagacctgtggatttgaaaataaagaattggacccaaggtttagcatctccacagggacacataaccaaagctttctccagatcctccccaggcgaatctttgggcagctcacctgtgccttctccatcctgccccaagagaaacttcttcaccagacaccagagtttcacaacaaagacagacaaaaccaaaccccagagagaaattagaaagcactccatgtcgttttcctttgcgtctcacaagaaagtgctgccccgaacctccagcattgggtctgagaaatccaaagacttttctagagaccaactccagaaggacttgaggaaagagagccaactttctggcagaatcgtccaggaaaatgagtcagaaatccaaagccaaacatctctgggcttcagcttgtctggcacctgggccctctcagtcgacaacacgttccagttagtggatatgaggaaaccaggaagcccaccatcttacgaagaggccatttattaccagacatcaggactcacagcctacggtggccagacagttgggagtatgaggtcaagaatgttcaagccaagcacagcagtgccccctgtgccttctcaccatggaggtgacctcagtgaagggacacctggtggacacagattgtcttctgtgactgagcactggacacacagtcagactgtccatgtctctatagaaactcaggggagatctgagctacaccagttgaggacagtgtccgagtccatgcagaaggctaagctggactgtcttgggccacaacacagccacttagtctttgaggctgaccaactctgctgtgctagagaatcctacattttaattaa</t>
  </si>
  <si>
    <t>ggcgcgccatgggaaacgcagaaagtcaacatgtagagcacgagttttatggagaaaagcatgccagcctggggcgcaagcacacttcccgctccctgcgcctctcgcacaagacgcggaggaccaggcacgcttcctcggggaaggtgatccacaggaactccgaagtgagcacccgatccagcagcacccccagcatcccccagtccctggctgaaaatggcctggagcccttctcccaagatggtaccctagaagacttcgggagccccatctgggtggaccgagtggacatgggcttgagacctgtgtcttacactgactcttctgtcactcccagcgtagacagcagcatcgtcctcacagcagcctctgtgcagagcatgccagacactgaggagagcaggctttacggggatgacgctacatatttggctgagggaggcaggaggcagcattcctatacatccaatgggcccactttcatggagacggcgagctttaagaagaaacgctccaaatctgcagacatctggcgggaggacagcctggaattctcactctctgatctgagccaagaacatttaacaagcaacgaagaaatcttgggttccgccgaagagaaggactgcgaggaggctcgggggatggaaacgcgggcgagtccgcggcagctcagcacctgtcagagagccaattccttgggtgacttgtatgctcagaaaaactctggagtgacagcaaacggggggccggggagcaaatttgcaggctactgtcggaatttggtgtctgatattcccaatcttgcaaaccataagatgccaccagctgctgctgaagagactcctccgtacagtaattataacacacttccctgtaggaaatctcactgtctctctgaaggtgccaccaacccacaaattagccatagcaacagcatgcaaggcagaagagctaaaacaactcaggatgttaatgcaggcgagggcagtgagtttgcagacagtgggattgaaggggccactaccgacacggacctcctgtccaggcgatctaatgccaccaactccagctactcacccaccacaggccgggcctttgtgggcagcgacagcggcagcagctccaccggggatgcggctcgtcagggggtgtacgagaacttccggcgggagctggagatgagcaccaccaacagcgagagcctggaggaggccggctcggcgcacagcgatgagcagagcagcggcaccctgagctctccgggccagtcggacatcctgctgaccgccgcacagggcacggtgcgcaaggccggcgccctggccgtcaagaacttcctggtgcacaagaagaacaagaaggtggagtcagccacccggaggaagtggaagcactactgggtgtccctgaaaggatgcacgctatttttctacgagagcgacggcaggtctgggatagaccacaacagcatccccaaacacgccgtctgggtggagaacagcattgtgcaggcggtgcctgagcaccccaagaaggactttgtcttctgcctcagcaattccctgggtgatgccttcctttttcagaccactagccagacggagcttgaaaactggatcaccgccatccactctgcctgcgccactgcggtcgcgaggcaccaccacaaggaagacacgctccgactcctgaaatcagagatcaaaaaactggaacagaagattgacatggatgaaaagatgaagaaaatgggtgaaatgcagctgtcttcagtcactgactcaaagaaaaagaaaacaatattagatcagatctttgtctgggagcaaaatctcgagcagttccaaatggacctgtttcgtttccgctgttatttagccagccttcagggtggggagctgccaaaccccaaaaggcttctcgcttttgcaagtcgaccaacgaaagtggccatgggccgccttggaatcttttcggtatcatcgtttcatgccctggtggcagcacgcactggtgaaactggagtgagaagacgtactcaggccatgtccagatccgcgagcaagcgaaggagcaggttttcttctctgtggggtctggatactacctccaaaaagaagcagggacggccaagcatcaatcaggtgtttggagagggaaccgaagctgtaaagaaatctttagagggaatatttgatgacattgttccagatggcaagagggagaaagaagtggtcttacctaacgttcaccagcacaaccctgactgcgacatttgggtccacgagtatttcactccatcctggttctgtctgcccaataatcagcctgccctgacggtcgtccggccaggcgacactgcacgggacaccctggagctgatttgcaagacacatcaactggatcattctgctcattacctgcgcctgaaatttctaatagaaaacaaaatgcagctctatgttccacagcccgaggaagacatctatgagctgctgtacaaagaaattgaaatctgtccaaaagtcactcagagcatccacattgagaagtcagatacagctgctgatacttacgggttttcactttcttctgtggaagaagatggtattcgaaggctgtacgtgaatagtgtgaaggaaaccggtttagcttccaagaaaggcctgaaagcaggagatgagattcttgagatcaataatcgtgctgctgacgccctgaactcttctatgctcaaagatttcctctcacagccctcgctgggcctcctggtgaggacctaccccgagctggaggaaggagtggagctgctggaaagcccgccccaccgagtggacggccctgccgaccttggcgagagccccctcgcctttctcaccagcaacccagggcacagcctttgcagcgagcagggcagcagtgctgagaccgctccagaggagaccgaggggccagacttggaatcctcagatgagactgatcacagcagcaagagtacagaacaggtggccgcattttgccgcagtttgcatgagatgaacccctctgaccagagcccatctcctcaggactccacggggcctcagctggcgaccatgagacaactctcggatgcagataagctgcgcaaggtgatctgcgagctcctggagacggagcgcacctacgtgaaggatttaaactgtcttatggagagatacctaaagcctcttcaaaaagaaacttttctcacccaggatgagcttgacgtgctttttggaaatttaacggaaatggtagagtttcaagtagaattccttaaaactctagaagatggagtgagactggtacctgatttggaaaagcttgagaaggttgatcaatttaagaaagtgctgttctctctggggggatcattcctgtattatgctgaccgcttcaagctctacagtgccttctgcgccagccacacaaaagttcccaaggtcctggtgaaagccaagacagacacggctttcaaggcattcttggatgcccagaacccgaagcagcagcactcatccacgctggagtcgtacctcatcaagcccatccagaggatcctcaagtacccacttctgctcagggagctgttcgccctgaccgatgcggagagcgaggagcactaccacctggacgtggccatcaagaccatgaacaaggttgccagtcacatcaatgagatgcagaaaatccatgaagagtttggggctgtgtttgaccagctgattgctgaacagactggtgagaaaaaagaggttgcagatctgagcatgggagacctgcttttgcacactaccgtgatctggctgaacccgccggcctcgctgggcaagtggaaaaaggaaccagagttggcagcattcgtcttcaaaactgctgtggtccttgtgtataaagatggttccaaacagaagaagaaacttgtaggatctcacaggctttccatttatgaggactgggaccccttcagatttcgacacatgatccccacggaagcgctgcaggttcgagctttggcgagtgcagatgcagaggcaaatgccgtgtgtgaaattgtccatgtaaaatccgagtctgaagggaggccggagagggtctttcacttgtgctgcagctccccagagagccgaaaggatttcctaaaggctgtgcattcaatcctgcgtgataagcacagaagacagctcctcaaaaccgagagccttccctcatcccagcaatatgtcccttttggaggcaaaagattgtgtgcactgaagggggccaggccggccatgagcagggcagtgtctgccccaagcaagtctcttgggaggaggaggcggcggctggctcgaaacaggtttaccattgattctgatgccgtctccgcaagcagcccggagaaagagtcccagcagccccccggtggtggggacactgaccgatgggtagaggagcagtttgatcttgctcagtatgaggagcaagatgacatcaaggagacagacatcctcagtgacgatgatgagttctgtgagtccgtgaagggtgcctcagtggacagagacctgcaggagcggcttcaggccacctccatcagtcagcgggaaagaggccggaaaaccctggatagtcacgcgtcccgcatggcacagctcaagaagcaagctgccctgtcggggatcaatggaggcctggagagcgcaagcgaggaagtcatttgggttaggcgtgaagactttgccccctccaggaaactgaacactgagatctgattaattaa</t>
  </si>
  <si>
    <t>ggcgcgccatggggaactccgagagtcaatataccttccaaggatccaagaatcatagtaatactgtcactggtgctaagcaaaagccttgctctctgaaaatacgcagcgttcatgcaaaagacgagaagtccttacatggttggactcatgggagcagcggtgcaggctacaagtccaggtccctagcccgaagctgcctttctcactttaagaatcaccagccttacgccaccagactcagtggacccacatgtaaagtctcaaagggcaccacctactctaagcacagagcaaataccccgggaaatgatttccagggcaacagtggtgctttcttacctgagaatggcttccactatgttgaccgcgagtcagaggaaagccatatcacctccaatgggcaccttctcacctgctatgggagaaaggaaagcctcgcctccactcctccaggcgaggaccacaggagccccagggtgctcatcaagaccctgggaaagctagacgggtgtttaagagtcgagttccacaacggtggcaacccccacaaggggacctccgaggaccccagtggacctgtacggctgctgagatactcccctaccttagcatcggaaacctgcccggtgcgggaaaccaggcggcattccgctgcaggctccccatccagccagcggccctctcccactgactctcgcctgcgctccagcaaaggcagctccctgagctcagagtcatcctggtatgactccccctggggcaacgctggggaggtgagcgaggtggagggctccttcctggctcccagcactccagaccccagcctccccagcagcttcccacccagtgacaccaaaaagcctttcaaccaaagctcttccctctcctccctccgggaattgtacaaagatcccaacctggggtgccgctcaccttccggcacctgcctttcttccaatgagtacatcagctctcaagtcagcctgaacaaccgagtctcctttgcgtctgacatggatgtgccctccagggtggatcacagggatcccctgcactatagttcctttactctcccctgtcgcaagtccaaagccttaactgaagatgcagctaagaaagacaccctcaaagccagaatgcggcgcttcagtgactggacaggaagcctctccaggaagaagaggaaactgcaggaacccaggtccatggagggcagtgagtactttgatagccactcagatggactgaatgcagaagggcaggtgcccgcgcagacatcttccttactgtggtcagggggctcggctcagaccctgcctcacagaagcgaatccactcacgctatcagcgtcgatcccctccgacagaacatctatgagaatttcatgcgagagctcgaaatgagcaggagcaacacagaacacgtggaaacttccacagagaccatggagtccagcagcgagtctgtcagctcactggagcagctggatctgctctttgagaaggagcagggagtggtccggaaagccgggtggctcttcttcaaaccccttgtcaccttgcagaaggagaggaaactggagctggtggctcggaggaagtggaaacaatactgggtgaccctgaaaggctgtactctgctgttttatgagacctatggaaagaattccacagagcagaatagtgccccacggtgtgccctctttgcagaggacagcatcgtgcagtctgtcccagagcatcccaagaaggaacacgtgttctgcctgagtaactcctgtggggacgtctacctattccaggccactagccagacagatctggaaaactgggtcacagccatccactcggcgtgcgcatccctctttgcaaagaagcacggaaaggaggacacggtgcgactgctaaagagccagaccagaagcctgcttcagaagatagacatggatagcaagatgaagaagatggcagagttgcagctgtctgtggtgagcgaccccaagaacaggaaggccatcgagaatcagatccggcaatgggagcagaatctggaaaaattccacatggacctgttccgcatgcgctgctatttggcgagcttacaaggtggggagttaccaaatcccaagagtctccttgctgccaccagccgcccctccaagctggctcttggcaggctgggcgtcctgtctgtttcgtctttccatgctctggtgtgttccagagatgattccactctcaggaaaagaacactttcccttacccagagaggaaaaagcaagaaaggcatattttcttcattgaaaggtctggacaccctagcaagaaagggtagggagaagagagcttccataactcagatgtttgattctagccacagccatggatttcttggaactcagctacctcaaaagtccactaactccaacaaggcccatgacctgcatctgtatggctccgcagtagacagcgcgctgcgagacagcatgtgggaagtccagacttatgtccacttccaggataacgaaggagttactgtgaccatcaagccagagcacagggtggaagatgttctggctttggtgtgcaagatgagacagttggaacccactcactatggtcttcagctccgaaaggtggtcgataaaagtgtggagtggtgtgtgcccgcgctgtatgaatacatgcaagagcaggtttatgatgaaatcgaagttttcccactcagtgtgtatgacgtgcagctaaccaagactggggacatgactgactttgggtttgcagtcacagttcaggtggacgaacaccagcatctcaaccggatatttatcagtgatgttctccctgacagcctggcatacggaggagggctgagaaagggcaacgaaatcacaagcttaaatggggaaccagtgtctgaccttgacatccagcagatggaggctttgttttctgagaagagcgttggcctcactctagtcgcccggcctgtgaccacaagacgaaccctgtgtgcttcctggtcagacagtgacctgttctccagggaccagaaaagtctgccgccctctcccaaccagtcccagctgctggaggaattcctggataactttagaaaaaccgccacgagtgatttcagcaatgtccctgagatcacaactggcttgaagaggagccagacagaaggcaccctggatcaagtgccccacagggaaaagatggagcagacattcctgagcgctgaccagattgcggagctctgcagggacttgaacaacacccacaccaacagtatggaagcaccaacagagagccatgacccacctcccaggcctctggctcgtcacctctcagatgcagatcgcctccggaaagtcatccaggagcttgtagacacagagaagtcttacgtgaaggatctgagctgcctctttgaactatacttggagccacttcagaatgagacctttcttacccaagatgagatggagtcactttttgggagcctgccagagatgctggagtttcaaaaggtgttcctggagacgttggaggatgcgatctccgcttcctcggactttagtgtcctggaaaccccctcacagtttcgaaaattgctgttctcccttggaggttctttcctctactatgcggatcactttaagctatacagtgggttctgtgccaaccacattaaagtacagagggttctagagcgagctaaaacggacaaggccttcaaggcttttctggatgcccgaaatcccaccaagcagcactcctccacgctggagtcctatctcatcaagcctgttcagagagtgctcaagtatcctctgcttctcaaggagctagtgtcactgactgaccatgagagtgaagaacactatcacctgacagaagcactaaaggccatggaaaaagtcgccagtcacatcaatgagatgcagaagatctacgaggattacgggatggtgtttgaccagctggtggcagagcagagtggcacagagaaggaagtgacagagctgtccatgggggaacttctgatgcactctacagtttcctggttgaatccgttcctgtctctaggaaaagccaggaaggacattgagctcacagtatttgtttttaagagagctgtcatactggtttataaagaaaactgcaagctgaaaaagaaactgccctcgaattcccggcctgctcacaactctgctgacttggatccatttaaattccgctggttgattcccatatctgcgcttcaagttagactggggaacacggcagggactgaaaataattccacgtgggagctgattcataccaagtcggaaattgaaggacggccagaaaccatctttcaactgtgctgcagtgacagcgagaacaaaaccagcattgttaaggtgattcgttctattctgagagagaacttccggcgccacataaagtgtgagctgccactggagaagacgtgtaaggaccggctagtacctcttaagaaccgagttcctgtttcagccaaattagcctcgtccaggtcgttgaagggcctcagaacatcctccagcagcgagtggcccagcgagcccagcaagggcaactcactggactcagatgagtgcagcctgagcagtggcacccagagtagcggctgccccgtagccgagagcaggcgagactctaagagcaccgagctggagaaagacgctcaggagggcctggcggagtttccagatggtcttatcaaagaaagcgacattctgagtgatgaagatgaggacttccaccaccctctgaaacagggtagccctactaaggacattgagattcagttccagagactgaaaatctctgaggaatccgacgtgcacccagttgggcagcagcctctcacagagtcaggtgaacagcccaagctggtcaggggccatttttgccccattaaacggaaagcaaacagcaccaagaggggcagaggaactttgctcaaggcgcagactcgtcaccagtccctggacagccacccagaaactgccagcattgatctaaacttggtcctggagagagaattcagtgtccagagcttaacttcagtcgtcaatgaggagggtttttatgaaacacagagccatggcaaatcattaattaa</t>
  </si>
  <si>
    <t>ggcgcgccatgaaagctatggatgttttaccaattttgaaggaaaaagttgcatacctttcaggtgggagagataaacgtggaggtcccattttaacgtttccggcccgcagcaatcatgacagaatacgacaggaggatctcaggagactcatttcctatctagcctgtattcccagcgaggaggtctgcaagcgtggcttcacggtgatcgtggacatgcgtgggtccaagtgggactccatcaagccccttctgaagatcctgcaggagtccttcccctgctgcatccatgtggccctgatcatcaagccagacaacttctggcagaaacagaggactaattttggcagttctaaatttgaatttgagacaaatatggtctctttagaaggccttaccaaagtagttgatccttctcagctaactcctgagtttgatggctgcctggaatacaaccacgaagaatggattgaaatcagagttgcttttgaagactacattagcaatgccacccacatgctgtctcggctggaggaacttcaggacatcctagctaagaaggagctgcctcaggatttagagggggctcggaatatgatcgaggaacattctcagctgaagaagaaggtgattaaggcccccatcgaggacctggatttggagggacagaagctgcttcagaggatacagagcagtgaaagctttcccaaaaagaactcaggctcaggcaatgcggacctgcagaacctcttgcccaaggtgtccaccatgctggaccggctgcactcgacacggcagcatctgcaccagatgtggcatgtgaggaagctgaagctggaccagtgcttccagctgaggctgtttgaacaggatgctgagaagatgtttgactggatcacacacaacaaaggcctgtttctaaacagctacacagagattgggaccagccaccctcatgccatggagcttcagacgcagcacaatcactttgccatgaactgtatgaacgtgtatgtaaatataaaccgcatcatgtcggtggccaatcgtctggtggagtctggccactatgcctcgcagcagatcaggcagatcgcgagtcagctggagcaggagtggaaggcgtttgcggcagccctggatgagcggagcaccttgctggacatgtcctccattttccaccagaaggccgaaaagtatatgagcaacgtggattcatggtgtaaagcttgcggtgaggtagaccttccctcagagctgcaggacctagaagatgccattcatcaccaccagggaatatatgaacatatcactcttgcttattctgaggtcagccaagatgggaagtcgctccttgacaagctccagcggcccttgactcccggcagctccgattccctgacagcctctgccaactactccaaggccgtgcaccatgtcctggatgtcatccacgaggtgctgcaccaccagcggcagctggagaacatctggcaacaccgcaaggtccggctgcatcagaggctgcagctgtgtgttttccagcaggacgttcagcaggtgctagactggatcgagaaccacggagaagcatttctgagcaaacatacaggtgtggggaaatctcttcatcgggccagagcattgcagaaacgtcatgaagattttgaagaagtggcacagaacacatacaccaatgcggataaattactggaagcagcagaacagctggctcagactggggaatgtgaccccgaagagatttatcaggctgcccatcagctggaagaccggattcaagatttcgttcggcgtgttgagcagcgaaagatcctactggacatgtcagtgtcctttcacacccatgtgaaagagctgtggacgtggctggaggagctgcagaaggagctgctggacgacgtgtatgccgagtcggtggaggccgtgcaggacctcatcaagcgctttggccagcagcagcagaccaccctgcaggtgactgtcaacgtgatcaaggaaggggaggacctcatccagcagctcagggactctgccatctccagtaacaagaccccccacaacagctccatcaaccacattgagacggtgctgcagcagctggacgaggcgcagtcgcagatggaggagctcttccaggagcgcaagatcaagctggagctcttcctgcagctgcgcatcttcgagagggacgccatcgacattatctcagacctcgagtcttggaatgatgagctttctcagcaaatgaatgacttcgacacagaagatctcacgattgcagagcagcgcctccagcaccatgcagacaaagccttgaccatgaacaacttgacttttgacgtcatccaccaagggcaagatcttctgcagtatgtcaatgaggtccaggcctctggtgtggagctgctgtgtgatagagatgtagacatggcaactcgggtccaggacctgctggagtttcttcatgaaaaacagcaggaattggatttagccgcagagcagcatcggaaacacctggagcagtgcgtgcagctgcgccacctgcaggcagaagtgaaacaggtgctgggttggatccgcaacggagagtccatgttaaatgccggacttatcacagccagctcgttacaagaggcagagcagctccagcgagagcacgagcagttccagcatgccattgagaaaacacatcagagcgcgctgcaggtgcagcagaaggcagaagccatgctacaggccaaccactacgacatggacatgatccgggactgcgccgagaaggtggcgtctcactggcaacagctcatgctcaagatggaagatcgcctcaagctcgtcaacgcctctgtcgctttctacaaaacctcagagcaggtctgcagcgtcctcgagagcctggaacaggagtacaagagagaagaagactggtgtggcggggcggataagctgggcccaaactctgagacggaccacgtgacgcccatgatcagcaagcacctggagcagaaggaggcattcctgaaggcttgcacccttgctcggaggaatgcagacgtcttcctgaaatacctgcacaggaacagcgtgaacatgccaggaatggtgacgcacatcaaagctcctgaacagcaagtgaaaaatatcttgaatgaactcttccaacgggagaacagggtattgcattactggaccatgaggaagagacggctggaccagtgtcagcagtacgtggtctttgagaggagtgccaagcaggctttggaatggatccatgacaatggcgagttctacctttccacacacacctccacgggctccagtatacagcacacccaggagctcctgaaagagcacgaggagttccagataactgcaaagcaaaccaaagagagagtgaagctattgatacagctggctgatggcttttgtgaaaaagggcatgcccatgcggcagagataaaaaaatgtgttactgctgtggataagaggtacagagatttctctctgcggatggagaagtacaggacctctttggaaaaagccctggggatttcttcagattccaacaaatcgagtaaaagtctccagctagatatcattccagccagtatccctggctcagaggtgaaacttcgagatgctgctcatgaacttaatgaagagaagcggaaatctgcccgcaggaaagagttcataatggctgagctcattcaaactgaaaaggcttatgtaagagacctccgggaatgtatggatacgtacctgtgggaaatgaccagtggcgtggaagagattccacctggcattgtaaacaaagaactcatcatcttcggaaacatgcaagaaatctacgaatttcataataacatattcctaaaggagctggaaaaatatgaacagttgccagaggatgttggacattgttttgttacttgggcagacaagtttcagatgtatgtcacatattgcaaaaataagcctgattctactcagctgatattggaacatgcagggtcctattttgacgagatacagcagcgacatggattagccaattccatttcttcctaccttattaaaccagttcagcgaataacgaagtatcagctccttttaaaagagctgctgacgtgctgtgaggaaggaaagggagagattaaagatggcctggaggtgatgctcagcgtgccgaagcgagccaatgatgccatgcacctcagcatgctggaagggtttgatgaaaacattgagtctcagggagaactcatcctacaggaatccttccaagtgtgggacccaaaaaccttaattcgaaagggtcgagaacggcatctcttcctttttgaaatgtccttagtatttagtaaagaagtgaaagattccagtgggagaagcaagtacctttataaaagcaaattgtttacctcagagttgggtgtcacagaacatgttgaaggagacccttgcaaatttgcactgtgggtggggagaacaccaacttcagataataaaattgtccttaaggcttccagcatagagaacaagcaggactggataaagcatatccgcgaagtcatccaggagcggacgatccacctgaagggagccctgaaggagcccattcacatccctaagaccgctcccgccacaagacagaagggaaggagggatggagaggatctggacagccaaggagacggcagcagccagcctgatacgatttccatcgcctcacggacgtctcagaacacgctggacagcgataagctctctggtggctgtgagctgacagtggtgatccatgacttcaccgcttgcaacagcaacgagctgaccatccgacggggccagaccgtggaagttctggagcggccgcatgacaagcctgactggtgtctggtgcggacaactgaccgctccccagcggcagaaggcctggtcccctgtggttcactgtgcatcgcccactccagaagtagcatggaaatggagggcatcttcaaccacaaagactcgctctccgtctccagcaatgacgccagtccacccgcatccgtggcttccctccagccccacatgatcggggcccagagctcgccgggccccaagcggccgggcaacaccctgcgcaagtggctcaccagccccgtgcggcggctcagcagcggcaaggccgacgggcacgtgaagaagctggcgcacaagcacaagaagagccgcgaggtccgcaagagcgccgacgccggctcgcagaaggactccgacgacagtgcggccaccccgcaggacgagacggtcgaggagagaggccggaacgagggcctgagcagcggtactctctccaaatcctcctcctcggggatgcagagctgtggagaagaggaaggcgaggagggggccgacgccgtgcccctgccgccacccatggccatccagcagcacagcctcctccagccagactcacaggatgacaaggcctcttctcggttattagtccgccccaccagctccgaaacaccgagtgcagccgagctcgtcagtgcaattgaggaactcgtgaaaagcaagatggcactggaggatcgccccagctcactccttgttgaccagggagatagtagcagcccttccttcaacccttcggataattcccttctctcttcctcctcgcccattgatgagatggaagaaaggaaatccagctctttaaagagaagacactacgttttgcaagaactagtggagacagagcgtgactatgtgcgggaccttggctatgtggttgagggctacatggcacttatgaaagaagatggtgttcctgatgacatgaaaggaaaagacaaaattgtgttcggcaacatccatcagatttacgactggcacagagacttttttttaggagagttagagaagtgccttgaagatccagaaaaactaggatccctttttgttaaacacgagagaaggttgcacatgtacatagcttattgtcaaaataaaccaaagtctgagcacattgtctcagaatacattgataccttttttgaggacttaaagcagcgtcttggccacaggttacagctcacagatctgttgatcaaaccagtgcagagaatcatgaagtatcagctgttactgaaggacttcctcaagtattccaaaaaggccagcctggatacatcagaattagagagagctgtggaagtcatgtgcatagtacccaggcggtgcaacgacatgatgaacgtggggcggctgcaaggattcgacgggaaaatcgttgcccagggtaaactgctcttgcaggacacattcttggtcacagaccaagatgcaggacttctgcctcgctgcagagagaggcgcatcttcctctttgagcagatcgtcatattcagcgaaccacttgataaaaagaagggcttctccatgccgggattcctgtttaagaacagtatcaaggtgagttgcctttgcctggaggaaaatgtggaaaatgatccctgtaaatttgctctgacatcgaggacgggtgacgtggtagagaccttcattttgcattcatctagtccaagtgtccggcaaacttggatccatgaaatcaaccaaattttagaaaaccagcgcaattttttaaatgccttgacatcgccaatcgagtaccagaggaaccacagcgggggcggcggcggcggcggcagcgggggcagcggcgggggtgggggcagcggcggcggcggggcccccagtggcggcagcggccacagtggcggccccagcagctgcggcggcgcccccagcacgagcaggagccggccctcccggatcccccagcctgtccgacaccacccccccgtgctggtctcctctgcagcctcgagccaggcagaggcagacaagatgtcaggtacgtccacccccgggccctccctgcctccccctggcgcggcccccgaggccggccccagcgcgcccagcaggcggccccccggcgcggacgccgaggggtccgagcgagaagcggagccgatccccaagatgaaggtgctggagagccccaggaaaggcgccgcgaacgcctcggggtcgagcccagacgcccccgccaaggacgcgcgcgctagcctgggcaccctgccgcttgggaagccccgggccggggccgcttcgccgctgaactcgccgctctccagcgcggtcccttctctcggcaaggagcccttcccccccagcagccccctgcagaaggggggctccttctggagctccatccccgcctcccccgccagccgacccggctccttcaccttcccgggggacagcgactccctccagcggcagacaccccgccacgcggcccctggcaaggatactgaccgcatgagcacgtgctcctcggccagcgagcagtccgtgcagtccacccagagcaacgggagtgaaagcagcagcagtagcaacatctccaccatgttggtgacacacgattacacggcagtgaaggaggatgagatcaacgtctaccaaggagaggtcgttcaaattctggccagcaaccagcagaacatgtttctggtgttccgagccgccactgaccagtgccccgcagctgagggctggattccaggctttgtcctgggccacaccagtgcagtcatcgtggagaacccggacgggactctcaagaagtcaacatcttggcacacagcactccgtttaaggaaaaaatctgagaaaaaagataaagacggcaaaagggaaggcaagttagagaacggttatcggaagtcacgggaaggactcagcaacaaggtatctgtgaagcttctcaatcccaactacatttatgacgttcccccagaattcgtcattccattgagtgaggtcacgtgtgagacaggggagaccgttgttcttagatgtcgagtctgtggccgccccaaagcctcaattacctggaagggccctgaacacaacaccttgaacaacgatggtcactacagcatctcctacagtgacctgggagaggccacgctgaagattgtgggcgtgaccacggaagatgacggcatctacacgtgcatcgctgtcaatgacatgggttcagcctcatcgtcggccagcctgagggtcctaggtccagggatggatgggatcatggtgacctggaaagacaactttgactccttctacagtgaagtggctgagcttggcaggggcagattctctgtcgttaagaaatgtgatcagaaaggaaccaagcgagcagtggccactaagtttgtgaacaagaagttgatgaagcgcgaccaggtcacccatgagcttggcatcctgcagagcctccagcaccccctgcttgtcggcctcctcgacacctttgagacccccaccagctacatcctggtcttagaaatggctgaccagggtcgcctcctggactgcgtggtgcgatggggaagcctcactgaagggaagatcagggcgcacctgggggaggttctggaagctgtccggtacctgcacaactgcaggatagcacacctggacctaaagcctgagaatatcctggtggatgagagtttagccaagccaaccatcaaactggctgactttggagatgctgttcagctcaacacgacctactacatccaccagttactggggaaccctgaattcgcagcccctgaaatcatcctcgggaaccctgtctccctgacctcggatacgtggagtgttggagtgctcacatacgtacttcttagtggcgtgtcccccttcctggatgacagtgtggaagagacctgcctgaacatttgccgcttagactttagcttcccagatgactactttaaaggagtgagccagaaggccaaggagttcgtgtgcttcctcctgcaggaggaccccgccaagcgtccctcggctgcgctggccctccaggagcagtggctgcaggccggcaacggcagaagcacgggcgtcctcgacacgtccagactgacttccttcattgagcggcgcaaacaccagaatgatgttcgacctatccgtagcattaaaaactttctgcagagcaggcttctgcctagagttttaattaa</t>
  </si>
  <si>
    <t>ggcgcgccatgattgtgctaccactgtactccagactggacaaaagattcctgtgccttaagaacattagaaccttcctgtccacctgctgtgagaagttcggcctcaagcggagcgagctcttcgaagcctttgacctcttcgatgtgcaggattttggcaaggtcatctacaccctgtctgctctgtcctggaccccgatcgcccagaacagggggatcatgcccttccccaccgaggaggagagtgtaggtgatgaagacatctacagtggcctgtccgaccagatcgacgacacggtggaggaggatgaggacctgtatgactgcgtggagaatgaggaggcggaaggcgacgagatctatgaggacctcatgcgctcggagcccgtgtccatgccgcccaagatgacagagtatgacaagcgctgctgctgcctgcgggagatccagcagacggaggagaagtacactgacacgctgggctccatccagcagcatttcttgaagcccctgcaacggttcctgaaacctcaagacattgagatcatctttatcaacattgaggacctgcttcgtgttcatactcacttcctaaaggagatgaaggaagccctgggcacccctggcgcagccaatctctaccaggtcttcatcaaatacaaggagaggttcctcgtctatggccgctactgcagccaggtggagtcagccagcaaacacctggaccgtgtggccgcagcccgggaggacgtgcagatgaagctggaggaatgttctcagagagccaacaacgggaggttcaccctgcgggacctgctgatggtgcctatgcagcgagttctcaaatatcacctccttctccaggagctggtgaaacacacgcaggaggcgatggagaaggagaacctgcggctggccctggatgccatgagggacctggctcagtgcgtgaacgaggtcaagcgagacaacgagacactgcgacagatcaccaatttccagctgtccattgagaacctggaccagtctctggctcactatggccggcccaagatcgacggggaactcaagatcacctcggtggaacggcgctccaagatggacaggtatgccttcctgctcgacaaagctctactcatctgtaagcgcaggggagactcctatgacctcaaggactttgtaaacctgcacagcttccaggttcgggatgactcttcaggagaccgagacaacaagaagtggagccacatgttcctcctgatcgaggaccaaggtgcccagggctatgagctgttcttcaagacaagagaattgaagaagaagtggatggagcagtttgagatggccatctccaacatctatccggagaatgccaccgccaacgggcatgacttccagatgttctcctttgaggagaccacatcctgcaaggcctgtcagatgctgcttagaggtaccttctatcagggctaccgctgccatcggtgccgggcatctgcacacaaggagtgtctggggagggtccctccatgtggccgacatgggcaagatttcccaggaactatgaagaaggacaaactacatcgcagggctcaggacaaaaagaggaatgagctgggtctgcccaagatggaggtgtttcaggaatactacgggcttcctccaccccctggagccattggaccctttctacggctcaaccctggagacattgtggagctcacgaaggctgaggctgaacagaactggtgggagggcagaaatacatctactaatgaaattggctggtttccttgtaacagggtgaagccctatgtccatggccctcctcaggacctgtctgttcatctctggtacgcaggccccatggagcgggcaggggcagagagcatcctggccaaccgctcggacgggactttcttggtgcggcagagggtgaaggatgcagcagaatttgccatcagcattaaatataacgtcgaggtcaagcacattaaaatcatgacagcagaaggactgtaccggatcacagagaaaaaggctttccgggggcttacggagctggtggagttttaccagcagaactctctaaaggattgcttcaagtctctggacaccaccttgcagttccccttcaaggagcctgaaaagagaaccatcagcaggccagcagtgggaagcacaaagtattttggcacagccaaagcccgctatgacttctgcgcccgagaccgatcagagctgtcgctcaaggagggtgacatcatcaagatccttaacaagaagggacagcaaggctggtggcgaggggagatctatggccgggttggctggttccctgccaactacgtggaggaagattattctgaatactgcttaattaa</t>
  </si>
  <si>
    <t>ggcgcgccatggagcagtggcggcaatgcggccgctggctcatcgactgcaaggtcctgccgcccaaccaccgcgtcgtgtggccctcggcggtggtcttcgacctggcgcaggcgctgcgcgacggcgtccttctgtgccagctgctgcacaacctctcccccggttccatcgaccttaaggacatcaacttccggccgcagatgtcccaggtcatctctgcagtgtcccgtctgtccctgcacagcatcgcacagagcaaagggatcaggccatttccatcagaggagacagctgaaaatgatgacgacgtctaccggagcctggaagagctggctgacgagcatgacctgggtgaggacatctacgactgtgtcccgtgtgaagatgaaggagatgacatttatgaggacatcatcaaggtggaggtgcagcagcccatgatcagatacatgcagaaaatgggcatgactgaggacgacaagagaagctgctgcttgttagagattcaggagaccgaggccaagtactaccgcaccctggaggacattgagaagaactacatgggtcccttgcggctggtgctgagcccggcggatatggctgctgtcttcatcaacctggaggacctcatcaaggtgcatcacagctttctgcgagccatcgatgtgtccatgatggctggtggcagtaccctggctaaggtctttctggagtttaaggaaaggctcctgatctatggagagtactgtagccacatggaacacgctcagagtacactgaaccagctcctcgccagccgagaggacttcaggcagaaagtggaggagtgcacactcagggttcaggatggcaagttcaagctgcaagacctgctggtggtgcccatgcaacgggtgctgaagtaccacctgctgctcaaggagctcctgagccattctgcagaccgaccagaaagacaacagctcaaagaagccctggaagccatgcaggacttggccatgtacatcaatgaagtgaagcgggacaaggagaccttgaagaagattagcgagttccagtgctccatagaaaacctgcaagtgaagctggaggaatttgggaggccaaagattgacggggagcttaaagtccggtccatagtcaaccacaccaagcaagacaggtacctgttcctatttgacaaggtggtcatcgtgtgcaagaggaagggctacagctatgagctgaaggaggtcattgagctgctcttccacaagatgaccgatgacccgatgcacaacaaggacatcaagaagtctcatgggaagatgtggtcctatggcttctacctgattcacctccaaggaaagcaaggctttcagttcttctgcaagacggaagacatgaagcggaagtggatggagcagttcgagatggccatgtcaaacatcaagccagataaggccaatgccaaccatcatagcttccagatgtacacattcgacaagactaccaactgcaaagcctgcaagatgtttctcaggggtaccttctaccagggatacctgtgtaccagatgtggcgtcggggcacacaaggaatgcctggaggtgatccccccctgcaagatgagttcacctgcagatgtggatgctcctggagcaggaccaggtcccaagatggttgctgtgcagaattaccatggtaacccagcccctcctgggaagcctgtgttgaccttccagacaggagacgtgatagaactgctccggggtgaccccgattctccttggtgggaagggcggctggttcaaaccaggaagtcagggtattttcccagctcatctgtgaagccctgcccagtggatggaaggccgcctactggccgcccaccatcccgggagatcgattacactgcctacccgtggtttgctggcaacatggaacggcagcagacggacaatctgctcaagtctcatgccagtgggacctacctcatcagagagcgtccagcagaggcagaacgcttcgccatcagcatcaagttcaatgatgaggtgaaacatatcaaggtggtggagaaagatagctggatccacatcacggaagctaagaagtttgagagcctcctgagcattctttcagcaatatttgggagccctgcgcctgagggagaggtttttgaggcactggccatcctagctgggcttggctggagagctggtggagtactaccagtgtcactcactcaaggaaagcttcaagcagttggacactacactcaagttcccctacaagtctcgggagcgaaccaccagcagggcctcaagccggtctccagcttcctgcgcttcctacaacttttcttttctcagtcctcagggcctcagctttgccccccaggccccttctgctcccttctggtcagtgttcacaccgcgggtcatcggcacagccgtggccaggtacaactttgctgctcgagacatgcgggagctgtcactgcgagaaggtgattaattaa</t>
  </si>
  <si>
    <t>ggcgcgccatggagccgtggaagcagtgcgctcagtggctcatccacagcaaggtgctgccccccaaccatcgggtgacctgggactcggcgcaggtgttcgacctggcgcagacccttcgcgatggagtcctgctctgccagctgctcaacaacctgcggccacactccatcaatctgaaggagatcaacctgaggccccagatgtcccagtttctctgtttgaagaacatccggacattcctggccgcctgctgcgatacctttggaatgaggaaaagtgaactttttgaggcatttgacctatttgatgttcgagactttggaaaggttatagaaacattatctcggctatcccgaacaccaatagcattggccacaggaatcaggccgttccccactgaagaaagtataaatgatgaagacatctacaaaggccttcccgacttaatagatgaaacccgcgtggaagatgaagaagacctctatgactgtgtgtacggcgaggatgaaggcggagaagtctatgaagacttgatgaaggcggaggaagcccagcaacctaaatcacaagaaaatgatatacggagttgttgcctagcagaaattaggcagacagaagaaaaatacacagaaacgttggagtcaatagaaaaatatttcatggcaccattgaaaagatttctgacggcggcggaatttgattcagtatttattaacattcctgaccttgtaaaagttcatcggagcttaatgcaagagattcatgattccattgtaaataaagatgaccagaacttgtatcaagtttttattaactacaaggaaagattggttatttatgggcagtactgcagtggagtggagtcagccatctctaacctagactacatctctaagacaaaagaagatgtcaaactgaaattagaggaatgttcaaaaagagccaataacgggaagtttactctgcgcgatttgctggtcgttccaatgcagcgcgtgctgaagtatcacctcctccttcaggagctggtaaaacacacccatgaccctatggagaaggcgaacctgaagctggctctggatgcaatgaaggacttggcacaatatgtgaatgaagtaaaaagagataatgagacccttcgtgaaattaagcagtttcagctatctatagagaatttgaaccagccagttttgctctttggacgaccacagggagacggtgaaatccgaataaccactctggacaagcatacaaaacaagaaaggcatatcttcttattcgacttggcagtgattgtctgtaaaaggaaaggcgataactacgagatgaaggaaataatagatctccagcagtacaagatagccaacaaccctaccactgacaaagagaataaaaagtggtcttatggcttctacctcatccatacccaaggacaaaatgggttagaattttattgcaaaacaaaagatttaaagaaaaaatggctggaacagtttgaaatggctctatccaacataaggccagactatgcagactccaatttccatgatttcaagatgcacaccttcactcgggtgacatcctgcagggtctgccagatgctcctgaggggaacattttatcaaggctacttatgttttaagtgtggagcaaaagcacataaagaatgtttgggaagagtagacaattgtggcagagttaattccgttgaacaagggccattcaaaccaccagagaaacggaccaatggacttcggagagcttccagacaggtggacccaggtttgccgaagatgcaggtcattaggaactacactggcaccccggccccagggcttcatgaaggaccaccattgcatatccaggcaggcgacactgttgaacttctgagaggagatgcacacagtgtgttctggcagggacgaaacttagcttcaggagaggttggatttttcccaagtgatgctgtcaaaccctctccatgtgtacctaaaccagtagattattcttgccaaccctggtatgctggcccaatggaaagattgcaggcagaaactgaacttattaacagggtgaatagtacttaccttgtaaggcacaggaccaaagaatctggagaatatgcaattagcattaagtacaataatgaagcaaaacacatcaagattttaacaagagatggcttttttcacattgcagaaaatagaaaatttaaaagcttaatggaacttgtggagtactacaagcaccattctctcaaagaagggttcaggaccttagatacaacgctacagtttccatacaaggagccagaacagccagctggacagaggggtaatagaacaggcaacagcttgttgagtcccaaagtactgggtattgccatcgctcggtacgacttctgtgcaagagatatgcgggagctctccctattgaaaggagacatggtgaagatttacacgaagatgagtgcaaatggctggtggagaggtgaagtaaatggcagggtgggctggtttccatccacatatgtggaagaagatgaattaattaa</t>
  </si>
  <si>
    <t>cggtccctgcagagcgatccccgggcccagatatggacgcagcagagccgggactccccccaggtcctgagggcaggaagaggtacagtgacatcttccggagcctggacaacctcgaaatctcactggggaacgtgacccttgagatgctggctggagaccctctactctcagaagacccagaacctgacaagacccctacagccactgttaccaacgaagccagctgttggagcggcccctccccagagggtcctgtacccctcacaggggaggaactggacttgcggctcattcggacaaaggggggtgtggacgcagccctggaatatgccaagacctggagccgctatgccaaggaactgcttgcctggactgaaaagagagccagctatgagctggagtttgctaagagcaccatgaagatcgctgaagctggcaaggtgtccattcaacagcagagccacatgcctctgcagtacatctacaccctgtttctggagcacgatctcagcctgggaaccctggccatggagacagtggcccagcagaaaagagactactaccagcccctcgccgccaaacggactgagattgagaagtggcggaaggagttcaaggagcagtggatgaaggagcagaagcggatgaatgaggcggtgcaggcactgcggcgcgcccagctgcagtatgtgcaacgcagcgaggacctgcgggcacgctcccaggggtcccctgaggactcggccccccaggcctcgccgggacctagcaagcagcaggagcggcggcggcgctcgcgagaggaggcccaggccaaggcgcaggaggccgaggcgctgtaccaggcctgtgtccgcgaggccaacgcgcggcagcaggacctggagatcgccaagcagcgaatcgtgtcgcacgtgcgcaagctggtgtttcagggggatgaagtgctgaggcgggtgacgctgagtctcttcgggctgcggggggcgcaggcagagcgtggcccccgcgccttcgccgccctggccgagtgctgtgcgccctttgagccgggccagcgctaccaggagtttgtacgggcgctgcggcccgaggccccgccgcccccgccgcccgccttctccttccaggagttccttccctccttgaacagctcccctctggacatcagaaagaagctctctgggcctcttcctccaaggctggatgagaattcagctgagccaggcccttgggaggatccgggcacaggctggcgctggcaagggactccaggccccactccgggcagcgatgtggacagcgtgggtggcggcagcgagtctcggtccctggactcacccacttccagcccaggcgctggcacgaggcagctggtgaaggcttcgtccacaggcactgagtcctcagatgactttgaggagcgagaccctgacctgggagacgggctggagaatgggctgggcagccccttcgggaagtggacactgtccagcgcggctcagacccaccagctgcggcgactgcggggcccagccaagtgccgcgagtgcgaagccttcatggtcagcgggacggagtgtgaggagtgctttctgacctgccacaagcgctgcctggagactctcctgatcctctgtggacacaggcggctcccagcccggacacccctttttggggttgacttcctgcagctacccagggacttcccggaggaggtaccctttgtggtcacgaagtgcacggctgagatagaacaccgtgccctggatgtgcagggcatttaccgggtcagcgggtcccgggtccgtgtggagcggctgtgccaggctttcgagaatggccgagcgttggtggagctgtcggggaactcgcctcatgacgtctcgagtgtcctcaagcgatttcttcaggagctcaccgagcccgtgatccccttccacctctacgacgccttcatctctctggctaagaccttgcatgcagaccctggggacgaccctgggacccccagccccagccctgaggttatccgctcgctgaagaccctcttggtacagctgcctgactctaactacaacaccctgcggcacctggtggcccatctgttcagggtggctgcacgatttatggaaaacaagatgtctgccaacaacctgggcattgtgtttgggccgacactgctgcggccgccggacggcccgcgggcagccagcgccatccctgtcacctgcctgctggactctgggcatcaggcccagcttgtggagttcctcatcgtgcactacgagcagatctttgggatggatgagctcccccaggccactgagcccccgccccaagactccagcccagcccctgggcccctcacaaccagctcccaaccgccacccccgcaccttgacccagactcccagcccccagtcctagcctcagaccccggcccagacccccagcaccacagtaccctggagcagcatcccacggccacacctaccgagattccaactccacagagtgaccagagagaggacgtggctgaagacaccaaagatgggggaggggaagtgtccagccaaggcccagaggactcactcctggggacacagtctcgtggccacttcagccgccagccagtgaagtatccccggggcggtgtgaggcctgtaacccaccagctgtccagtctggccctggtggcttccaagctgtgcgaggagacccccatcacatcagtgcccagagggagtttgcgggggcgggggcccagccctgcagctgcctcccctgagggcagccccctgcgccgcaccccgctgcccaagcattttgagattacccaggagacagcccggctactctcgaaattggacagcgaggctgtgcccagggccacctgctgcccggacgtccagcctgaggaagccgaggaccatctctgaccaccctggcaccttaaataaggaagaggcccagattgtgaacacggacccatatatccctacctcccaccacctagtggccaaacaccccgccaggagttcaatgctgggagaggtcca</t>
  </si>
  <si>
    <t>human isoform 2</t>
  </si>
  <si>
    <t>human isoform 4</t>
  </si>
  <si>
    <t>aa 1-13 missing</t>
  </si>
  <si>
    <t>human isoform 3</t>
  </si>
  <si>
    <t>XP_016787088.2 rho GTPase-activating protein 27 isoform X5 [Pan troglodytes]</t>
  </si>
  <si>
    <t>mouse isoform 3</t>
  </si>
  <si>
    <t>mouse isoform 2</t>
  </si>
  <si>
    <t>human isoform2</t>
  </si>
  <si>
    <t>clone hCG2019858, containing additional 53 amino acids at N-terminus and 86 amino acids at C-terminus.</t>
  </si>
  <si>
    <t>aa 1-3 missing</t>
  </si>
  <si>
    <t>human isoform 4 (1344 aa), construct contains additional 62 aa at N-terminus</t>
  </si>
  <si>
    <t>human isoform 3 (1975 aa), construcht contains additional 36 amino acids at pos 912.</t>
  </si>
  <si>
    <t>human isoform B</t>
  </si>
  <si>
    <t>mouse isoform 1 (canonical)</t>
  </si>
  <si>
    <t>XP_016787088.2</t>
  </si>
  <si>
    <t>NP_037116.2, Q63358.1</t>
  </si>
  <si>
    <t>NP_114451.2, P97924.3</t>
  </si>
  <si>
    <t>AAH68145.1</t>
  </si>
  <si>
    <t>BAC32673.1</t>
  </si>
  <si>
    <t>NP_033837.2</t>
  </si>
  <si>
    <t>AAH10306.2, NP_001158100.1</t>
  </si>
  <si>
    <t>EDL26857.1, NP_722542.2</t>
  </si>
  <si>
    <t>NP_789807.1</t>
  </si>
  <si>
    <t>AAH66788.1</t>
  </si>
  <si>
    <t>NP_001005508.2, AAH82573.1</t>
  </si>
  <si>
    <t>NP_839983.1</t>
  </si>
  <si>
    <t>AAH06589.1</t>
  </si>
  <si>
    <t>EDL24727.1</t>
  </si>
  <si>
    <t>NP_083799.2</t>
  </si>
  <si>
    <t>BAD83670.1</t>
  </si>
  <si>
    <t>NP_031926.2</t>
  </si>
  <si>
    <t>NP_032411.3</t>
  </si>
  <si>
    <t>EDL14202.1, NP_443208.1</t>
  </si>
  <si>
    <t>CAA73903.1</t>
  </si>
  <si>
    <t>NP_620091.2</t>
  </si>
  <si>
    <t>NP_001272928.1</t>
  </si>
  <si>
    <t>NP_001074480.2</t>
  </si>
  <si>
    <t>AAH27830.2</t>
  </si>
  <si>
    <t>NP_666080.1</t>
  </si>
  <si>
    <t>NP_036008.2</t>
  </si>
  <si>
    <t>NP_009131.2</t>
  </si>
  <si>
    <t>BAB69014.1</t>
  </si>
  <si>
    <t>NP_056057.2</t>
  </si>
  <si>
    <t>NP_056045.2</t>
  </si>
  <si>
    <t>NP_001158213.1</t>
  </si>
  <si>
    <t>NP_001025226.1</t>
  </si>
  <si>
    <t>AAH06107.1</t>
  </si>
  <si>
    <t>NP_078881.3</t>
  </si>
  <si>
    <t>NP_055598.1</t>
  </si>
  <si>
    <t>NP_001034930.1</t>
  </si>
  <si>
    <t>NP_001257624.1</t>
  </si>
  <si>
    <t>CAC37948.1</t>
  </si>
  <si>
    <t>NP_116289.4</t>
  </si>
  <si>
    <t>NP_065860.2</t>
  </si>
  <si>
    <t>NP_065875.3</t>
  </si>
  <si>
    <t>NP_001242953.1</t>
  </si>
  <si>
    <t>NP_001186346.1</t>
  </si>
  <si>
    <t>NP_001020787.2</t>
  </si>
  <si>
    <t>NP_055697.1</t>
  </si>
  <si>
    <t>NP_055886.1</t>
  </si>
  <si>
    <t>AAH93767.1</t>
  </si>
  <si>
    <t>NP_065805.2</t>
  </si>
  <si>
    <t>NP_001136157.1</t>
  </si>
  <si>
    <t>NP_004482.4</t>
  </si>
  <si>
    <t>EAX11794.1</t>
  </si>
  <si>
    <t>NP_079527.1</t>
  </si>
  <si>
    <t>EAW76013.1,Q5TG30.3</t>
  </si>
  <si>
    <t>NP_689645.2</t>
  </si>
  <si>
    <t>NP_055674.4, BAA31647.3</t>
  </si>
  <si>
    <t>NP_036424.2</t>
  </si>
  <si>
    <t>NP_945328.1</t>
  </si>
  <si>
    <t>XP_011509576.1</t>
  </si>
  <si>
    <t>AAI36662.1</t>
  </si>
  <si>
    <t>NP_004831.1</t>
  </si>
  <si>
    <t>NP_001106983.1</t>
  </si>
  <si>
    <t>NP_056000.1</t>
  </si>
  <si>
    <t>XP_024303103.1</t>
  </si>
  <si>
    <t>BAB13452.2</t>
  </si>
  <si>
    <t>NP_055599.1</t>
  </si>
  <si>
    <t>NP_056128.1</t>
  </si>
  <si>
    <t>BAA74938.3,AAH36749.1</t>
  </si>
  <si>
    <t>XP_016856538.1,NP_055263.2</t>
  </si>
  <si>
    <t>NP_055601.2</t>
  </si>
  <si>
    <t>EAW69039.1,NP_056133.2</t>
  </si>
  <si>
    <t>NP_694945.2</t>
  </si>
  <si>
    <t>NP_891992.2</t>
  </si>
  <si>
    <t>AAH78655.1</t>
  </si>
  <si>
    <t>NP_001073948.2</t>
  </si>
  <si>
    <t>NP_116207.2</t>
  </si>
  <si>
    <t>NP_060541.3</t>
  </si>
  <si>
    <t>NP_004318.3</t>
  </si>
  <si>
    <t>NP_001813.1</t>
  </si>
  <si>
    <t>NP_004058.1</t>
  </si>
  <si>
    <t>AAH19075.1</t>
  </si>
  <si>
    <t>BAB21814.2</t>
  </si>
  <si>
    <t>NP_056036.1</t>
  </si>
  <si>
    <t>NP_001371.1</t>
  </si>
  <si>
    <t>NP_004937.1</t>
  </si>
  <si>
    <t>NP_004938.1</t>
  </si>
  <si>
    <t>AAI17690.1</t>
  </si>
  <si>
    <t>NP_079216.4</t>
  </si>
  <si>
    <t>NP_065863.2</t>
  </si>
  <si>
    <t>NP_212132.2</t>
  </si>
  <si>
    <t>NP_001180465.1</t>
  </si>
  <si>
    <t>XP_006719995.1, NP_001123520.1</t>
  </si>
  <si>
    <t>NP_001071174.1</t>
  </si>
  <si>
    <t>NP_055698.2</t>
  </si>
  <si>
    <t>NP_057687.2</t>
  </si>
  <si>
    <t>NP_055623.1</t>
  </si>
  <si>
    <t>NP_004454.2</t>
  </si>
  <si>
    <t>AAH23645.1</t>
  </si>
  <si>
    <t>AAH32429.1</t>
  </si>
  <si>
    <t>XP_011518856.1,BAB71413.1</t>
  </si>
  <si>
    <t>NP_689749.3</t>
  </si>
  <si>
    <t>NP_060821.3</t>
  </si>
  <si>
    <t>NP_057657.2</t>
  </si>
  <si>
    <t>AAC78611.1</t>
  </si>
  <si>
    <t>AAI46780.1</t>
  </si>
  <si>
    <t>NP_001093325.1</t>
  </si>
  <si>
    <t>XP_016875984.1</t>
  </si>
  <si>
    <t>Q86YR7.3,NP_055893.3</t>
  </si>
  <si>
    <t>EAW77880.1</t>
  </si>
  <si>
    <t>NP_005854.2</t>
  </si>
  <si>
    <t>AAH31573.1</t>
  </si>
  <si>
    <t>NP_001578.2</t>
  </si>
  <si>
    <t>NP_852664.1</t>
  </si>
  <si>
    <t>NP_001316728.1</t>
  </si>
  <si>
    <t>NP_001295076.1</t>
  </si>
  <si>
    <t>AAH82974.1</t>
  </si>
  <si>
    <t>BAB67802.3,Q96PX9.4</t>
  </si>
  <si>
    <t>NP_060643.2</t>
  </si>
  <si>
    <t>NP_001004330.1</t>
  </si>
  <si>
    <t>NP_065871.2</t>
  </si>
  <si>
    <t>NP_079146.2</t>
  </si>
  <si>
    <t>XP_024304726.1,NP_037409.2</t>
  </si>
  <si>
    <t>NP_006779.1</t>
  </si>
  <si>
    <t>NP_008840.1</t>
  </si>
  <si>
    <t>NP_061830.3</t>
  </si>
  <si>
    <t>AAH40275.1</t>
  </si>
  <si>
    <t>NP_005624.2</t>
  </si>
  <si>
    <t>NP_008870.2</t>
  </si>
  <si>
    <t>NP_001273721.1</t>
  </si>
  <si>
    <t>NP_065813.1</t>
  </si>
  <si>
    <t>NP_001028289.1</t>
  </si>
  <si>
    <t>BAA11506.3</t>
  </si>
  <si>
    <t>NP_149014.3</t>
  </si>
  <si>
    <t>NP_115560.1</t>
  </si>
  <si>
    <t>NP_003244.2</t>
  </si>
  <si>
    <t>NP_009049.2</t>
  </si>
  <si>
    <t>AAH13361.2</t>
  </si>
  <si>
    <t>NP_006104.4</t>
  </si>
  <si>
    <t>AAI50754.1</t>
  </si>
  <si>
    <t>Gene Name</t>
  </si>
  <si>
    <t>Human EntrezGene ID</t>
  </si>
  <si>
    <t xml:space="preserve">cDNA source </t>
  </si>
  <si>
    <t>JB568</t>
  </si>
  <si>
    <t>V7522</t>
  </si>
  <si>
    <t>DH12</t>
  </si>
  <si>
    <t>mCherry-DOCK7 (JB557)</t>
  </si>
  <si>
    <t>human isoform 2, no Citrine construct in library</t>
  </si>
  <si>
    <t>Supplementary Table 1. Information on the RhoGEF/RhoGAP cDNAs  included in our cDNA library</t>
  </si>
  <si>
    <t xml:space="preserve"> NP_001273768.1</t>
  </si>
  <si>
    <t>Supplementary Table 2. RhoGEF/RhoGAP specificities identified in this study and in the literature</t>
  </si>
  <si>
    <t>RhoGEF/RhoGAP activity screen</t>
  </si>
  <si>
    <t>Literature review</t>
  </si>
  <si>
    <t>other activities</t>
  </si>
  <si>
    <t>reference PMID</t>
  </si>
  <si>
    <t>GENE NAME</t>
  </si>
  <si>
    <t>GEF or GAP</t>
  </si>
  <si>
    <t>"integrated"</t>
  </si>
  <si>
    <r>
      <t>"</t>
    </r>
    <r>
      <rPr>
        <b/>
        <i/>
        <sz val="12"/>
        <color theme="1"/>
        <rFont val="Arial"/>
        <family val="2"/>
      </rPr>
      <t>in vitro</t>
    </r>
    <r>
      <rPr>
        <b/>
        <sz val="12"/>
        <color theme="1"/>
        <rFont val="Arial"/>
        <family val="2"/>
      </rPr>
      <t>"</t>
    </r>
  </si>
  <si>
    <r>
      <t>"</t>
    </r>
    <r>
      <rPr>
        <b/>
        <i/>
        <sz val="12"/>
        <color theme="1"/>
        <rFont val="Arial"/>
        <family val="2"/>
      </rPr>
      <t>in vivo</t>
    </r>
    <r>
      <rPr>
        <b/>
        <sz val="12"/>
        <color theme="1"/>
        <rFont val="Arial"/>
        <family val="2"/>
      </rPr>
      <t>"</t>
    </r>
  </si>
  <si>
    <t>"reference"</t>
  </si>
  <si>
    <t>RhoA</t>
  </si>
  <si>
    <t>Rac1</t>
  </si>
  <si>
    <t>Cdc42</t>
  </si>
  <si>
    <t>RhoA+Rac1</t>
  </si>
  <si>
    <t>RhoA+Cdc42</t>
  </si>
  <si>
    <t>Rac1+Cdc42</t>
  </si>
  <si>
    <t>RhoA+Rac1+Cdc42</t>
  </si>
  <si>
    <t>-</t>
  </si>
  <si>
    <t>+</t>
  </si>
  <si>
    <t/>
  </si>
  <si>
    <t>GAP-like</t>
  </si>
  <si>
    <t>c</t>
  </si>
  <si>
    <t>Rac3</t>
  </si>
  <si>
    <t>RhoC</t>
  </si>
  <si>
    <t>RhoU</t>
  </si>
  <si>
    <t>RhoQ</t>
  </si>
  <si>
    <t>RhoB, Rac2</t>
  </si>
  <si>
    <t>n.d.</t>
  </si>
  <si>
    <t>RhoB, RhoC</t>
  </si>
  <si>
    <t>RhoB</t>
  </si>
  <si>
    <t>Rac2, Rac3</t>
  </si>
  <si>
    <t>RhoG, Rac2</t>
  </si>
  <si>
    <t>Rab5A, Rab5B, Rab5C</t>
  </si>
  <si>
    <t>RhoG</t>
  </si>
  <si>
    <t>Rac2</t>
  </si>
  <si>
    <t>Rac2, Rap1</t>
  </si>
  <si>
    <t>RhoG, RhoQ</t>
  </si>
  <si>
    <t>GEF1+2</t>
  </si>
  <si>
    <t>GEF1</t>
  </si>
  <si>
    <t>GEF2</t>
  </si>
  <si>
    <t>RhoB, RhoC, Rac2, Rac3, RhoG, RhoQ</t>
  </si>
  <si>
    <t>RhoB, RhoC, RhoG</t>
  </si>
  <si>
    <t>RhoC, RhoG</t>
  </si>
  <si>
    <t>RhoB, RhoC, Rac2, Rac3, RhoG, RhoQ, RhoJ</t>
  </si>
  <si>
    <t>Rac2, Rac3, RhoJ, RhoG</t>
  </si>
  <si>
    <t>RhoB, RhoC, RhoG, Rac2, Rac3</t>
  </si>
  <si>
    <t>Supplementary Table 3. RhoGEF/RhoGAP interactome</t>
  </si>
  <si>
    <t>CONFIDENCE</t>
  </si>
  <si>
    <t>Bait</t>
  </si>
  <si>
    <t>Prey</t>
  </si>
  <si>
    <t>PreyDescription</t>
  </si>
  <si>
    <t>UniquePeptides</t>
  </si>
  <si>
    <t>SumOfUniquePeptides</t>
  </si>
  <si>
    <t>TotalSamples</t>
  </si>
  <si>
    <t>Z-scoreInSet</t>
  </si>
  <si>
    <t>SAINT</t>
  </si>
  <si>
    <t>NormTotalPeptides(99% pred interval upper limit)</t>
  </si>
  <si>
    <t>FrequencyInSets</t>
  </si>
  <si>
    <t>SetsFound</t>
  </si>
  <si>
    <t>TotalFrequency</t>
  </si>
  <si>
    <t>Instrument</t>
  </si>
  <si>
    <t>GOLD</t>
  </si>
  <si>
    <t>RBM22</t>
  </si>
  <si>
    <t>pre-mRNA-splicing factor RBM22 [Homo sapiens]</t>
  </si>
  <si>
    <t>NA</t>
  </si>
  <si>
    <t xml:space="preserve">0.0824742268041237(3.10397244004214e-05) </t>
  </si>
  <si>
    <t>transient_ltq1</t>
  </si>
  <si>
    <t>LTQ1;</t>
  </si>
  <si>
    <t>TRIP10</t>
  </si>
  <si>
    <t>cdc42-interacting protein 4 [Homo sapiens]</t>
  </si>
  <si>
    <t xml:space="preserve">0(3.60415496491162e-05) </t>
  </si>
  <si>
    <t>PPP6C</t>
  </si>
  <si>
    <t>serine/threonine-protein phosphatase 6 catalytic subunit isoform b [Homo sapiens]</t>
  </si>
  <si>
    <t xml:space="preserve">1 1 1 </t>
  </si>
  <si>
    <t xml:space="preserve">0.0206185567010309(0.000161624478828812) </t>
  </si>
  <si>
    <t>MCAT</t>
  </si>
  <si>
    <t>malonyl-CoA-acyl carrier protein transacylase; mitochondrial isoform a precursor [Homo sapiens]</t>
  </si>
  <si>
    <t xml:space="preserve">5 7 </t>
  </si>
  <si>
    <t xml:space="preserve">0.0285714285714286(0.000206828414497966) </t>
  </si>
  <si>
    <t>stable_orbitrap</t>
  </si>
  <si>
    <t>ORBITRAP;</t>
  </si>
  <si>
    <t>TFB1M</t>
  </si>
  <si>
    <t>Dimethyladenosine transferase 1, mitochondrial</t>
  </si>
  <si>
    <t xml:space="preserve">10 7 </t>
  </si>
  <si>
    <t>MDC</t>
  </si>
  <si>
    <t>Q Exactive HF-X;</t>
  </si>
  <si>
    <t>ADCK3</t>
  </si>
  <si>
    <t>chaperone activity of bc1 complex-like; mitochondrial [Homo sapiens]</t>
  </si>
  <si>
    <t xml:space="preserve">0.0103092783505155(0.000123990811192711) </t>
  </si>
  <si>
    <t>LTQ1;TRIPLETOF2;</t>
  </si>
  <si>
    <t>C12orf23</t>
  </si>
  <si>
    <t>UPF0444 transmembrane protein C12orf23 [Homo sapiens]</t>
  </si>
  <si>
    <t xml:space="preserve">2 5 </t>
  </si>
  <si>
    <t xml:space="preserve">0.0309278350515464(0.00218422398330002) </t>
  </si>
  <si>
    <t>LTQ1;ORBITRAP;</t>
  </si>
  <si>
    <t>MAPK1</t>
  </si>
  <si>
    <t>mitogen-activated protein kinase 1 [Homo sapiens]</t>
  </si>
  <si>
    <t xml:space="preserve">0.0103092783505155(0.000176648197739764) </t>
  </si>
  <si>
    <t>MCM3</t>
  </si>
  <si>
    <t>DNA replication licensing factor MCM3 isoform 1 [Homo sapiens]</t>
  </si>
  <si>
    <t xml:space="preserve">0.0618556701030928(6.91522335615543e-05) </t>
  </si>
  <si>
    <t>PRPF38A</t>
  </si>
  <si>
    <t>pre-mRNA-splicing factor 38A [Homo sapiens]</t>
  </si>
  <si>
    <t xml:space="preserve">0.0103092783505155(9.58690141390969e-06) </t>
  </si>
  <si>
    <t>CCNT1</t>
  </si>
  <si>
    <t>cyclin-T1 [Homo sapiens]</t>
  </si>
  <si>
    <t xml:space="preserve">0.0206185567010309(5.70606345358766e-05) </t>
  </si>
  <si>
    <t>HSD17B4</t>
  </si>
  <si>
    <t>peroxisomal multifunctional enzyme type 2 [Homo sapiens]</t>
  </si>
  <si>
    <t xml:space="preserve">6 6 </t>
  </si>
  <si>
    <t xml:space="preserve">0.037037037037037(0.000763146654611713) </t>
  </si>
  <si>
    <t>stable_tripletof2</t>
  </si>
  <si>
    <t>TRIPLETOF2;</t>
  </si>
  <si>
    <t>DNAJB1</t>
  </si>
  <si>
    <t>dnaJ homolog subfamily B member 1 [Homo sapiens]</t>
  </si>
  <si>
    <t xml:space="preserve">3 4 </t>
  </si>
  <si>
    <t xml:space="preserve">0(0.000349158023978187) </t>
  </si>
  <si>
    <t>LRRC59</t>
  </si>
  <si>
    <t>leucine-rich repeat-containing protein 59 [Homo sapiens]</t>
  </si>
  <si>
    <t xml:space="preserve">0.0103092783505155(0.000206012017570679) </t>
  </si>
  <si>
    <t>PSMA7</t>
  </si>
  <si>
    <t>proteasome subunit alpha type-7 [Homo sapiens]</t>
  </si>
  <si>
    <t xml:space="preserve">0.0206185567010309(0.000101359206130181) </t>
  </si>
  <si>
    <t>AHCYL1</t>
  </si>
  <si>
    <t>putative adenosylhomocysteinase 2 isoform a [Homo sapiens]</t>
  </si>
  <si>
    <t xml:space="preserve">3 7 </t>
  </si>
  <si>
    <t xml:space="preserve">0.0103092783505155(0.000148894759222018) </t>
  </si>
  <si>
    <t>RHOG</t>
  </si>
  <si>
    <t>rho-related GTP-binding protein RhoG precursor [Homo sapiens]</t>
  </si>
  <si>
    <t xml:space="preserve">2 1 </t>
  </si>
  <si>
    <t xml:space="preserve">0.0206185567010309(3.99627601435127e-05) </t>
  </si>
  <si>
    <t>RANBP1</t>
  </si>
  <si>
    <t>ran-specific GTPase-activating protein [Homo sapiens]</t>
  </si>
  <si>
    <t xml:space="preserve">5 4 </t>
  </si>
  <si>
    <t xml:space="preserve">0(0.000102541001110735) </t>
  </si>
  <si>
    <t>SRFBP1</t>
  </si>
  <si>
    <t>serum response factor-binding protein 1 [Homo sapiens]</t>
  </si>
  <si>
    <t xml:space="preserve">0.0309278350515464(1.67831298684336e-05) </t>
  </si>
  <si>
    <t>POLR2D</t>
  </si>
  <si>
    <t>DNA-directed RNA polymerase II subunit RPB4 [Homo sapiens]</t>
  </si>
  <si>
    <t xml:space="preserve">0(9.66662946575202e-06) </t>
  </si>
  <si>
    <t>MNF1</t>
  </si>
  <si>
    <t>mitochondrial nucleoid factor 1 [Homo sapiens]</t>
  </si>
  <si>
    <t xml:space="preserve">0(1.92174950764188e-06) </t>
  </si>
  <si>
    <t>ZNF768</t>
  </si>
  <si>
    <t>zinc finger protein 768 [Homo sapiens]</t>
  </si>
  <si>
    <t xml:space="preserve">1 2 </t>
  </si>
  <si>
    <t xml:space="preserve">0(4.41745329185399e-06) </t>
  </si>
  <si>
    <t>RPS27A</t>
  </si>
  <si>
    <t xml:space="preserve">3 1 2 2 </t>
  </si>
  <si>
    <t xml:space="preserve">0.11340206185567(0.000974459840561397) </t>
  </si>
  <si>
    <t>RAB31</t>
  </si>
  <si>
    <t>ras-related protein Rab-31 [Homo sapiens]</t>
  </si>
  <si>
    <t xml:space="preserve">0.0206185567010309(0.000159914757417756) </t>
  </si>
  <si>
    <t>MRPS35</t>
  </si>
  <si>
    <t>28S ribosomal protein S35; mitochondrial isoform 1 precursor [Homo sapiens]</t>
  </si>
  <si>
    <t xml:space="preserve">0.0927835051546392(7.88929628877744e-05) </t>
  </si>
  <si>
    <t>CTNND1</t>
  </si>
  <si>
    <t>catenin delta-1 isoform 1B [Homo sapiens]</t>
  </si>
  <si>
    <t xml:space="preserve">1 1 </t>
  </si>
  <si>
    <t xml:space="preserve">0.0103092783505155(3.99200042979539e-05) </t>
  </si>
  <si>
    <t>LMNA</t>
  </si>
  <si>
    <t>lamin isoform C [Homo sapiens]</t>
  </si>
  <si>
    <t xml:space="preserve">0.0412371134020619(4.72661634763787e-06) </t>
  </si>
  <si>
    <t>HP1BP3</t>
  </si>
  <si>
    <t>heterochromatin protein 1-binding protein 3 [Homo sapiens]</t>
  </si>
  <si>
    <t xml:space="preserve">3 1 </t>
  </si>
  <si>
    <t xml:space="preserve">0.0515463917525773(0.000113869348764567) </t>
  </si>
  <si>
    <t>HBA2</t>
  </si>
  <si>
    <t xml:space="preserve">0(0.000236043957149496) </t>
  </si>
  <si>
    <t>CSRP2</t>
  </si>
  <si>
    <t>cysteine and glycine-rich protein 2 [Homo sapiens]</t>
  </si>
  <si>
    <t xml:space="preserve">0.0309278350515464(0.000168499222947768) </t>
  </si>
  <si>
    <t>SCOC</t>
  </si>
  <si>
    <t>short coiled-coil protein isoform 4 [Homo sapiens]</t>
  </si>
  <si>
    <t xml:space="preserve">0.0103092783505155(0.000332166971178527) </t>
  </si>
  <si>
    <t>CCDC50</t>
  </si>
  <si>
    <t>coiled-coil domain-containing protein 50 short isoform [Homo sapiens]</t>
  </si>
  <si>
    <t xml:space="preserve">0.0618556701030928(9.24489839434587e-05) </t>
  </si>
  <si>
    <t>ZNF22</t>
  </si>
  <si>
    <t>zinc finger protein 22 [Homo sapiens]</t>
  </si>
  <si>
    <t xml:space="preserve">3 3 </t>
  </si>
  <si>
    <t xml:space="preserve">0(7.43892614939903e-05) </t>
  </si>
  <si>
    <t>PSMD3</t>
  </si>
  <si>
    <t>26S proteasome non-ATPase regulatory subunit 3 [Homo sapiens]</t>
  </si>
  <si>
    <t xml:space="preserve">0.0824742268041237(7.74105684501358e-05) </t>
  </si>
  <si>
    <t>SH3GL1</t>
  </si>
  <si>
    <t>endophilin-A2 isoform 1 [Homo sapiens]</t>
  </si>
  <si>
    <t xml:space="preserve">18 21 </t>
  </si>
  <si>
    <t xml:space="preserve">0.0103092783505155(2.81469908755627e-05) </t>
  </si>
  <si>
    <t>TXNDC12</t>
  </si>
  <si>
    <t>thioredoxin domain-containing protein 12 precursor [Homo sapiens]</t>
  </si>
  <si>
    <t xml:space="preserve">3 2 </t>
  </si>
  <si>
    <t xml:space="preserve">0.0309278350515464(0.000177195068418252) </t>
  </si>
  <si>
    <t>dedicator of cytokinesis protein 7 isoform 1 [Homo sapiens]</t>
  </si>
  <si>
    <t xml:space="preserve">3 25 6 </t>
  </si>
  <si>
    <t xml:space="preserve">0(2.49465965831309e-05) </t>
  </si>
  <si>
    <t>POLDIP2</t>
  </si>
  <si>
    <t>polymerase delta-interacting protein 2 [Homo sapiens]</t>
  </si>
  <si>
    <t xml:space="preserve">0(4.26274901880839e-05) </t>
  </si>
  <si>
    <t>PSMD12</t>
  </si>
  <si>
    <t>26S proteasome non-ATPase regulatory subunit 12 isoform 1 [Homo sapiens]</t>
  </si>
  <si>
    <t xml:space="preserve">0.0103092783505155(3.89343819333163e-05) </t>
  </si>
  <si>
    <t>SMARCA4</t>
  </si>
  <si>
    <t>transcription activator BRG1 isoform B [Homo sapiens]</t>
  </si>
  <si>
    <t xml:space="preserve">0(0.00086260984145749) </t>
  </si>
  <si>
    <t>transient_orbitrap</t>
  </si>
  <si>
    <t>PLG</t>
  </si>
  <si>
    <t>plasminogen isoform 1 precursor [Homo sapiens]</t>
  </si>
  <si>
    <t xml:space="preserve">2 2 </t>
  </si>
  <si>
    <t xml:space="preserve">0.0309278350515464(7.5333819208733e-05) </t>
  </si>
  <si>
    <t>ERLIN1</t>
  </si>
  <si>
    <t>erlin-1 [Homo sapiens]</t>
  </si>
  <si>
    <t xml:space="preserve">0.0206185567010309(0.00014392004100636) </t>
  </si>
  <si>
    <t>NDUFA8</t>
  </si>
  <si>
    <t>NADH dehydrogenase [ubiquinone] 1 alpha subcomplex subunit 8 [Homo sapiens]</t>
  </si>
  <si>
    <t xml:space="preserve">0.0206185567010309(5.43211355404513e-05) </t>
  </si>
  <si>
    <t>TMOD1</t>
  </si>
  <si>
    <t>Tropomodulin-1</t>
  </si>
  <si>
    <t xml:space="preserve">6 7 9 </t>
  </si>
  <si>
    <t>dedicator of cytokinesis protein 4 [Homo sapiens]</t>
  </si>
  <si>
    <t xml:space="preserve">0.0618556701030928(1.36684468019071e-05) </t>
  </si>
  <si>
    <t>ATP5I</t>
  </si>
  <si>
    <t>ATP synthase subunit e; mitochondrial [Homo sapiens]</t>
  </si>
  <si>
    <t xml:space="preserve">0.0103092783505155(0.000182017286614755) </t>
  </si>
  <si>
    <t>TIMM13</t>
  </si>
  <si>
    <t>mitochondrial import inner membrane translocase subunit Tim13 [Homo sapiens]</t>
  </si>
  <si>
    <t xml:space="preserve">0(0.000235259849132371) </t>
  </si>
  <si>
    <t>NCK1</t>
  </si>
  <si>
    <t>cytoplasmic protein NCK1 isoform 1 [Homo sapiens]</t>
  </si>
  <si>
    <t xml:space="preserve">0(0.000500236067719744) </t>
  </si>
  <si>
    <t>PSPC1</t>
  </si>
  <si>
    <t>paraspeckle component 1 [Homo sapiens]</t>
  </si>
  <si>
    <t xml:space="preserve">0.0412371134020619(0.00128882427936563) </t>
  </si>
  <si>
    <t>GLUD1</t>
  </si>
  <si>
    <t>glutamate dehydrogenase 1; mitochondrial precursor [Homo sapiens]</t>
  </si>
  <si>
    <t xml:space="preserve">0(0.000344037301098341) </t>
  </si>
  <si>
    <t>YME1L1</t>
  </si>
  <si>
    <t>ATP-dependent zinc metalloprotease YME1L1 isoform 3 [Homo sapiens]</t>
  </si>
  <si>
    <t xml:space="preserve">0(3.10246188922405e-05) </t>
  </si>
  <si>
    <t xml:space="preserve">0.0618556701030928(3.89343819333163e-05) </t>
  </si>
  <si>
    <t>LRCH4</t>
  </si>
  <si>
    <t>leucine-rich repeat and calponin homology domain-containing protein 4 [Homo sapiens]</t>
  </si>
  <si>
    <t xml:space="preserve">9 6 17 15 </t>
  </si>
  <si>
    <t xml:space="preserve">0(4.96404293558603e-05) </t>
  </si>
  <si>
    <t>PSMB2</t>
  </si>
  <si>
    <t>proteasome subunit beta type-2 isoform 1 [Homo sapiens]</t>
  </si>
  <si>
    <t xml:space="preserve">0.0206185567010309(0.000306289741149009) </t>
  </si>
  <si>
    <t>SMC4</t>
  </si>
  <si>
    <t>structural maintenance of chromosomes protein 4 [Homo sapiens]</t>
  </si>
  <si>
    <t xml:space="preserve">0.0769230769230769(0.000253316196524654) </t>
  </si>
  <si>
    <t>PPP1R13L</t>
  </si>
  <si>
    <t>relA-associated inhibitor [Homo sapiens]</t>
  </si>
  <si>
    <t xml:space="preserve">0(3.90796952884393e-05) </t>
  </si>
  <si>
    <t>UBA1</t>
  </si>
  <si>
    <t>ubiquitin-like modifier-activating enzyme 1 [Homo sapiens]</t>
  </si>
  <si>
    <t xml:space="preserve">0(0.000267123404328829) </t>
  </si>
  <si>
    <t>PCMT1</t>
  </si>
  <si>
    <t>protein-L-isoaspartate(D-aspartate) O-methyltransferase isoform 1 [Homo sapiens]</t>
  </si>
  <si>
    <t xml:space="preserve">0.0515463917525773(0.00023506344063639) </t>
  </si>
  <si>
    <t>CDKN2A</t>
  </si>
  <si>
    <t>cyclin-dependent kinase inhibitor 2A isoform p16INK4a [Homo sapiens]</t>
  </si>
  <si>
    <t xml:space="preserve">0(4.31671663225122e-05) </t>
  </si>
  <si>
    <t>CGN</t>
  </si>
  <si>
    <t>Cingulin</t>
  </si>
  <si>
    <t xml:space="preserve">2 1 6 </t>
  </si>
  <si>
    <t xml:space="preserve">0.0206185567010309(0.000148894759222018) </t>
  </si>
  <si>
    <t>CAT</t>
  </si>
  <si>
    <t>catalase [Homo sapiens]</t>
  </si>
  <si>
    <t xml:space="preserve">0.037037037037037(0.000216105395130642) </t>
  </si>
  <si>
    <t>LUC7L2</t>
  </si>
  <si>
    <t>putative RNA-binding protein Luc7-like 2 isoform 1 [Homo sapiens]</t>
  </si>
  <si>
    <t xml:space="preserve">0.0103092783505155(0.000208159186062312) </t>
  </si>
  <si>
    <t>PPP2CA</t>
  </si>
  <si>
    <t>serine/threonine-protein phosphatase 2A catalytic subunit alpha isoform [Homo sapiens]</t>
  </si>
  <si>
    <t xml:space="preserve">6 5 </t>
  </si>
  <si>
    <t xml:space="preserve">0.0103092783505155(0.000309121818818237) </t>
  </si>
  <si>
    <t>CD2AP</t>
  </si>
  <si>
    <t>CD2-associated protein [Homo sapiens]</t>
  </si>
  <si>
    <t xml:space="preserve">9 21 4  13 11 </t>
  </si>
  <si>
    <t xml:space="preserve">0.0103092783505155(0.000226145525935752) 0(0.00473776509258574) </t>
  </si>
  <si>
    <t xml:space="preserve">0.0428571428571429 0.0666666666666667 </t>
  </si>
  <si>
    <t>transient_ltq1,stable_tripletof2</t>
  </si>
  <si>
    <t>ROBO1</t>
  </si>
  <si>
    <t>Roundabout homolog 1</t>
  </si>
  <si>
    <t xml:space="preserve">37 22 </t>
  </si>
  <si>
    <t>SH3KBP1</t>
  </si>
  <si>
    <t>SH3 domain-containing kinase-binding protein 1 isoform a [Homo sapiens]</t>
  </si>
  <si>
    <t xml:space="preserve">3 10  10 14 </t>
  </si>
  <si>
    <t xml:space="preserve">0(2.55491790946079e-06) 0.037037037037037(0.0035855127422266) </t>
  </si>
  <si>
    <t xml:space="preserve">0.0285714285714286 0.0666666666666667 </t>
  </si>
  <si>
    <t>RPL10L</t>
  </si>
  <si>
    <t>60S ribosomal protein L10-like [Homo sapiens]</t>
  </si>
  <si>
    <t xml:space="preserve">0.0515463917525773(0.000107220565426034) </t>
  </si>
  <si>
    <t>DPY30</t>
  </si>
  <si>
    <t>protein dpy-30 homolog [Homo sapiens]</t>
  </si>
  <si>
    <t xml:space="preserve">0.0824742268041237(0.000363911527679974) </t>
  </si>
  <si>
    <t>CLN6</t>
  </si>
  <si>
    <t>ceroid-lipofuscinosis neuronal protein 6 [Homo sapiens]</t>
  </si>
  <si>
    <t xml:space="preserve">0.0412371134020619(0.000249764461446688) </t>
  </si>
  <si>
    <t>GPHN</t>
  </si>
  <si>
    <t>gephyrin isoform 1 [Homo sapiens]</t>
  </si>
  <si>
    <t xml:space="preserve">11 4 18 8 </t>
  </si>
  <si>
    <t xml:space="preserve">0.0103092783505155(0.000178038839309739) </t>
  </si>
  <si>
    <t>PABPN1</t>
  </si>
  <si>
    <t>polyadenylate-binding protein 2 [Homo sapiens]</t>
  </si>
  <si>
    <t xml:space="preserve">0.0824742268041237(7.34595426307125e-05) </t>
  </si>
  <si>
    <t>TCERG1</t>
  </si>
  <si>
    <t>transcription elongation regulator 1 isoform 1 [Homo sapiens]</t>
  </si>
  <si>
    <t xml:space="preserve">0(1.28267554029487e-07) </t>
  </si>
  <si>
    <t>CAMK2G</t>
  </si>
  <si>
    <t>calcium/calmodulin-dependent protein kinase type II subunit gamma isoform 1 [Homo sapiens]</t>
  </si>
  <si>
    <t xml:space="preserve">1 8 </t>
  </si>
  <si>
    <t xml:space="preserve">0(0.000229203944318159) </t>
  </si>
  <si>
    <t>CYFIP1</t>
  </si>
  <si>
    <t>cytoplasmic FMR1-interacting protein 1 isoform a [Homo sapiens]</t>
  </si>
  <si>
    <t xml:space="preserve">0(1.87816073991114e-05) </t>
  </si>
  <si>
    <t>TRIM32</t>
  </si>
  <si>
    <t>E3 ubiquitin-protein ligase TRIM32 [Homo sapiens]</t>
  </si>
  <si>
    <t xml:space="preserve">6 4 </t>
  </si>
  <si>
    <t xml:space="preserve">0(0.000347188213219753) </t>
  </si>
  <si>
    <t>CALU</t>
  </si>
  <si>
    <t>calumenin isoform a precursor [Homo sapiens]</t>
  </si>
  <si>
    <t xml:space="preserve">4 3 </t>
  </si>
  <si>
    <t xml:space="preserve">0.0103092783505155(0.000261585949087579) </t>
  </si>
  <si>
    <t>DCAF7</t>
  </si>
  <si>
    <t>DDB1- and CUL4-associated factor 7 [Homo sapiens]</t>
  </si>
  <si>
    <t xml:space="preserve">6 1 </t>
  </si>
  <si>
    <t xml:space="preserve">0(0.000171394417687413) </t>
  </si>
  <si>
    <t>WDR6</t>
  </si>
  <si>
    <t>WD repeat-containing protein 6 [Homo sapiens]</t>
  </si>
  <si>
    <t xml:space="preserve">0.0103092783505155(7.32673499808456e-05) </t>
  </si>
  <si>
    <t>THOC5</t>
  </si>
  <si>
    <t>THO complex subunit 5 homolog [Homo sapiens]</t>
  </si>
  <si>
    <t xml:space="preserve">0.0103092783505155(3.56685919160627e-06) </t>
  </si>
  <si>
    <t>AJUBA</t>
  </si>
  <si>
    <t>LIM domain-containing protein ajuba isoform 1 [Homo sapiens]</t>
  </si>
  <si>
    <t xml:space="preserve">1 3 </t>
  </si>
  <si>
    <t xml:space="preserve">0(4.98810613551362e-07) </t>
  </si>
  <si>
    <t>MIB1</t>
  </si>
  <si>
    <t>E3 ubiquitin-protein ligase MIB1 [Homo sapiens]</t>
  </si>
  <si>
    <t xml:space="preserve">0.0769230769230769(0.000263524101343963) </t>
  </si>
  <si>
    <t>CWC15</t>
  </si>
  <si>
    <t>spliceosome-associated protein CWC15 homolog [Homo sapiens]</t>
  </si>
  <si>
    <t xml:space="preserve">0.0721649484536082(0.00016043168019584) </t>
  </si>
  <si>
    <t>ERP44</t>
  </si>
  <si>
    <t>endoplasmic reticulum resident protein 44 precursor [Homo sapiens]</t>
  </si>
  <si>
    <t xml:space="preserve">0.0103092783505155(2.64104405900874e-05) </t>
  </si>
  <si>
    <t>NUP35</t>
  </si>
  <si>
    <t>nucleoporin NUP53 [Homo sapiens]</t>
  </si>
  <si>
    <t xml:space="preserve">0.0309278350515464(0.000112822871946877) </t>
  </si>
  <si>
    <t>SF3A1</t>
  </si>
  <si>
    <t>splicing factor 3A subunit 1 isoform 1 [Homo sapiens]</t>
  </si>
  <si>
    <t xml:space="preserve">0.123711340206186(6.54665022232154e-05) </t>
  </si>
  <si>
    <t>STIP1</t>
  </si>
  <si>
    <t>stress-induced-phosphoprotein 1 [Homo sapiens]</t>
  </si>
  <si>
    <t xml:space="preserve">3 10 </t>
  </si>
  <si>
    <t xml:space="preserve">0(8.83116974114008e-05) </t>
  </si>
  <si>
    <t>ATP5O</t>
  </si>
  <si>
    <t>ATP synthase subunit O; mitochondrial precursor [Homo sapiens]</t>
  </si>
  <si>
    <t xml:space="preserve">0.0618556701030928(0.000728770142016475) </t>
  </si>
  <si>
    <t>FAM207A</t>
  </si>
  <si>
    <t>protein FAM207A [Homo sapiens]</t>
  </si>
  <si>
    <t xml:space="preserve">0.0515463917525773(0.000112194245144963) </t>
  </si>
  <si>
    <t>DHCR7</t>
  </si>
  <si>
    <t>7-dehydrocholesterol reductase [Homo sapiens]</t>
  </si>
  <si>
    <t xml:space="preserve">0(5.27088679409077e-05) </t>
  </si>
  <si>
    <t>FASTKD1</t>
  </si>
  <si>
    <t>FAST kinase domain-containing protein 1 [Homo sapiens]</t>
  </si>
  <si>
    <t xml:space="preserve">0(5.77675729709046e-09) </t>
  </si>
  <si>
    <t>MYL6B</t>
  </si>
  <si>
    <t>myosin light chain 6B [Homo sapiens]</t>
  </si>
  <si>
    <t xml:space="preserve">1 5 </t>
  </si>
  <si>
    <t xml:space="preserve">0.0206185567010309(0.00037715746439304) </t>
  </si>
  <si>
    <t>KAZN</t>
  </si>
  <si>
    <t>kazrin isoform A [Homo sapiens]</t>
  </si>
  <si>
    <t xml:space="preserve">8 4 6 </t>
  </si>
  <si>
    <t xml:space="preserve">0(0.000200993636806714) </t>
  </si>
  <si>
    <t>SIRT5</t>
  </si>
  <si>
    <t>NAD-dependent protein deacylase sirtuin-5; mitochondrial isoform 4 [Homo sapiens]</t>
  </si>
  <si>
    <t xml:space="preserve">0.0412371134020619(9.05261631847665e-05) </t>
  </si>
  <si>
    <t>UBA52</t>
  </si>
  <si>
    <t>ubiquitin-60S ribosomal protein L40 precursor [Homo sapiens]</t>
  </si>
  <si>
    <t xml:space="preserve">0.0412371134020619(0.000284419852140621) </t>
  </si>
  <si>
    <t>PALM2-AKAP2</t>
  </si>
  <si>
    <t>PALM2-AKAP2 protein isoform 1 [Homo sapiens]</t>
  </si>
  <si>
    <t xml:space="preserve">0.0103092783505155(4.03781466607644e-06) </t>
  </si>
  <si>
    <t>ATP5J2</t>
  </si>
  <si>
    <t>ATP synthase subunit f; mitochondrial isoform 2a [Homo sapiens]</t>
  </si>
  <si>
    <t xml:space="preserve">0.0103092783505155(0.000124175659390594) </t>
  </si>
  <si>
    <t>MRPL53</t>
  </si>
  <si>
    <t>39S ribosomal protein L53; mitochondrial [Homo sapiens]</t>
  </si>
  <si>
    <t xml:space="preserve">0.0103092783505155(6.85412545145738e-05) </t>
  </si>
  <si>
    <t>LSM14A</t>
  </si>
  <si>
    <t>protein LSM14 homolog A isoform b [Homo sapiens]</t>
  </si>
  <si>
    <t xml:space="preserve">0.0206185567010309(6.00736949933705e-05) </t>
  </si>
  <si>
    <t>DUS3L</t>
  </si>
  <si>
    <t>tRNA-dihydrouridine(47) synthase [NAD(P)(+)]-like</t>
  </si>
  <si>
    <t xml:space="preserve">5 6 </t>
  </si>
  <si>
    <t>PLOD1</t>
  </si>
  <si>
    <t>procollagen-lysine;2-oxoglutarate 5-dioxygenase 1 precursor [Homo sapiens]</t>
  </si>
  <si>
    <t xml:space="preserve">14 11 </t>
  </si>
  <si>
    <t xml:space="preserve">0.0103092783505155(1.45783618942621e-05) </t>
  </si>
  <si>
    <t>rho GTPase-activating protein 24 isoform 1 [Homo sapiens]</t>
  </si>
  <si>
    <t xml:space="preserve">0.0103092783505155(5.04249243552401e-05) </t>
  </si>
  <si>
    <t>USP7</t>
  </si>
  <si>
    <t>ubiquitin carboxyl-terminal hydrolase 7 [Homo sapiens]</t>
  </si>
  <si>
    <t xml:space="preserve">0.0206185567010309(2.55902593672509e-05) </t>
  </si>
  <si>
    <t>U2AF2</t>
  </si>
  <si>
    <t>splicing factor U2AF 65 kDa subunit isoform a [Homo sapiens]</t>
  </si>
  <si>
    <t xml:space="preserve">0.0103092783505155(0.000116568746970866) </t>
  </si>
  <si>
    <t>FLOT1</t>
  </si>
  <si>
    <t>flotillin-1 [Homo sapiens]</t>
  </si>
  <si>
    <t xml:space="preserve">0.0103092783505155(5.88083868218769e-05) </t>
  </si>
  <si>
    <t>TNKS2</t>
  </si>
  <si>
    <t>Tankyrase-2</t>
  </si>
  <si>
    <t>RBM25</t>
  </si>
  <si>
    <t>RNA-binding protein 25 [Homo sapiens]</t>
  </si>
  <si>
    <t xml:space="preserve">0.0206185567010309(0.000182723555142524) </t>
  </si>
  <si>
    <t>CNBP</t>
  </si>
  <si>
    <t>cellular nucleic acid-binding protein isoform 1 [Homo sapiens]</t>
  </si>
  <si>
    <t xml:space="preserve">0.0515463917525773(0.000850899684661687) </t>
  </si>
  <si>
    <t>TPX2</t>
  </si>
  <si>
    <t>targeting protein for Xklp2 [Homo sapiens]</t>
  </si>
  <si>
    <t xml:space="preserve">0.0206185567010309(4.62901558857952e-05) </t>
  </si>
  <si>
    <t>EIF4G2</t>
  </si>
  <si>
    <t>eukaryotic translation initiation factor 4 gamma 2 isoform 1 [Homo sapiens]</t>
  </si>
  <si>
    <t xml:space="preserve">0.0769230769230769(0.000363254325043752) </t>
  </si>
  <si>
    <t>PRPF3</t>
  </si>
  <si>
    <t>U4/U6 small nuclear ribonucleoprotein Prp3 [Homo sapiens]</t>
  </si>
  <si>
    <t xml:space="preserve">0(3.87768348862016e-05) </t>
  </si>
  <si>
    <t>GSN</t>
  </si>
  <si>
    <t xml:space="preserve">0(0.000236966237915153) </t>
  </si>
  <si>
    <t>ATP5C1</t>
  </si>
  <si>
    <t>ATP synthase subunit gamma; mitochondrial isoform H (heart) precursor [Homo sapiens]</t>
  </si>
  <si>
    <t xml:space="preserve">0.0515463917525773(0.000468656120442278) </t>
  </si>
  <si>
    <t>CBS</t>
  </si>
  <si>
    <t>cystathionine beta-synthase [Homo sapiens]</t>
  </si>
  <si>
    <t xml:space="preserve">0.0515463917525773(0.000193215502169819) </t>
  </si>
  <si>
    <t>NUDT21</t>
  </si>
  <si>
    <t>cleavage and polyadenylation specificity factor subunit 5 [Homo sapiens]</t>
  </si>
  <si>
    <t xml:space="preserve">2 8 </t>
  </si>
  <si>
    <t xml:space="preserve">0.0206185567010309(0.000627343233597417) </t>
  </si>
  <si>
    <t xml:space="preserve">0.0412371134020619(3.99200042979539e-05) </t>
  </si>
  <si>
    <t>rho GTPase-activating protein SYDE1 [Homo sapiens]</t>
  </si>
  <si>
    <t xml:space="preserve">0(8.84624320880216e-06) </t>
  </si>
  <si>
    <t>CSTA</t>
  </si>
  <si>
    <t>cystatin-A [Homo sapiens]</t>
  </si>
  <si>
    <t xml:space="preserve">0.0309278350515464(0.000421764400711801) </t>
  </si>
  <si>
    <t>rho GTPase-activating protein 31 [Homo sapiens]</t>
  </si>
  <si>
    <t xml:space="preserve">0.0206185567010309(4.60805790946271e-05) </t>
  </si>
  <si>
    <t xml:space="preserve">0.0103092783505155(0.000363911527679974) </t>
  </si>
  <si>
    <t>SERPINB3</t>
  </si>
  <si>
    <t>serpin B3 [Homo sapiens]</t>
  </si>
  <si>
    <t xml:space="preserve">0(1.63085949214482e-06) </t>
  </si>
  <si>
    <t xml:space="preserve">0.0721649484536082(7.5333819208733e-05) </t>
  </si>
  <si>
    <t xml:space="preserve">17 8 </t>
  </si>
  <si>
    <t xml:space="preserve">0.0103092783505155(4.96404293558603e-05) </t>
  </si>
  <si>
    <t>KPRP</t>
  </si>
  <si>
    <t>keratinocyte proline-rich protein [Homo sapiens]</t>
  </si>
  <si>
    <t xml:space="preserve">0.0206185567010309(0.000107935301704747) </t>
  </si>
  <si>
    <t xml:space="preserve">0(0.000939961098819393) </t>
  </si>
  <si>
    <t>RBBP7</t>
  </si>
  <si>
    <t>histone-binding protein RBBP7 [Homo sapiens]</t>
  </si>
  <si>
    <t xml:space="preserve">0.037037037037037(0.0105354618369444) </t>
  </si>
  <si>
    <t>VAPB</t>
  </si>
  <si>
    <t>vesicle-associated membrane protein-associated protein B/C isoform 1 [Homo sapiens]</t>
  </si>
  <si>
    <t xml:space="preserve">10 2 12 9 9 </t>
  </si>
  <si>
    <t xml:space="preserve">0.0103092783505155(0.000273732562385112) </t>
  </si>
  <si>
    <t>MFAP1</t>
  </si>
  <si>
    <t>microfibrillar-associated protein 1 [Homo sapiens]</t>
  </si>
  <si>
    <t xml:space="preserve">0.0103092783505155(6.24699128940553e-06) </t>
  </si>
  <si>
    <t>PSMA6</t>
  </si>
  <si>
    <t>proteasome subunit alpha type-6 [Homo sapiens]</t>
  </si>
  <si>
    <t xml:space="preserve">0.0103092783505155(0.000232295004353784) </t>
  </si>
  <si>
    <t>MAZ</t>
  </si>
  <si>
    <t>myc-associated zinc finger protein isoform 2 [Homo sapiens]</t>
  </si>
  <si>
    <t xml:space="preserve">0.0309278350515464(1.56602839265754e-05) </t>
  </si>
  <si>
    <t>MSN</t>
  </si>
  <si>
    <t>moesin [Homo sapiens]</t>
  </si>
  <si>
    <t xml:space="preserve">9  5 5 </t>
  </si>
  <si>
    <t xml:space="preserve">0.0103092783505155(8.34642968268732e-05) 0(0.0004021371443114) </t>
  </si>
  <si>
    <t xml:space="preserve">0.0357142857142857 0.2 </t>
  </si>
  <si>
    <t>ANKFY1</t>
  </si>
  <si>
    <t>ankyrin repeat and FYVE domain-containing protein 1 isoform 1 [Homo sapiens]</t>
  </si>
  <si>
    <t xml:space="preserve">3 3 5 </t>
  </si>
  <si>
    <t xml:space="preserve">0.0721649484536082(9.6895755474617e-05) </t>
  </si>
  <si>
    <t>SNTB2</t>
  </si>
  <si>
    <t>beta-2-syntrophin [Homo sapiens]</t>
  </si>
  <si>
    <t xml:space="preserve">0.0206185567010309(6.54534757884038e-05) </t>
  </si>
  <si>
    <t>INA</t>
  </si>
  <si>
    <t>alpha-internexin [Homo sapiens]</t>
  </si>
  <si>
    <t xml:space="preserve">0.0206185567010309(9.28285860989853e-05) </t>
  </si>
  <si>
    <t>HEATR1</t>
  </si>
  <si>
    <t>HEAT repeat-containing protein 1 [Homo sapiens]</t>
  </si>
  <si>
    <t xml:space="preserve">0.0206185567010309(6.06373363271958e-05) </t>
  </si>
  <si>
    <t>intersectin-1 isoform ITSN-l [Homo sapiens]</t>
  </si>
  <si>
    <t xml:space="preserve">0(9.01512956994214e-09) </t>
  </si>
  <si>
    <t>DSG1</t>
  </si>
  <si>
    <t>desmoglein-1 preproprotein [Homo sapiens]</t>
  </si>
  <si>
    <t xml:space="preserve">0.0103092783505155(8.8965005791922e-05) </t>
  </si>
  <si>
    <t>PTMA</t>
  </si>
  <si>
    <t>prothymosin alpha isoform 2 [Homo sapiens]</t>
  </si>
  <si>
    <t xml:space="preserve">0(0.000119195710202523) </t>
  </si>
  <si>
    <t xml:space="preserve">0.0206185567010309(0.000116568746970866) </t>
  </si>
  <si>
    <t>PRDX4</t>
  </si>
  <si>
    <t>peroxiredoxin-4 precursor [Homo sapiens]</t>
  </si>
  <si>
    <t xml:space="preserve">1 1 1 1 </t>
  </si>
  <si>
    <t xml:space="preserve">0.123711340206186(0.000702161048678681) </t>
  </si>
  <si>
    <t>KPNA2</t>
  </si>
  <si>
    <t>importin subunit alpha-2 [Homo sapiens]</t>
  </si>
  <si>
    <t xml:space="preserve">3 2 3 </t>
  </si>
  <si>
    <t xml:space="preserve">0.0824742268041237(0.000432472655413301) </t>
  </si>
  <si>
    <t>PRPF4B</t>
  </si>
  <si>
    <t>serine/threonine-protein kinase PRP4 homolog [Homo sapiens]</t>
  </si>
  <si>
    <t xml:space="preserve">0.0206185567010309(9.60338422520291e-05) </t>
  </si>
  <si>
    <t>HMGN5</t>
  </si>
  <si>
    <t>high mobility group nucleosome-binding domain-containing protein 5 [Homo sapiens]</t>
  </si>
  <si>
    <t xml:space="preserve">0.0618556701030928(0.000107637591392017) </t>
  </si>
  <si>
    <t>CSNK1D</t>
  </si>
  <si>
    <t>casein kinase I isoform delta isoform 1 [Homo sapiens]</t>
  </si>
  <si>
    <t xml:space="preserve">0.0103092783505155(0.000257307770150081) </t>
  </si>
  <si>
    <t>SLC9A3R2</t>
  </si>
  <si>
    <t>Na(+)/H(+) exchange regulatory cofactor NHE-RF2 isoform b [Homo sapiens]</t>
  </si>
  <si>
    <t xml:space="preserve">10  13 8 </t>
  </si>
  <si>
    <t xml:space="preserve">0.0103092783505155(2.78829637310903e-05) 0.037037037037037(0.00123131072911788) </t>
  </si>
  <si>
    <t xml:space="preserve">0.0357142857142857 0.0666666666666667 </t>
  </si>
  <si>
    <t>COPE</t>
  </si>
  <si>
    <t>coatomer subunit epsilon isoform a [Homo sapiens]</t>
  </si>
  <si>
    <t xml:space="preserve">0(0.000788544697046113) </t>
  </si>
  <si>
    <t>APBB1</t>
  </si>
  <si>
    <t>amyloid beta A4 precursor protein-binding family B member 1 isoform a [Homo sapiens]</t>
  </si>
  <si>
    <t xml:space="preserve">1 7 </t>
  </si>
  <si>
    <t xml:space="preserve">0(2.96254315479376e-05) </t>
  </si>
  <si>
    <t>RCL1</t>
  </si>
  <si>
    <t>RNA 3'-terminal phosphate cyclase-like protein [Homo sapiens]</t>
  </si>
  <si>
    <t xml:space="preserve">0.0103092783505155(5.88955083612451e-06) </t>
  </si>
  <si>
    <t>RBFOX2</t>
  </si>
  <si>
    <t>RNA binding protein fox-1 homolog 2 isoform 2 [Homo sapiens]</t>
  </si>
  <si>
    <t xml:space="preserve">2 4 </t>
  </si>
  <si>
    <t xml:space="preserve">0.0309278350515464(0.000339729934355517) </t>
  </si>
  <si>
    <t xml:space="preserve">2 3 4 </t>
  </si>
  <si>
    <t xml:space="preserve">0.0515463917525773(0.000974459840561397) </t>
  </si>
  <si>
    <t>CLTA</t>
  </si>
  <si>
    <t>clathrin light chain A isoform a [Homo sapiens]</t>
  </si>
  <si>
    <t xml:space="preserve">4 4 </t>
  </si>
  <si>
    <t xml:space="preserve">0(0.000816529542608948) </t>
  </si>
  <si>
    <t>EVI5L</t>
  </si>
  <si>
    <t>EVI5-like protein isoform 2 [Homo sapiens]</t>
  </si>
  <si>
    <t xml:space="preserve">2 3 </t>
  </si>
  <si>
    <t xml:space="preserve">0.0285714285714286(0.000121825647923692) </t>
  </si>
  <si>
    <t>EMG1</t>
  </si>
  <si>
    <t>ribosomal RNA small subunit methyltransferase NEP1 [Homo sapiens]</t>
  </si>
  <si>
    <t xml:space="preserve">0.0103092783505155(0.000118819387267709) </t>
  </si>
  <si>
    <t>THOC1</t>
  </si>
  <si>
    <t>THO complex subunit 1 [Homo sapiens]</t>
  </si>
  <si>
    <t xml:space="preserve">0.0824742268041237(1.83680463914241e-05) </t>
  </si>
  <si>
    <t>HSPA4L</t>
  </si>
  <si>
    <t>heat shock 70 kDa protein 4L [Homo sapiens]</t>
  </si>
  <si>
    <t xml:space="preserve">0.037037037037037(8.73176199779904e-05) </t>
  </si>
  <si>
    <t>MLLT11</t>
  </si>
  <si>
    <t>protein AF1q [Homo sapiens]</t>
  </si>
  <si>
    <t xml:space="preserve">0(0.000231547363747757) </t>
  </si>
  <si>
    <t>phosphatidylinositol 3-kinase regulatory subunit alpha isoform 1 [Homo sapiens]</t>
  </si>
  <si>
    <t xml:space="preserve">6 3 </t>
  </si>
  <si>
    <t xml:space="preserve">0.0206185567010309(4.83846295144821e-05) </t>
  </si>
  <si>
    <t>PLEC</t>
  </si>
  <si>
    <t>plectin isoform 1d [Homo sapiens]</t>
  </si>
  <si>
    <t xml:space="preserve">0.0721649484536082(3.54820356817986e-05) </t>
  </si>
  <si>
    <t>NOP16</t>
  </si>
  <si>
    <t>nucleolar protein 16 isoform 3 [Homo sapiens]</t>
  </si>
  <si>
    <t xml:space="preserve">0.0103092783505155(6.88644906839822e-05) </t>
  </si>
  <si>
    <t>DDX39A</t>
  </si>
  <si>
    <t>ATP-dependent RNA helicase DDX39A [Homo sapiens]</t>
  </si>
  <si>
    <t xml:space="preserve">0.0309278350515464(6.82474110692342e-05) </t>
  </si>
  <si>
    <t xml:space="preserve">0.0515463917525773(6.91522335615543e-05) </t>
  </si>
  <si>
    <t>COPB1</t>
  </si>
  <si>
    <t>coatomer subunit beta [Homo sapiens]</t>
  </si>
  <si>
    <t xml:space="preserve">0.0103092783505155(5.1954737861118e-06) </t>
  </si>
  <si>
    <t>TRIP6</t>
  </si>
  <si>
    <t>thyroid receptor-interacting protein 6 [Homo sapiens]</t>
  </si>
  <si>
    <t xml:space="preserve">6 6 6 6 3 </t>
  </si>
  <si>
    <t xml:space="preserve">0(3.21091938862495e-05) </t>
  </si>
  <si>
    <t>TOMM40</t>
  </si>
  <si>
    <t>mitochondrial import receptor subunit TOM40 homolog [Homo sapiens]</t>
  </si>
  <si>
    <t xml:space="preserve">2 10 1 2 </t>
  </si>
  <si>
    <t xml:space="preserve">0(1.83158127375963e-05) </t>
  </si>
  <si>
    <t>PPP1R9B</t>
  </si>
  <si>
    <t>Neurabin-2</t>
  </si>
  <si>
    <t xml:space="preserve">9 7 </t>
  </si>
  <si>
    <t>DEK</t>
  </si>
  <si>
    <t>protein DEK isoform 1 [Homo sapiens]</t>
  </si>
  <si>
    <t xml:space="preserve">0.0618556701030928(4.32171186065752e-05) </t>
  </si>
  <si>
    <t>RRS1</t>
  </si>
  <si>
    <t>ribosome biogenesis regulatory protein homolog [Homo sapiens]</t>
  </si>
  <si>
    <t xml:space="preserve">3 5 </t>
  </si>
  <si>
    <t xml:space="preserve">0.037037037037037(0.000376890532855804) </t>
  </si>
  <si>
    <t>LTF</t>
  </si>
  <si>
    <t>lactotransferrin precursor [Homo sapiens]</t>
  </si>
  <si>
    <t xml:space="preserve">0(9.00315063245211e-06) </t>
  </si>
  <si>
    <t>PJA2</t>
  </si>
  <si>
    <t>E3 ubiquitin-protein ligase Praja-2 [Homo sapiens]</t>
  </si>
  <si>
    <t xml:space="preserve">5 2 4 </t>
  </si>
  <si>
    <t xml:space="preserve">0(3.43357742893204e-05) </t>
  </si>
  <si>
    <t>WDR33</t>
  </si>
  <si>
    <t>pre-mRNA 3' end processing protein WDR33 isoform 1 [Homo sapiens]</t>
  </si>
  <si>
    <t xml:space="preserve">0.0309278350515464(6.20037914133487e-06) </t>
  </si>
  <si>
    <t>UCHL3</t>
  </si>
  <si>
    <t>ubiquitin carboxyl-terminal hydrolase isozyme L3 isoform 2 [Homo sapiens]</t>
  </si>
  <si>
    <t xml:space="preserve">0.0103092783505155(0.000292866650208026) </t>
  </si>
  <si>
    <t>HMGB2</t>
  </si>
  <si>
    <t>high mobility group protein B2 [Homo sapiens]</t>
  </si>
  <si>
    <t xml:space="preserve">0.0103092783505155(0.000384146051442996) </t>
  </si>
  <si>
    <t>TRAF4</t>
  </si>
  <si>
    <t>TNF receptor-associated factor 4 [Homo sapiens]</t>
  </si>
  <si>
    <t xml:space="preserve">0.0309278350515464(1.36192951198425e-05) </t>
  </si>
  <si>
    <t>TOX4</t>
  </si>
  <si>
    <t>TOX high mobility group box family member 4 [Homo sapiens]</t>
  </si>
  <si>
    <t xml:space="preserve">0.0515463917525773(9.290506885721e-05) </t>
  </si>
  <si>
    <t>S100A9</t>
  </si>
  <si>
    <t>protein S100-A9 [Homo sapiens]</t>
  </si>
  <si>
    <t xml:space="preserve">0.11340206185567(0.00203076630874375) </t>
  </si>
  <si>
    <t>MPRIP</t>
  </si>
  <si>
    <t>Myosin phosphatase Rho-interacting protein</t>
  </si>
  <si>
    <t xml:space="preserve">19 6 </t>
  </si>
  <si>
    <t>FIP1L1</t>
  </si>
  <si>
    <t>pre-mRNA 3'-end-processing factor FIP1 isoform 1 [Homo sapiens]</t>
  </si>
  <si>
    <t xml:space="preserve">0(0.000487254151906861) </t>
  </si>
  <si>
    <t>AZGP1</t>
  </si>
  <si>
    <t>zinc-alpha-2-glycoprotein precursor [Homo sapiens]</t>
  </si>
  <si>
    <t xml:space="preserve">0.0206185567010309(3.99099769107668e-05) </t>
  </si>
  <si>
    <t>RGNEF</t>
  </si>
  <si>
    <t>SMC3</t>
  </si>
  <si>
    <t>structural maintenance of chromosomes protein 3 [Homo sapiens]</t>
  </si>
  <si>
    <t xml:space="preserve">0.0769230769230769(0.000870753612984499) </t>
  </si>
  <si>
    <t>RHOA</t>
  </si>
  <si>
    <t>transforming protein RhoA precursor [Homo sapiens]</t>
  </si>
  <si>
    <t xml:space="preserve">0(2.39179494079724e-05) </t>
  </si>
  <si>
    <t>ANKRD54</t>
  </si>
  <si>
    <t>ankyrin repeat domain-containing protein 54 [Homo sapiens]</t>
  </si>
  <si>
    <t xml:space="preserve">0.0206185567010309(5.12427200928901e-05) </t>
  </si>
  <si>
    <t>Q Exactive HF-X;LTQ1;ORBITRAP;</t>
  </si>
  <si>
    <t xml:space="preserve">0.0103092783505155(1.67831298684336e-05) </t>
  </si>
  <si>
    <t>BYSL</t>
  </si>
  <si>
    <t>bystin [Homo sapiens]</t>
  </si>
  <si>
    <t xml:space="preserve">0.0309278350515464(0.000115007543711913) </t>
  </si>
  <si>
    <t xml:space="preserve">0.0206185567010309(0.00203076630874375) </t>
  </si>
  <si>
    <t>LANCL1</t>
  </si>
  <si>
    <t>lanC-like protein 1 [Homo sapiens]</t>
  </si>
  <si>
    <t xml:space="preserve">0(9.5249130885688e-05) </t>
  </si>
  <si>
    <t xml:space="preserve">0.0309278350515464(6.54665022232154e-05) </t>
  </si>
  <si>
    <t>TFAM</t>
  </si>
  <si>
    <t>transcription factor A; mitochondrial isoform 1 precursor [Homo sapiens]</t>
  </si>
  <si>
    <t xml:space="preserve">0.0309278350515464(0.000103373184503918) </t>
  </si>
  <si>
    <t>CKAP4</t>
  </si>
  <si>
    <t>cytoskeleton-associated protein 4 [Homo sapiens]</t>
  </si>
  <si>
    <t xml:space="preserve">0(0.00085361757930311) </t>
  </si>
  <si>
    <t>LOC100653049</t>
  </si>
  <si>
    <t>PREDICTED: keratin; type I cuticular Ha4-like [Homo sapiens]</t>
  </si>
  <si>
    <t xml:space="preserve">0.0103092783505155(0.000100493489159862) </t>
  </si>
  <si>
    <t>KRT84</t>
  </si>
  <si>
    <t xml:space="preserve">0.0206185567010309(0.000124992640308166) </t>
  </si>
  <si>
    <t>THOC7</t>
  </si>
  <si>
    <t>THO complex subunit 7 homolog [Homo sapiens]</t>
  </si>
  <si>
    <t xml:space="preserve">0.0412371134020619(0.000308373470277085) </t>
  </si>
  <si>
    <t>CSNK2A1</t>
  </si>
  <si>
    <t>casein kinase II subunit alpha isoform a [Homo sapiens]</t>
  </si>
  <si>
    <t xml:space="preserve">0.0206185567010309(0.000124247860809656) </t>
  </si>
  <si>
    <t>PPP1R10</t>
  </si>
  <si>
    <t>serine/threonine-protein phosphatase 1 regulatory subunit 10 [Homo sapiens]</t>
  </si>
  <si>
    <t xml:space="preserve">0.0769230769230769(0.000786402110539779) </t>
  </si>
  <si>
    <t>FUBP1</t>
  </si>
  <si>
    <t>far upstream element-binding protein 1 [Homo sapiens]</t>
  </si>
  <si>
    <t xml:space="preserve">0.0824742268041237(0.000108818030216946) </t>
  </si>
  <si>
    <t>PPP2R3B</t>
  </si>
  <si>
    <t>serine/threonine-protein phosphatase 2A regulatory subunit B'' subunit beta [Homo sapiens]</t>
  </si>
  <si>
    <t xml:space="preserve">0(2.83753781906402e-05) </t>
  </si>
  <si>
    <t xml:space="preserve">0(7.36851620758007e-07) </t>
  </si>
  <si>
    <t xml:space="preserve">0.0721649484536082(0.000306289741149009) </t>
  </si>
  <si>
    <t>rho guanine nucleotide exchange factor 9 isoform 2 [Homo sapiens]</t>
  </si>
  <si>
    <t xml:space="preserve">0(5.34064287930119e-05) </t>
  </si>
  <si>
    <t>COX5A</t>
  </si>
  <si>
    <t>cytochrome c oxidase subunit 5A; mitochondrial precursor [Homo sapiens]</t>
  </si>
  <si>
    <t xml:space="preserve">2 1 1 </t>
  </si>
  <si>
    <t xml:space="preserve">0.0206185567010309(0.000180004361889085) </t>
  </si>
  <si>
    <t>HLA-C</t>
  </si>
  <si>
    <t>HLA class I histocompatibility antigen; Cw-1 alpha chain precursor [Homo sapiens]</t>
  </si>
  <si>
    <t xml:space="preserve">0(1.0454484882465e-05) </t>
  </si>
  <si>
    <t>ATPIF1</t>
  </si>
  <si>
    <t>ATPase inhibitor; mitochondrial isoform 1 precursor [Homo sapiens]</t>
  </si>
  <si>
    <t xml:space="preserve">0.0309278350515464(0.000384044004261899) </t>
  </si>
  <si>
    <t>GLOD4</t>
  </si>
  <si>
    <t>glyoxalase domain-containing protein 4 [Homo sapiens]</t>
  </si>
  <si>
    <t xml:space="preserve">0(2.74435773934313e-06) </t>
  </si>
  <si>
    <t xml:space="preserve">0(0.000177195068418252) </t>
  </si>
  <si>
    <t>MAT2B</t>
  </si>
  <si>
    <t>methionine adenosyltransferase 2 subunit beta isoform 1 [Homo sapiens]</t>
  </si>
  <si>
    <t xml:space="preserve">5 2 </t>
  </si>
  <si>
    <t xml:space="preserve">0(9.45008090233897e-05) </t>
  </si>
  <si>
    <t>NOC2L</t>
  </si>
  <si>
    <t>nucleolar complex protein 2 homolog [Homo sapiens]</t>
  </si>
  <si>
    <t xml:space="preserve">0.0309278350515464(4.16551503833419e-05) </t>
  </si>
  <si>
    <t xml:space="preserve">0.0515463917525773(0.000107935301704747) </t>
  </si>
  <si>
    <t>PDS5A</t>
  </si>
  <si>
    <t>sister chromatid cohesion protein PDS5 homolog A isoform 1 [Homo sapiens]</t>
  </si>
  <si>
    <t xml:space="preserve">1 6 </t>
  </si>
  <si>
    <t xml:space="preserve">0(7.04527271414187e-07) </t>
  </si>
  <si>
    <t xml:space="preserve">0(5.04249243552401e-05) </t>
  </si>
  <si>
    <t>MSI1</t>
  </si>
  <si>
    <t>RNA-binding protein Musashi homolog 1 [Homo sapiens]</t>
  </si>
  <si>
    <t xml:space="preserve">0.0206185567010309(8.86606790104669e-05) </t>
  </si>
  <si>
    <t>LOC101060252</t>
  </si>
  <si>
    <t>PREDICTED: bolA-like protein 2-like isoform 2 [Homo sapiens]</t>
  </si>
  <si>
    <t xml:space="preserve">0.0103092783505155(2.91141986192955e-05) </t>
  </si>
  <si>
    <t>MRPS26</t>
  </si>
  <si>
    <t>28S ribosomal protein S26; mitochondrial [Homo sapiens]</t>
  </si>
  <si>
    <t xml:space="preserve">1 3 1 </t>
  </si>
  <si>
    <t xml:space="preserve">0.0103092783505155(0.000194072962480581) </t>
  </si>
  <si>
    <t>TECR</t>
  </si>
  <si>
    <t>very-long-chain enoyl-CoA reductase [Homo sapiens]</t>
  </si>
  <si>
    <t xml:space="preserve">5 2 1 </t>
  </si>
  <si>
    <t xml:space="preserve">0.103092783505155(0.000357253988551284) </t>
  </si>
  <si>
    <t>GRB2</t>
  </si>
  <si>
    <t>growth factor receptor-bound protein 2 isoform 1 [Homo sapiens]</t>
  </si>
  <si>
    <t xml:space="preserve">23 16 19 </t>
  </si>
  <si>
    <t xml:space="preserve">0.0103092783505155(0.00143437668818762) </t>
  </si>
  <si>
    <t>DNAJB6</t>
  </si>
  <si>
    <t>dnaJ homolog subfamily B member 6 isoform b [Homo sapiens]</t>
  </si>
  <si>
    <t xml:space="preserve">0(0.000125328107623876) </t>
  </si>
  <si>
    <t>NOSIP</t>
  </si>
  <si>
    <t>nitric oxide synthase-interacting protein [Homo sapiens]</t>
  </si>
  <si>
    <t xml:space="preserve">0(2.72419108035275e-05) </t>
  </si>
  <si>
    <t>LRCH1</t>
  </si>
  <si>
    <t>leucine-rich repeat and calponin homology domain-containing protein 1 isoform 2 [Homo sapiens]</t>
  </si>
  <si>
    <t xml:space="preserve">6 2 </t>
  </si>
  <si>
    <t xml:space="preserve">0.0103092783505155(1.45623105019987e-05) </t>
  </si>
  <si>
    <t>PHF6</t>
  </si>
  <si>
    <t>PHD finger protein 6 isoform 1 [Homo sapiens]</t>
  </si>
  <si>
    <t xml:space="preserve">0.0103092783505155(0.000773779638131638) </t>
  </si>
  <si>
    <t>MZT2B</t>
  </si>
  <si>
    <t>Mitotic-spindle organizing protein 2B</t>
  </si>
  <si>
    <t>DBNL</t>
  </si>
  <si>
    <t>drebrin-like protein isoform b [Homo sapiens]</t>
  </si>
  <si>
    <t xml:space="preserve">7 3 5 6 </t>
  </si>
  <si>
    <t xml:space="preserve">0(3.51304578546821e-08) </t>
  </si>
  <si>
    <t>CCDC47</t>
  </si>
  <si>
    <t>coiled-coil domain-containing protein 47 precursor [Homo sapiens]</t>
  </si>
  <si>
    <t xml:space="preserve">0.0103092783505155(2.72118309833837e-05) </t>
  </si>
  <si>
    <t>IMPDH2</t>
  </si>
  <si>
    <t>inosine-5'-monophosphate dehydrogenase 2 [Homo sapiens]</t>
  </si>
  <si>
    <t xml:space="preserve">0.0618556701030928(6.22217560125841e-05) </t>
  </si>
  <si>
    <t>SCP2</t>
  </si>
  <si>
    <t>non-specific lipid-transfer protein isoform 5 proprotein [Homo sapiens]</t>
  </si>
  <si>
    <t xml:space="preserve">5 3 </t>
  </si>
  <si>
    <t xml:space="preserve">0(0.00072195786788905) </t>
  </si>
  <si>
    <t xml:space="preserve">2 8 3 </t>
  </si>
  <si>
    <t>PRDX3</t>
  </si>
  <si>
    <t>thioredoxin-dependent peroxide reductase; mitochondrial isoform a precursor [Homo sapiens]</t>
  </si>
  <si>
    <t xml:space="preserve">0(0.000507091230825309) </t>
  </si>
  <si>
    <t xml:space="preserve">0.0206185567010309(0.000232295004353784) </t>
  </si>
  <si>
    <t>MYCBP</t>
  </si>
  <si>
    <t>C-Myc-binding protein [Homo sapiens]</t>
  </si>
  <si>
    <t xml:space="preserve">0.123711340206186(0.00099014381712763) </t>
  </si>
  <si>
    <t xml:space="preserve">0(0.000292866650208026) </t>
  </si>
  <si>
    <t>MLF2</t>
  </si>
  <si>
    <t>myeloid leukemia factor 2 [Homo sapiens]</t>
  </si>
  <si>
    <t xml:space="preserve">0(5.93710488011701e-08) </t>
  </si>
  <si>
    <t>DLAT</t>
  </si>
  <si>
    <t>dihydrolipoyllysine-residue acetyltransferase component of pyruvate dehydrogenase complex; mitochondrial precursor [Homo sapiens]</t>
  </si>
  <si>
    <t xml:space="preserve">0.0927835051546392(0.000102646512020031) </t>
  </si>
  <si>
    <t xml:space="preserve">0.0206185567010309(1.36684468019071e-05) </t>
  </si>
  <si>
    <t>PKP2</t>
  </si>
  <si>
    <t>plakophilin-2 isoform 2a [Homo sapiens]</t>
  </si>
  <si>
    <t xml:space="preserve">0.0206185567010309(3.60049690376407e-05) </t>
  </si>
  <si>
    <t>PSMA5</t>
  </si>
  <si>
    <t>proteasome subunit alpha type-5 isoform 1 [Homo sapiens]</t>
  </si>
  <si>
    <t xml:space="preserve">0.0103092783505155(0.000104172262275111) </t>
  </si>
  <si>
    <t>CCNT2</t>
  </si>
  <si>
    <t>cyclin-T2 isoform a [Homo sapiens]</t>
  </si>
  <si>
    <t xml:space="preserve">0.0515463917525773(0.000110720170987807) </t>
  </si>
  <si>
    <t>LIMD1</t>
  </si>
  <si>
    <t>LIM domain-containing protein 1 [Homo sapiens]</t>
  </si>
  <si>
    <t xml:space="preserve">7 9 9 3 9 </t>
  </si>
  <si>
    <t xml:space="preserve">0(3.65322147375528e-05) </t>
  </si>
  <si>
    <t>USP39</t>
  </si>
  <si>
    <t>U4/U6.U5 tri-snRNP-associated protein 2 isoform 1 [Homo sapiens]</t>
  </si>
  <si>
    <t xml:space="preserve">0(4.74376364405065e-05) </t>
  </si>
  <si>
    <t>CHP1</t>
  </si>
  <si>
    <t>calcineurin B homologous protein 1 [Homo sapiens]</t>
  </si>
  <si>
    <t xml:space="preserve">0.0103092783505155(8.1538561681269e-05) </t>
  </si>
  <si>
    <t>TACO1</t>
  </si>
  <si>
    <t>translational activator of cytochrome c oxidase 1 [Homo sapiens]</t>
  </si>
  <si>
    <t xml:space="preserve">0.0103092783505155(0.000244651827716721) </t>
  </si>
  <si>
    <t>CSNK1E</t>
  </si>
  <si>
    <t>casein kinase I isoform epsilon [Homo sapiens]</t>
  </si>
  <si>
    <t xml:space="preserve">2 7 </t>
  </si>
  <si>
    <t xml:space="preserve">0.0309278350515464(4.84733507071201e-05) </t>
  </si>
  <si>
    <t>FAM98A</t>
  </si>
  <si>
    <t>protein FAM98A [Homo sapiens]</t>
  </si>
  <si>
    <t xml:space="preserve">4 1 </t>
  </si>
  <si>
    <t xml:space="preserve">0(5.35145765304125e-05) </t>
  </si>
  <si>
    <t>AHNAK</t>
  </si>
  <si>
    <t>neuroblast differentiation-associated protein AHNAK isoform 1 [Homo sapiens]</t>
  </si>
  <si>
    <t xml:space="preserve">0.0103092783505155(1.67616144066053e-06) </t>
  </si>
  <si>
    <t>rho GTPase-activating protein 30 isoform 2 [Homo sapiens]</t>
  </si>
  <si>
    <t xml:space="preserve">0.0103092783505155(1.06214520330025e-06) </t>
  </si>
  <si>
    <t>RABL3</t>
  </si>
  <si>
    <t>rab-like protein 3 [Homo sapiens]</t>
  </si>
  <si>
    <t xml:space="preserve">0(4.55448011254777e-05) </t>
  </si>
  <si>
    <t>rho guanine nucleotide exchange factor 6 [Homo sapiens]</t>
  </si>
  <si>
    <t xml:space="preserve">0.0103092783505155(2.84756978042968e-05) </t>
  </si>
  <si>
    <t>RAPH1</t>
  </si>
  <si>
    <t>Ras-associated and pleckstrin homology domains-containing protein 1</t>
  </si>
  <si>
    <t xml:space="preserve">1 13 </t>
  </si>
  <si>
    <t xml:space="preserve">0.0206185567010309(0.000500236067719744) </t>
  </si>
  <si>
    <t>SCRIB</t>
  </si>
  <si>
    <t>protein scribble homolog isoform a [Homo sapiens]</t>
  </si>
  <si>
    <t xml:space="preserve">2 7 5 </t>
  </si>
  <si>
    <t xml:space="preserve">0.0206185567010309(0.000199323807750092) </t>
  </si>
  <si>
    <t>SRPRB</t>
  </si>
  <si>
    <t>signal recognition particle receptor subunit beta [Homo sapiens]</t>
  </si>
  <si>
    <t xml:space="preserve">0(8.64489868615112e-05) </t>
  </si>
  <si>
    <t>TPI1</t>
  </si>
  <si>
    <t>triosephosphate isomerase isoform 1 [Homo sapiens]</t>
  </si>
  <si>
    <t xml:space="preserve">0.0309278350515464(8.75652372269587e-05) </t>
  </si>
  <si>
    <t>PFDN1</t>
  </si>
  <si>
    <t>prefoldin subunit 1 [Homo sapiens]</t>
  </si>
  <si>
    <t xml:space="preserve">0(8.34071997427822e-05) </t>
  </si>
  <si>
    <t>MRPS23</t>
  </si>
  <si>
    <t>28S ribosomal protein S23; mitochondrial [Homo sapiens]</t>
  </si>
  <si>
    <t xml:space="preserve">0.0309278350515464(0.000114932908047374) </t>
  </si>
  <si>
    <t>ALDH18A1</t>
  </si>
  <si>
    <t>delta-1-pyrroline-5-carboxylate synthase isoform 1 [Homo sapiens]</t>
  </si>
  <si>
    <t xml:space="preserve">0.0103092783505155(0.000126115855625186) </t>
  </si>
  <si>
    <t xml:space="preserve">0.0206185567010309(4.32171186065752e-05) </t>
  </si>
  <si>
    <t>SLAIN2</t>
  </si>
  <si>
    <t>SLAIN motif-containing protein 2 [Homo sapiens]</t>
  </si>
  <si>
    <t xml:space="preserve">0(3.9937466811078e-05) </t>
  </si>
  <si>
    <t>C1orf35</t>
  </si>
  <si>
    <t>multiple myeloma tumor-associated protein 2 [Homo sapiens]</t>
  </si>
  <si>
    <t xml:space="preserve">0.0206185567010309(0.000477969480371124) </t>
  </si>
  <si>
    <t>TAGLN2</t>
  </si>
  <si>
    <t>transgelin-2 [Homo sapiens]</t>
  </si>
  <si>
    <t xml:space="preserve">0.0206185567010309(4.30033000754098e-05) </t>
  </si>
  <si>
    <t>HMGN4</t>
  </si>
  <si>
    <t>high mobility group nucleosome-binding domain-containing protein 4 [Homo sapiens]</t>
  </si>
  <si>
    <t xml:space="preserve">2 2 1 1 </t>
  </si>
  <si>
    <t xml:space="preserve">0.0206185567010309(0.000759142917009926) </t>
  </si>
  <si>
    <t>SUGT1</t>
  </si>
  <si>
    <t>suppressor of G2 allele of SKP1 homolog isoform SGT1A [Homo sapiens]</t>
  </si>
  <si>
    <t xml:space="preserve">0(2.74939925653379e-05) </t>
  </si>
  <si>
    <t>CDC37</t>
  </si>
  <si>
    <t>hsp90 co-chaperone Cdc37 [Homo sapiens]</t>
  </si>
  <si>
    <t xml:space="preserve">3 10 3 </t>
  </si>
  <si>
    <t xml:space="preserve">0(7.6403951193385e-05) </t>
  </si>
  <si>
    <t>XRN2</t>
  </si>
  <si>
    <t>5'-3' exoribonuclease 2 [Homo sapiens]</t>
  </si>
  <si>
    <t xml:space="preserve">0(6.79981089633885e-05) </t>
  </si>
  <si>
    <t>ANP32A</t>
  </si>
  <si>
    <t>acidic leucine-rich nuclear phosphoprotein 32 family member A [Homo sapiens]</t>
  </si>
  <si>
    <t xml:space="preserve">0.0721649484536082(0.000189975582765457) </t>
  </si>
  <si>
    <t>GIPC1</t>
  </si>
  <si>
    <t>PDZ domain-containing protein GIPC1 isoform 1 [Homo sapiens]</t>
  </si>
  <si>
    <t xml:space="preserve">0.0206185567010309(0.000104323955526805) </t>
  </si>
  <si>
    <t xml:space="preserve">0.0769230769230769(0.0871229586485015) </t>
  </si>
  <si>
    <t>rho GTPase-activating protein 6 isoform 1 [Homo sapiens]</t>
  </si>
  <si>
    <t xml:space="preserve">0(1.35720807913208e-05) </t>
  </si>
  <si>
    <t>MRPL2</t>
  </si>
  <si>
    <t>39S ribosomal protein L2; mitochondrial [Homo sapiens]</t>
  </si>
  <si>
    <t xml:space="preserve">0.0103092783505155(2.20664812111441e-05) </t>
  </si>
  <si>
    <t>inositol polyphosphate 5-phosphatase OCRL-1 isoform b [Homo sapiens]</t>
  </si>
  <si>
    <t xml:space="preserve">0.0103092783505155(0.000142491967671182) </t>
  </si>
  <si>
    <t>RNA binding protein fox-1 homolog 2 isoform 5 [Homo sapiens]</t>
  </si>
  <si>
    <t xml:space="preserve">0.0412371134020619(0.000339729934355517) </t>
  </si>
  <si>
    <t>PAK2</t>
  </si>
  <si>
    <t>serine/threonine-protein kinase PAK 2 [Homo sapiens]</t>
  </si>
  <si>
    <t xml:space="preserve">8 5 3 </t>
  </si>
  <si>
    <t xml:space="preserve">0.0206185567010309(0.000386937825169825) </t>
  </si>
  <si>
    <t>MPDZ</t>
  </si>
  <si>
    <t>multiple PDZ domain protein isoform 1 [Homo sapiens]</t>
  </si>
  <si>
    <t xml:space="preserve">2 4 4 </t>
  </si>
  <si>
    <t xml:space="preserve">0(5.08614005739367e-06) </t>
  </si>
  <si>
    <t>rho guanine nucleotide exchange factor 39 [Homo sapiens]</t>
  </si>
  <si>
    <t xml:space="preserve">0.0103092783505155(5.68256835660341e-05) </t>
  </si>
  <si>
    <t>MAGI3</t>
  </si>
  <si>
    <t>membrane-associated guanylate kinase; WW and PDZ domain-containing protein 3 isoform 2 [Homo sapiens]</t>
  </si>
  <si>
    <t xml:space="preserve">0(9.53316464126774e-06) </t>
  </si>
  <si>
    <t>HDX</t>
  </si>
  <si>
    <t>highly divergent homeobox isoform 1 [Homo sapiens]</t>
  </si>
  <si>
    <t xml:space="preserve">0.0206185567010309(2.07616891352271e-05) </t>
  </si>
  <si>
    <t>PGRMC1</t>
  </si>
  <si>
    <t>membrane-associated progesterone receptor component 1 [Homo sapiens]</t>
  </si>
  <si>
    <t xml:space="preserve">1 1 3 </t>
  </si>
  <si>
    <t xml:space="preserve">0(0.000389660474977028) </t>
  </si>
  <si>
    <t xml:space="preserve">0.0309278350515464(9.6895755474617e-05) </t>
  </si>
  <si>
    <t>CCDC6</t>
  </si>
  <si>
    <t>coiled-coil domain-containing protein 6 [Homo sapiens]</t>
  </si>
  <si>
    <t xml:space="preserve">4 3 15 </t>
  </si>
  <si>
    <t xml:space="preserve">0.0103092783505155(0.000126862076370908) </t>
  </si>
  <si>
    <t>NSRP1</t>
  </si>
  <si>
    <t>nuclear speckle splicing regulatory protein 1 isoform 1 [Homo sapiens]</t>
  </si>
  <si>
    <t xml:space="preserve">0.0721649484536082(0.000119028797224142) </t>
  </si>
  <si>
    <t>PDF</t>
  </si>
  <si>
    <t>Peptide deformylase, mitochondrial</t>
  </si>
  <si>
    <t>DHRS7B</t>
  </si>
  <si>
    <t>dehydrogenase/reductase SDR family member 7B [Homo sapiens]</t>
  </si>
  <si>
    <t xml:space="preserve">0.0412371134020619(5.11118903886971e-05) </t>
  </si>
  <si>
    <t>rho GTPase-activating protein 23 [Homo sapiens]</t>
  </si>
  <si>
    <t xml:space="preserve">0(2.89773735906447e-06) </t>
  </si>
  <si>
    <t>PPIL4</t>
  </si>
  <si>
    <t>peptidyl-prolyl cis-trans isomerase-like 4 [Homo sapiens]</t>
  </si>
  <si>
    <t xml:space="preserve">3 1 2 1 </t>
  </si>
  <si>
    <t xml:space="preserve">0.0721649484536082(0.000367312148475318) </t>
  </si>
  <si>
    <t xml:space="preserve">0.0309278350515464(0.000773779638131638) </t>
  </si>
  <si>
    <t>MRPL10</t>
  </si>
  <si>
    <t>39S ribosomal protein L10; mitochondrial isoform a precursor [Homo sapiens]</t>
  </si>
  <si>
    <t xml:space="preserve">0(8.4131324071007e-06) </t>
  </si>
  <si>
    <t>WIPF2</t>
  </si>
  <si>
    <t>WAS/WASL-interacting protein family member 2 [Homo sapiens]</t>
  </si>
  <si>
    <t xml:space="preserve">7 6 </t>
  </si>
  <si>
    <t xml:space="preserve">0(0.00032107154242405) </t>
  </si>
  <si>
    <t>FARSA</t>
  </si>
  <si>
    <t>phenylalanine--tRNA ligase alpha subunit [Homo sapiens]</t>
  </si>
  <si>
    <t xml:space="preserve">1 1 2 </t>
  </si>
  <si>
    <t xml:space="preserve">0.0927835051546392(0.000198694791126326) </t>
  </si>
  <si>
    <t>CPVL</t>
  </si>
  <si>
    <t>probable serine carboxypeptidase CPVL precursor [Homo sapiens]</t>
  </si>
  <si>
    <t xml:space="preserve">2 3 5 </t>
  </si>
  <si>
    <t xml:space="preserve">0.0103092783505155(0.000118617878588097) </t>
  </si>
  <si>
    <t>NEFL</t>
  </si>
  <si>
    <t>neurofilament light polypeptide [Homo sapiens]</t>
  </si>
  <si>
    <t xml:space="preserve">0.0412371134020619(0.000100869632188892) </t>
  </si>
  <si>
    <t>NUP205</t>
  </si>
  <si>
    <t>nuclear pore complex protein Nup205 [Homo sapiens]</t>
  </si>
  <si>
    <t xml:space="preserve">0(2.74343472958882e-05) </t>
  </si>
  <si>
    <t>PDCD10</t>
  </si>
  <si>
    <t>programmed cell death protein 10 [Homo sapiens]</t>
  </si>
  <si>
    <t xml:space="preserve">0(7.14258845590906e-06) </t>
  </si>
  <si>
    <t>PSMC6</t>
  </si>
  <si>
    <t>26S protease regulatory subunit 10B [Homo sapiens]</t>
  </si>
  <si>
    <t xml:space="preserve">0.0412371134020619(0.000139851450803944) </t>
  </si>
  <si>
    <t>TLN1</t>
  </si>
  <si>
    <t>talin-1 [Homo sapiens]</t>
  </si>
  <si>
    <t xml:space="preserve">1 54 53 </t>
  </si>
  <si>
    <t xml:space="preserve">0(7.36107205996212e-05) </t>
  </si>
  <si>
    <t>NOP58</t>
  </si>
  <si>
    <t>nucleolar protein 58 [Homo sapiens]</t>
  </si>
  <si>
    <t xml:space="preserve">1 2 2 </t>
  </si>
  <si>
    <t xml:space="preserve">0.0103092783505155(9.24271238812757e-05) </t>
  </si>
  <si>
    <t>MCM7</t>
  </si>
  <si>
    <t>DNA replication licensing factor MCM7 isoform 1 [Homo sapiens]</t>
  </si>
  <si>
    <t xml:space="preserve">0(0.00157438708928812) </t>
  </si>
  <si>
    <t xml:space="preserve">0.0618556701030928(0.000114932908047374) </t>
  </si>
  <si>
    <t>CCAR1</t>
  </si>
  <si>
    <t>cell division cycle and apoptosis regulator protein 1 [Homo sapiens]</t>
  </si>
  <si>
    <t xml:space="preserve">0.0103092783505155(2.13876059911187e-05) </t>
  </si>
  <si>
    <t>REPIN1</t>
  </si>
  <si>
    <t>replication initiator 1 isoform 1 [Homo sapiens]</t>
  </si>
  <si>
    <t xml:space="preserve">0(6.28666410124713e-08) </t>
  </si>
  <si>
    <t>UNC45A</t>
  </si>
  <si>
    <t>protein unc-45 homolog A isoform 2 [Homo sapiens]</t>
  </si>
  <si>
    <t xml:space="preserve">0(2.78069754742934e-05) </t>
  </si>
  <si>
    <t>NDUFA5</t>
  </si>
  <si>
    <t>NADH dehydrogenase [ubiquinone] 1 alpha subcomplex subunit 5 [Homo sapiens]</t>
  </si>
  <si>
    <t xml:space="preserve">0.0103092783505155(0.00112415290283882) </t>
  </si>
  <si>
    <t>CASK</t>
  </si>
  <si>
    <t>peripheral plasma membrane protein CASK isoform 1 [Homo sapiens]</t>
  </si>
  <si>
    <t xml:space="preserve">0.0103092783505155(2.03730550658127e-05) </t>
  </si>
  <si>
    <t xml:space="preserve">0.0103092783505155(0.000468656120442278) </t>
  </si>
  <si>
    <t>SH3 domain-containing kinase-binding protein 1</t>
  </si>
  <si>
    <t>SH3GL2</t>
  </si>
  <si>
    <t>endophilin-A1 [Homo sapiens]</t>
  </si>
  <si>
    <t xml:space="preserve">0.0103092783505155(4.71829152442197e-06) </t>
  </si>
  <si>
    <t>BLOC1S2</t>
  </si>
  <si>
    <t>biogenesis of lysosome-related organelles complex 1 subunit 2 [Homo sapiens]</t>
  </si>
  <si>
    <t xml:space="preserve">0.0412371134020619(0.00013938980956319) </t>
  </si>
  <si>
    <t>PTPLAD1</t>
  </si>
  <si>
    <t>3-hydroxyacyl-CoA dehydratase 3 [Homo sapiens]</t>
  </si>
  <si>
    <t xml:space="preserve">0(0.000187000742249247) </t>
  </si>
  <si>
    <t>NME1-NME2</t>
  </si>
  <si>
    <t>NME1-NME2 protein [Homo sapiens]</t>
  </si>
  <si>
    <t xml:space="preserve">0.0103092783505155(0.000235925515644614) </t>
  </si>
  <si>
    <t>ELMO2</t>
  </si>
  <si>
    <t>engulfment and cell motility protein 2 [Homo sapiens]</t>
  </si>
  <si>
    <t xml:space="preserve">18 16 9 5 5 11 16 </t>
  </si>
  <si>
    <t xml:space="preserve">0.0103092783505155(0.000278494578354203) </t>
  </si>
  <si>
    <t>PDCD6</t>
  </si>
  <si>
    <t>programmed cell death protein 6 isoform 1 [Homo sapiens]</t>
  </si>
  <si>
    <t xml:space="preserve">0.0103092783505155(0.000587072120225639) </t>
  </si>
  <si>
    <t>RNF169</t>
  </si>
  <si>
    <t>E3 ubiquitin-protein ligase RNF169 [Homo sapiens]</t>
  </si>
  <si>
    <t xml:space="preserve">0(1.14598293878238e-07) </t>
  </si>
  <si>
    <t>CRKL</t>
  </si>
  <si>
    <t>crk-like protein [Homo sapiens]</t>
  </si>
  <si>
    <t xml:space="preserve">7 2 </t>
  </si>
  <si>
    <t xml:space="preserve">0.0103092783505155(0.000329763306220864) </t>
  </si>
  <si>
    <t>PSMB4</t>
  </si>
  <si>
    <t>proteasome subunit beta type-4 [Homo sapiens]</t>
  </si>
  <si>
    <t xml:space="preserve">0.0309278350515464(0.000134774545965304) </t>
  </si>
  <si>
    <t xml:space="preserve">0.0103092783505155(6.54665022232154e-05) </t>
  </si>
  <si>
    <t>NUP98</t>
  </si>
  <si>
    <t>nuclear pore complex protein Nup98-Nup96 isoform 1 [Homo sapiens]</t>
  </si>
  <si>
    <t xml:space="preserve">0.0103092783505155(6.72715102974267e-06) </t>
  </si>
  <si>
    <t>PINX1</t>
  </si>
  <si>
    <t>PIN2/TERF1-interacting telomerase inhibitor 1 [Homo sapiens]</t>
  </si>
  <si>
    <t xml:space="preserve">0.0103092783505155(4.58057965942443e-06) </t>
  </si>
  <si>
    <t>RBL1</t>
  </si>
  <si>
    <t>retinoblastoma-like protein 1 isoform a [Homo sapiens]</t>
  </si>
  <si>
    <t xml:space="preserve">0.037037037037037(4.1226427441767e-05) </t>
  </si>
  <si>
    <t>SKP1</t>
  </si>
  <si>
    <t>S-phase kinase-associated protein 1 isoform b [Homo sapiens]</t>
  </si>
  <si>
    <t xml:space="preserve">6 1 2 19 </t>
  </si>
  <si>
    <t xml:space="preserve">0(0.000117564916809236) </t>
  </si>
  <si>
    <t>SEPT2</t>
  </si>
  <si>
    <t>septin-2 [Homo sapiens]</t>
  </si>
  <si>
    <t xml:space="preserve">0(4.33087946324811e-05) </t>
  </si>
  <si>
    <t xml:space="preserve">0.0206185567010309(6.91522335615543e-05) </t>
  </si>
  <si>
    <t xml:space="preserve">1 14 </t>
  </si>
  <si>
    <t>STOM</t>
  </si>
  <si>
    <t>erythrocyte band 7 integral membrane protein isoform a [Homo sapiens]</t>
  </si>
  <si>
    <t xml:space="preserve">0(0.000118956013795606) </t>
  </si>
  <si>
    <t>RDX</t>
  </si>
  <si>
    <t>radixin [Homo sapiens]</t>
  </si>
  <si>
    <t xml:space="preserve">0(0.000255893541542221) </t>
  </si>
  <si>
    <t xml:space="preserve">3 1 1 </t>
  </si>
  <si>
    <t xml:space="preserve">0.0515463917525773(0.000702161048678681) </t>
  </si>
  <si>
    <t>AGAP3</t>
  </si>
  <si>
    <t>arf-GAP with GTPase; ANK repeat and PH domain-containing protein 3 isoform a [Homo sapiens]</t>
  </si>
  <si>
    <t xml:space="preserve">0(0.000104162220116966) </t>
  </si>
  <si>
    <t>NISCH</t>
  </si>
  <si>
    <t>nischarin isoform 1 [Homo sapiens]</t>
  </si>
  <si>
    <t xml:space="preserve">13 3 </t>
  </si>
  <si>
    <t xml:space="preserve">0.0103092783505155(8.86292926733932e-05) </t>
  </si>
  <si>
    <t>PDIA3</t>
  </si>
  <si>
    <t>protein disulfide-isomerase A3 precursor [Homo sapiens]</t>
  </si>
  <si>
    <t xml:space="preserve">0.0206185567010309(3.3607317041531e-05) </t>
  </si>
  <si>
    <t>ZNF346</t>
  </si>
  <si>
    <t>zinc finger protein 346 [Homo sapiens]</t>
  </si>
  <si>
    <t xml:space="preserve">0.0412371134020619(3.75260739528458e-05) </t>
  </si>
  <si>
    <t>LDHA</t>
  </si>
  <si>
    <t>L-lactate dehydrogenase A chain isoform 1 [Homo sapiens]</t>
  </si>
  <si>
    <t xml:space="preserve">0(0.000487464315123519) </t>
  </si>
  <si>
    <t>DYNC1LI1</t>
  </si>
  <si>
    <t>cytoplasmic dynein 1 light intermediate chain 1 [Homo sapiens]</t>
  </si>
  <si>
    <t xml:space="preserve">0.0206185567010309(2.0765817697834e-05) </t>
  </si>
  <si>
    <t>MTPN</t>
  </si>
  <si>
    <t>myotrophin [Homo sapiens]</t>
  </si>
  <si>
    <t xml:space="preserve">0.0103092783505155(0.000342046227598984) </t>
  </si>
  <si>
    <t>XPO1</t>
  </si>
  <si>
    <t>exportin-1 [Homo sapiens]</t>
  </si>
  <si>
    <t xml:space="preserve">0.0309278350515464(0.000144109617715418) </t>
  </si>
  <si>
    <t>TUBB4A</t>
  </si>
  <si>
    <t>tubulin beta-4A chain [Homo sapiens]</t>
  </si>
  <si>
    <t xml:space="preserve">0.0309278350515464(0.00749170347957278) </t>
  </si>
  <si>
    <t>CPSF3</t>
  </si>
  <si>
    <t>cleavage and polyadenylation specificity factor subunit 3 [Homo sapiens]</t>
  </si>
  <si>
    <t xml:space="preserve">0.0103092783505155(5.52761446817058e-05) </t>
  </si>
  <si>
    <t xml:space="preserve">0(0.000262848178176033) </t>
  </si>
  <si>
    <t xml:space="preserve">2 2 3 </t>
  </si>
  <si>
    <t xml:space="preserve">0.0206185567010309(0.00022622166757596) </t>
  </si>
  <si>
    <t>PIP5K1C</t>
  </si>
  <si>
    <t>phosphatidylinositol 4-phosphate 5-kinase type-1 gamma isoform 2 [Homo sapiens]</t>
  </si>
  <si>
    <t xml:space="preserve">0.0103092783505155(2.26903185020525e-05) </t>
  </si>
  <si>
    <t xml:space="preserve">0.0515463917525773(0.00218422398330002) </t>
  </si>
  <si>
    <t>C16orf88</t>
  </si>
  <si>
    <t>protein C16orf88 [Homo sapiens]</t>
  </si>
  <si>
    <t xml:space="preserve">0.0412371134020619(3.63850103090199e-05) </t>
  </si>
  <si>
    <t>CPSF1</t>
  </si>
  <si>
    <t>cleavage and polyadenylation specificity factor subunit 1 [Homo sapiens]</t>
  </si>
  <si>
    <t xml:space="preserve">0.0412371134020619(1.60628504950305e-05) </t>
  </si>
  <si>
    <t xml:space="preserve">0(4.83846295144821e-05) </t>
  </si>
  <si>
    <t>DNM2</t>
  </si>
  <si>
    <t>dynamin-2 isoform 2 [Homo sapiens]</t>
  </si>
  <si>
    <t xml:space="preserve">3 42 2 34 </t>
  </si>
  <si>
    <t xml:space="preserve">0(2.54150839881333e-07) </t>
  </si>
  <si>
    <t xml:space="preserve">0.0721649484536082(3.10397244004214e-05) </t>
  </si>
  <si>
    <t>ELMO1</t>
  </si>
  <si>
    <t>Engulfment and cell motility protein 1</t>
  </si>
  <si>
    <t xml:space="preserve">8 13 </t>
  </si>
  <si>
    <t>TIMM50</t>
  </si>
  <si>
    <t>mitochondrial import inner membrane translocase subunit TIM50 [Homo sapiens]</t>
  </si>
  <si>
    <t xml:space="preserve">1 4 </t>
  </si>
  <si>
    <t xml:space="preserve">0.0618556701030928(0.000194572180897272) </t>
  </si>
  <si>
    <t>SNRPG</t>
  </si>
  <si>
    <t>small nuclear ribonucleoprotein G [Homo sapiens]</t>
  </si>
  <si>
    <t xml:space="preserve">0.0103092783505155(0.00116756099986908) </t>
  </si>
  <si>
    <t>Rho guanine nucleotide exchange factor 11</t>
  </si>
  <si>
    <t>TIMM23</t>
  </si>
  <si>
    <t>mitochondrial import inner membrane translocase subunit Tim23 [Homo sapiens]</t>
  </si>
  <si>
    <t xml:space="preserve">0.0206185567010309(0.000227541978212887) </t>
  </si>
  <si>
    <t>SMARCC2</t>
  </si>
  <si>
    <t>SWI/SNF complex subunit SMARCC2 isoform a [Homo sapiens]</t>
  </si>
  <si>
    <t xml:space="preserve">0(0.000555474138216115) </t>
  </si>
  <si>
    <t>CHD1</t>
  </si>
  <si>
    <t>chromodomain-helicase-DNA-binding protein 1 [Homo sapiens]</t>
  </si>
  <si>
    <t xml:space="preserve">0.0103092783505155(2.99795071293588e-06) </t>
  </si>
  <si>
    <t>GSPT1</t>
  </si>
  <si>
    <t>eukaryotic peptide chain release factor GTP-binding subunit ERF3A isoform 1 [Homo sapiens]</t>
  </si>
  <si>
    <t xml:space="preserve">0(6.24305010823673e-06) </t>
  </si>
  <si>
    <t>CCDC137</t>
  </si>
  <si>
    <t>coiled-coil domain-containing protein 137 [Homo sapiens]</t>
  </si>
  <si>
    <t xml:space="preserve">0.0824742268041237(0.000122423157073184) </t>
  </si>
  <si>
    <t>NACA</t>
  </si>
  <si>
    <t>nascent polypeptide-associated complex subunit alpha isoform b [Homo sapiens]</t>
  </si>
  <si>
    <t xml:space="preserve">0.11340206185567(0.000266202700716284) </t>
  </si>
  <si>
    <t>C5orf24</t>
  </si>
  <si>
    <t>UPF0461 protein C5orf24 [Homo sapiens]</t>
  </si>
  <si>
    <t xml:space="preserve">0(4.4431927712662e-06) </t>
  </si>
  <si>
    <t>MTCH2</t>
  </si>
  <si>
    <t>mitochondrial carrier homolog 2 [Homo sapiens]</t>
  </si>
  <si>
    <t xml:space="preserve">7 7 </t>
  </si>
  <si>
    <t xml:space="preserve">0.037037037037037(0.0029638065013525) </t>
  </si>
  <si>
    <t>NUP214</t>
  </si>
  <si>
    <t>nuclear pore complex protein Nup214 [Homo sapiens]</t>
  </si>
  <si>
    <t xml:space="preserve">0.0412371134020619(1.29305066676671e-05) </t>
  </si>
  <si>
    <t>VAPA</t>
  </si>
  <si>
    <t>vesicle-associated membrane protein-associated protein A isoform 2 [Homo sapiens]</t>
  </si>
  <si>
    <t xml:space="preserve">1 7 5 1 16 1 16 5 </t>
  </si>
  <si>
    <t xml:space="preserve">0(6.23749563004864e-05) </t>
  </si>
  <si>
    <t xml:space="preserve">0.0103092783505155(2.84057440345519e-05) </t>
  </si>
  <si>
    <t>rho guanine nucleotide exchange factor 10-like protein isoform 1 [Homo sapiens]</t>
  </si>
  <si>
    <t xml:space="preserve">7 4 </t>
  </si>
  <si>
    <t xml:space="preserve">0.037037037037037(0.00365128370239807) </t>
  </si>
  <si>
    <t>MRPL4</t>
  </si>
  <si>
    <t>39S ribosomal protein L4; mitochondrial isoform a [Homo sapiens]</t>
  </si>
  <si>
    <t xml:space="preserve">0.0206185567010309(1.12222742356985e-05) </t>
  </si>
  <si>
    <t>KIF23</t>
  </si>
  <si>
    <t>kinesin-like protein KIF23 isoform 1 [Homo sapiens]</t>
  </si>
  <si>
    <t xml:space="preserve">2 26 14  14 10 </t>
  </si>
  <si>
    <t xml:space="preserve">0(1.31695963648711e-05) 0.0285714285714286(0.000852148082131464) </t>
  </si>
  <si>
    <t xml:space="preserve">0.00714285714285714 0.0344827586206897 </t>
  </si>
  <si>
    <t>transient_ltq1,stable_orbitrap</t>
  </si>
  <si>
    <t xml:space="preserve">0.0206185567010309(0.000134774545965304) </t>
  </si>
  <si>
    <t>GOLGA4</t>
  </si>
  <si>
    <t>Golgin subfamily A member 4 isoform 2 [Homo sapiens]</t>
  </si>
  <si>
    <t xml:space="preserve">0.0206185567010309(2.3562118639176e-06) </t>
  </si>
  <si>
    <t xml:space="preserve">0.0412371134020619(0.000161624478828812) </t>
  </si>
  <si>
    <t>NUP93</t>
  </si>
  <si>
    <t>nuclear pore complex protein Nup93 isoform 1 [Homo sapiens]</t>
  </si>
  <si>
    <t xml:space="preserve">0.0769230769230769(0.000971017442975628) </t>
  </si>
  <si>
    <t>pre-mRNA 3'-end-processing factor FIP1 isoform 3 [Homo sapiens]</t>
  </si>
  <si>
    <t xml:space="preserve">0.0721649484536082(0.000344169427959143) </t>
  </si>
  <si>
    <t>PEAK1</t>
  </si>
  <si>
    <t>tyrosine-protein kinase SgK269 [Homo sapiens]</t>
  </si>
  <si>
    <t xml:space="preserve">1 9 5 10 2  23 21 </t>
  </si>
  <si>
    <t xml:space="preserve">0.0103092783505155(1.40469287251446e-05) 0(0.000743502020418608) </t>
  </si>
  <si>
    <t xml:space="preserve">0.00714285714285714 0.0666666666666667 </t>
  </si>
  <si>
    <t xml:space="preserve">0(3.60049690376407e-05) </t>
  </si>
  <si>
    <t>DKC1</t>
  </si>
  <si>
    <t>H/ACA ribonucleoprotein complex subunit 4 isoform 1 [Homo sapiens]</t>
  </si>
  <si>
    <t xml:space="preserve">0(1.12165189912116e-06) </t>
  </si>
  <si>
    <t xml:space="preserve">0.0515463917525773(0.000227541978212887) </t>
  </si>
  <si>
    <t>SLC25A31</t>
  </si>
  <si>
    <t>ADP/ATP translocase 4 [Homo sapiens]</t>
  </si>
  <si>
    <t xml:space="preserve">0.0103092783505155(0.000202664618521585) </t>
  </si>
  <si>
    <t xml:space="preserve">0.0618556701030928(0.000266202700716284) </t>
  </si>
  <si>
    <t xml:space="preserve">17 4 </t>
  </si>
  <si>
    <t xml:space="preserve">0.0206185567010309(0.000226145525935752) </t>
  </si>
  <si>
    <t>BSG</t>
  </si>
  <si>
    <t>basigin isoform 1 precursor [Homo sapiens]</t>
  </si>
  <si>
    <t xml:space="preserve">0.0206185567010309(1.48403689406948e-05) </t>
  </si>
  <si>
    <t>PSMD13</t>
  </si>
  <si>
    <t>26S proteasome non-ATPase regulatory subunit 13 isoform 1 [Homo sapiens]</t>
  </si>
  <si>
    <t xml:space="preserve">0.0103092783505155(0.000151159107644064) </t>
  </si>
  <si>
    <t>LSM12</t>
  </si>
  <si>
    <t>protein LSM12 homolog [Homo sapiens]</t>
  </si>
  <si>
    <t xml:space="preserve">0(0.000544872580798052) </t>
  </si>
  <si>
    <t xml:space="preserve">0.0206185567010309(0.000123990811192711) </t>
  </si>
  <si>
    <t>FANCI</t>
  </si>
  <si>
    <t>Fanconi anemia group I protein isoform 2 [Homo sapiens]</t>
  </si>
  <si>
    <t xml:space="preserve">0.0103092783505155(1.5331309626114e-06) </t>
  </si>
  <si>
    <t xml:space="preserve">0(4.84733507071201e-05) </t>
  </si>
  <si>
    <t xml:space="preserve">0(5.7899842039291e-06) </t>
  </si>
  <si>
    <t>TRMT112</t>
  </si>
  <si>
    <t>tRNA methyltransferase 112 homolog [Homo sapiens]</t>
  </si>
  <si>
    <t xml:space="preserve">0(0.000109086810080352) </t>
  </si>
  <si>
    <t xml:space="preserve">0.0103092783505155(3.3607317041531e-05) </t>
  </si>
  <si>
    <t>PRKACA</t>
  </si>
  <si>
    <t>cAMP-dependent protein kinase catalytic subunit alpha isoform 1 [Homo sapiens]</t>
  </si>
  <si>
    <t xml:space="preserve">3 1 11 </t>
  </si>
  <si>
    <t xml:space="preserve">0(0.000682996042752223) </t>
  </si>
  <si>
    <t>STOML2</t>
  </si>
  <si>
    <t>stomatin-like protein 2 [Homo sapiens]</t>
  </si>
  <si>
    <t xml:space="preserve">0.0103092783505155(0.000233944087541483) </t>
  </si>
  <si>
    <t>CASP14</t>
  </si>
  <si>
    <t>caspase-14 precursor [Homo sapiens]</t>
  </si>
  <si>
    <t xml:space="preserve">0.0515463917525773(6.72713907841224e-05) </t>
  </si>
  <si>
    <t xml:space="preserve">0(3.15922271693544e-05) </t>
  </si>
  <si>
    <t>rho GTPase-activating protein 35 [Homo sapiens]</t>
  </si>
  <si>
    <t xml:space="preserve">0(1.09596084226882e-05) </t>
  </si>
  <si>
    <t>FHL1</t>
  </si>
  <si>
    <t>four and a half LIM domains protein 1 isoform 2 [Homo sapiens]</t>
  </si>
  <si>
    <t xml:space="preserve">0(0.000143994331211871) </t>
  </si>
  <si>
    <t>ras-specific guanine nucleotide-releasing factor 2 [Homo sapiens]</t>
  </si>
  <si>
    <t xml:space="preserve">0(0.000365195364257556) </t>
  </si>
  <si>
    <t>C11orf67</t>
  </si>
  <si>
    <t>UPF0366 protein C11orf67 [Homo sapiens]</t>
  </si>
  <si>
    <t xml:space="preserve">0.0309278350515464(0.00143778783098141) </t>
  </si>
  <si>
    <t>SSB</t>
  </si>
  <si>
    <t>lupus La protein [Homo sapiens]</t>
  </si>
  <si>
    <t xml:space="preserve">1 3 2 </t>
  </si>
  <si>
    <t xml:space="preserve">0.0309278350515464(0.000126683645100135) </t>
  </si>
  <si>
    <t>rho GTPase-activating protein 1 [Homo sapiens]</t>
  </si>
  <si>
    <t xml:space="preserve">0(4.32295105115839e-05) </t>
  </si>
  <si>
    <t>LYAR</t>
  </si>
  <si>
    <t>cell growth-regulating nucleolar protein [Homo sapiens]</t>
  </si>
  <si>
    <t xml:space="preserve">0(4.65358294020061e-05) </t>
  </si>
  <si>
    <t xml:space="preserve">0(2.07616891352271e-05) </t>
  </si>
  <si>
    <t>EPS15L1</t>
  </si>
  <si>
    <t>epidermal growth factor receptor substrate 15-like 1 isoform 3 [Homo sapiens]</t>
  </si>
  <si>
    <t xml:space="preserve">19 15 1 </t>
  </si>
  <si>
    <t xml:space="preserve">0(1.77291805583551e-05) </t>
  </si>
  <si>
    <t>RPN1</t>
  </si>
  <si>
    <t>dolichyl-diphosphooligosaccharide--protein glycosyltransferase subunit 1 precursor [Homo sapiens]</t>
  </si>
  <si>
    <t xml:space="preserve">0(0.000153858356733408) </t>
  </si>
  <si>
    <t>DGCR14</t>
  </si>
  <si>
    <t>protein DGCR14 [Homo sapiens]</t>
  </si>
  <si>
    <t xml:space="preserve">0(3.22363682237999e-06) </t>
  </si>
  <si>
    <t>CHCHD3</t>
  </si>
  <si>
    <t>coiled-coil-helix-coiled-coil-helix domain-containing protein 3; mitochondrial precursor [Homo sapiens]</t>
  </si>
  <si>
    <t xml:space="preserve">0.0618556701030928(0.000345245911346869) </t>
  </si>
  <si>
    <t>WDR59</t>
  </si>
  <si>
    <t>WD repeat-containing protein 59</t>
  </si>
  <si>
    <t xml:space="preserve">0.0927835051546392(8.8965005791922e-05) </t>
  </si>
  <si>
    <t>SRSF4</t>
  </si>
  <si>
    <t>serine/arginine-rich splicing factor 4 [Homo sapiens]</t>
  </si>
  <si>
    <t xml:space="preserve">0.0206185567010309(7.85090078802407e-06) </t>
  </si>
  <si>
    <t>SEC13</t>
  </si>
  <si>
    <t>protein SEC13 homolog isoform 1 [Homo sapiens]</t>
  </si>
  <si>
    <t xml:space="preserve">0.0206185567010309(3.82318665664464e-05) </t>
  </si>
  <si>
    <t>PSME3</t>
  </si>
  <si>
    <t>proteasome activator complex subunit 3 isoform 1 [Homo sapiens]</t>
  </si>
  <si>
    <t xml:space="preserve">0(0.000606083674943593) </t>
  </si>
  <si>
    <t>CTBP2</t>
  </si>
  <si>
    <t>C-terminal-binding protein 2 isoform 1 [Homo sapiens]</t>
  </si>
  <si>
    <t xml:space="preserve">0(4.6953403222142e-07) </t>
  </si>
  <si>
    <t>HBB</t>
  </si>
  <si>
    <t xml:space="preserve">0.0103092783505155(0.000486772990132798) </t>
  </si>
  <si>
    <t>RAB1B</t>
  </si>
  <si>
    <t>ras-related protein Rab-1B [Homo sapiens]</t>
  </si>
  <si>
    <t xml:space="preserve">0.0103092783505155(0.00834224916973456) </t>
  </si>
  <si>
    <t>SHCBP1</t>
  </si>
  <si>
    <t>SHC SH2 domain-binding protein 1 [Homo sapiens]</t>
  </si>
  <si>
    <t xml:space="preserve">0(2.60376027057122e-05) </t>
  </si>
  <si>
    <t>MTX2</t>
  </si>
  <si>
    <t>Metaxin-2</t>
  </si>
  <si>
    <t>ABCD3</t>
  </si>
  <si>
    <t>ATP-binding cassette sub-family D member 3 isoform a [Homo sapiens]</t>
  </si>
  <si>
    <t xml:space="preserve">0.0206185567010309(0.000100149497970326) </t>
  </si>
  <si>
    <t>CSTB</t>
  </si>
  <si>
    <t>cystatin-B [Homo sapiens]</t>
  </si>
  <si>
    <t xml:space="preserve">0.0412371134020619(0.00101155880071711) </t>
  </si>
  <si>
    <t>ARPC1B</t>
  </si>
  <si>
    <t>actin-related protein 2/3 complex subunit 1B [Homo sapiens]</t>
  </si>
  <si>
    <t xml:space="preserve">0.0103092783505155(2.46526314684893e-05) </t>
  </si>
  <si>
    <t>histone-binding protein RBBP7 isoform 2 [Homo sapiens]</t>
  </si>
  <si>
    <t xml:space="preserve">0.0309278350515464(7.69969750768484e-05) </t>
  </si>
  <si>
    <t>MBD3</t>
  </si>
  <si>
    <t>methyl-CpG-binding domain protein 3 [Homo sapiens]</t>
  </si>
  <si>
    <t xml:space="preserve">0.0721649484536082(0.00010473603073153) </t>
  </si>
  <si>
    <t>phosphatidylinositol 3;4;5-trisphosphate-dependent Rac exchanger 1 protein [Homo sapiens]</t>
  </si>
  <si>
    <t xml:space="preserve">0.0103092783505155(0.000173853283758461) </t>
  </si>
  <si>
    <t>PAM16</t>
  </si>
  <si>
    <t>mitochondrial import inner membrane translocase subunit TIM16 [Homo sapiens]</t>
  </si>
  <si>
    <t xml:space="preserve">0.0103092783505155(0.000131577872925945) </t>
  </si>
  <si>
    <t xml:space="preserve">0.0515463917525773(4.33087946324811e-05) </t>
  </si>
  <si>
    <t>dedicator of cytokinesis protein 3 [Homo sapiens]</t>
  </si>
  <si>
    <t xml:space="preserve">0(2.52218379089404e-06) </t>
  </si>
  <si>
    <t xml:space="preserve">0.0412371134020619(4.16551503833419e-05) </t>
  </si>
  <si>
    <t>PPIE</t>
  </si>
  <si>
    <t>Peptidyl-prolyl cis-trans isomerase E</t>
  </si>
  <si>
    <t>CSN2</t>
  </si>
  <si>
    <t xml:space="preserve">0.0206185567010309(0.000115246972715086) </t>
  </si>
  <si>
    <t>NOP56</t>
  </si>
  <si>
    <t>nucleolar protein 56 [Homo sapiens]</t>
  </si>
  <si>
    <t xml:space="preserve">0(8.03760610565509e-05) </t>
  </si>
  <si>
    <t>GIT2</t>
  </si>
  <si>
    <t>ARF GTPase-activating protein GIT2 isoform 1 [Homo sapiens]</t>
  </si>
  <si>
    <t xml:space="preserve">11 3 </t>
  </si>
  <si>
    <t xml:space="preserve">0.0103092783505155(0.000192118752348762) </t>
  </si>
  <si>
    <t>ELANE</t>
  </si>
  <si>
    <t>neutrophil elastase preproprotein [Homo sapiens]</t>
  </si>
  <si>
    <t xml:space="preserve">0.0103092783505155(3.1667569657693e-05) </t>
  </si>
  <si>
    <t xml:space="preserve">0(0.000100149497970326) </t>
  </si>
  <si>
    <t>FYVE; RhoGEF and PH domain-containing protein 6 [Homo sapiens]</t>
  </si>
  <si>
    <t xml:space="preserve">0.0740740740740741(0.000101285565862619) </t>
  </si>
  <si>
    <t xml:space="preserve">0.0309278350515464(0.000100869632188892) </t>
  </si>
  <si>
    <t xml:space="preserve">0(3.22428415076264e-05) </t>
  </si>
  <si>
    <t xml:space="preserve">0.0309278350515464(9.60338422520291e-05) </t>
  </si>
  <si>
    <t xml:space="preserve">0.0103092783505155(5.34064287930119e-05) </t>
  </si>
  <si>
    <t>SNRPB2</t>
  </si>
  <si>
    <t>U2 small nuclear ribonucleoprotein B'' [Homo sapiens]</t>
  </si>
  <si>
    <t xml:space="preserve">0.0103092783505155(4.06870018142846e-05) </t>
  </si>
  <si>
    <t>RAB8A</t>
  </si>
  <si>
    <t>ras-related protein Rab-8A [Homo sapiens]</t>
  </si>
  <si>
    <t xml:space="preserve">1 10 2 </t>
  </si>
  <si>
    <t xml:space="preserve">0.0103092783505155(0.000149151871575016) </t>
  </si>
  <si>
    <t>BUB3</t>
  </si>
  <si>
    <t>mitotic checkpoint protein BUB3 isoform a [Homo sapiens]</t>
  </si>
  <si>
    <t xml:space="preserve">0.0206185567010309(8.95922467873882e-05) </t>
  </si>
  <si>
    <t>SEC61A1</t>
  </si>
  <si>
    <t>protein transport protein Sec61 subunit alpha isoform 1 [Homo sapiens]</t>
  </si>
  <si>
    <t xml:space="preserve">0.0206185567010309(0.000160515594645488) </t>
  </si>
  <si>
    <t>ENAH</t>
  </si>
  <si>
    <t>protein enabled homolog isoform b [Homo sapiens]</t>
  </si>
  <si>
    <t xml:space="preserve">0(3.69778421715291e-05) </t>
  </si>
  <si>
    <t xml:space="preserve">0.0206185567010309(3.10246188922405e-05) </t>
  </si>
  <si>
    <t>MCTS1</t>
  </si>
  <si>
    <t>malignant T-cell-amplified sequence 1 isoform 1 [Homo sapiens]</t>
  </si>
  <si>
    <t xml:space="preserve">0.0412371134020619(0.0005955056884761) </t>
  </si>
  <si>
    <t>DNAJB11</t>
  </si>
  <si>
    <t>dnaJ homolog subfamily B member 11 precursor [Homo sapiens]</t>
  </si>
  <si>
    <t xml:space="preserve">0.0103092783505155(3.41234352437585e-05) </t>
  </si>
  <si>
    <t>myosin phosphatase Rho-interacting protein isoform 2 [Homo sapiens]</t>
  </si>
  <si>
    <t xml:space="preserve">0.0412371134020619(9.80459692147264e-06) </t>
  </si>
  <si>
    <t>neurabin-2 [Homo sapiens]</t>
  </si>
  <si>
    <t xml:space="preserve">0.0103092783505155(0.000107843112145341) </t>
  </si>
  <si>
    <t>ARF4</t>
  </si>
  <si>
    <t>ADP-ribosylation factor 4 [Homo sapiens]</t>
  </si>
  <si>
    <t xml:space="preserve">0.0103092783505155(0.000329740231038817) </t>
  </si>
  <si>
    <t>IPO8</t>
  </si>
  <si>
    <t>importin-8 isoform 1 [Homo sapiens]</t>
  </si>
  <si>
    <t xml:space="preserve">0.0206185567010309(1.54606851451218e-05) </t>
  </si>
  <si>
    <t>PPIH</t>
  </si>
  <si>
    <t>peptidyl-prolyl cis-trans isomerase H [Homo sapiens]</t>
  </si>
  <si>
    <t xml:space="preserve">0.0206185567010309(1.42707931243351e-05) </t>
  </si>
  <si>
    <t xml:space="preserve">1 23 15 </t>
  </si>
  <si>
    <t xml:space="preserve">0(7.32673499808456e-05) </t>
  </si>
  <si>
    <t xml:space="preserve">0.0618556701030928(9.04869459112906e-05) </t>
  </si>
  <si>
    <t>rho guanine nucleotide exchange factor 16 [Homo sapiens]</t>
  </si>
  <si>
    <t xml:space="preserve">0(1.53267128070693e-06) </t>
  </si>
  <si>
    <t>SMARCC1</t>
  </si>
  <si>
    <t>SWI/SNF complex subunit SMARCC1 [Homo sapiens]</t>
  </si>
  <si>
    <t xml:space="preserve">0.0618556701030928(2.62275221088748e-05) </t>
  </si>
  <si>
    <t>RAVER1</t>
  </si>
  <si>
    <t>ribonucleoprotein PTB-binding 1 [Homo sapiens]</t>
  </si>
  <si>
    <t xml:space="preserve">0(4.1401343121138e-05) </t>
  </si>
  <si>
    <t>EIF6</t>
  </si>
  <si>
    <t>eukaryotic translation initiation factor 6 isoform a [Homo sapiens]</t>
  </si>
  <si>
    <t xml:space="preserve">0.0721649484536082(0.000327195141136598) </t>
  </si>
  <si>
    <t>PDIA4</t>
  </si>
  <si>
    <t>protein disulfide-isomerase A4 precursor [Homo sapiens]</t>
  </si>
  <si>
    <t xml:space="preserve">0.0412371134020619(5.83072469656882e-05) </t>
  </si>
  <si>
    <t>PGK1</t>
  </si>
  <si>
    <t>phosphoglycerate kinase 1 [Homo sapiens]</t>
  </si>
  <si>
    <t xml:space="preserve">0.0103092783505155(8.63674678992393e-06) </t>
  </si>
  <si>
    <t>SP6</t>
  </si>
  <si>
    <t>transcription factor Sp6 [Homo sapiens]</t>
  </si>
  <si>
    <t xml:space="preserve">0(0.000370791549305874) </t>
  </si>
  <si>
    <t>CKB</t>
  </si>
  <si>
    <t>creatine kinase B-type [Homo sapiens]</t>
  </si>
  <si>
    <t xml:space="preserve">0.0206185567010309(7.12773651766928e-05) </t>
  </si>
  <si>
    <t>MAT2A</t>
  </si>
  <si>
    <t>S-adenosylmethionine synthase isoform type-2 [Homo sapiens]</t>
  </si>
  <si>
    <t xml:space="preserve">0(0.00140940745350055) </t>
  </si>
  <si>
    <t xml:space="preserve">0.0769230769230769(8.19580125834354e-05) </t>
  </si>
  <si>
    <t>TARDBP</t>
  </si>
  <si>
    <t>TAR DNA-binding protein 43 [Homo sapiens]</t>
  </si>
  <si>
    <t xml:space="preserve">0.0412371134020619(0.000184898615257227) </t>
  </si>
  <si>
    <t xml:space="preserve">0.0515463917525773(1.60628504950305e-05) </t>
  </si>
  <si>
    <t xml:space="preserve">1 2 1 </t>
  </si>
  <si>
    <t xml:space="preserve">0.123711340206186(0.000184898615257227) </t>
  </si>
  <si>
    <t>REPS1</t>
  </si>
  <si>
    <t>ralBP1-associated Eps domain-containing protein 1 isoform a [Homo sapiens]</t>
  </si>
  <si>
    <t xml:space="preserve">4 4 8 </t>
  </si>
  <si>
    <t xml:space="preserve">0(3.78229179377513e-05) </t>
  </si>
  <si>
    <t>CTSG</t>
  </si>
  <si>
    <t xml:space="preserve">0(4.38891195347777e-05) </t>
  </si>
  <si>
    <t xml:space="preserve">0.0721649484536082(2.84057440345519e-05) </t>
  </si>
  <si>
    <t>KIAA1107</t>
  </si>
  <si>
    <t>hypothetical protein LOC23285 [Homo sapiens]</t>
  </si>
  <si>
    <t xml:space="preserve">0(4.06986244025862e-05) </t>
  </si>
  <si>
    <t xml:space="preserve">0.0515463917525773(0.000344169427959143) </t>
  </si>
  <si>
    <t xml:space="preserve">0.0618556701030928(0.000101359206130181) </t>
  </si>
  <si>
    <t>ARF1</t>
  </si>
  <si>
    <t>ADP-ribosylation factor 1 [Homo sapiens]</t>
  </si>
  <si>
    <t xml:space="preserve">0.0206185567010309(0.000475488296712228) </t>
  </si>
  <si>
    <t>ANXA6</t>
  </si>
  <si>
    <t>annexin A6 isoform 1 [Homo sapiens]</t>
  </si>
  <si>
    <t xml:space="preserve">0.0103092783505155(4.68563419164424e-06) </t>
  </si>
  <si>
    <t>GART</t>
  </si>
  <si>
    <t>trifunctional purine biosynthetic protein adenosine-3 isoform 1 [Homo sapiens]</t>
  </si>
  <si>
    <t xml:space="preserve">0.0103092783505155(2.28614577624921e-05) </t>
  </si>
  <si>
    <t>rho GTPase-activating protein 22 isoform 3 [Homo sapiens]</t>
  </si>
  <si>
    <t xml:space="preserve">0.0103092783505155(1.75091959901302e-05) </t>
  </si>
  <si>
    <t>MRPS28</t>
  </si>
  <si>
    <t>28S ribosomal protein S28; mitochondrial [Homo sapiens]</t>
  </si>
  <si>
    <t xml:space="preserve">0(0.000443216298424434) </t>
  </si>
  <si>
    <t>plectin isoform 1f [Homo sapiens]</t>
  </si>
  <si>
    <t xml:space="preserve">0.0309278350515464(3.54820356817986e-05) </t>
  </si>
  <si>
    <t>TPM3</t>
  </si>
  <si>
    <t>tropomyosin alpha-3 chain isoform 2 [Homo sapiens]</t>
  </si>
  <si>
    <t xml:space="preserve">0.0103092783505155(8.17632161308957e-05) </t>
  </si>
  <si>
    <t>vesicle-associated membrane protein-associated protein B/C [Homo sapiens]</t>
  </si>
  <si>
    <t xml:space="preserve">1 1  2 1 4 </t>
  </si>
  <si>
    <t xml:space="preserve">0(0.000440404040050519) 0(0.000186440480467024) </t>
  </si>
  <si>
    <t xml:space="preserve">0.0588235294117647 0.0344827586206897 </t>
  </si>
  <si>
    <t>transient_orbitrap,stable_orbitrap</t>
  </si>
  <si>
    <t>PEX14</t>
  </si>
  <si>
    <t>peroxisomal membrane protein PEX14 [Homo sapiens]</t>
  </si>
  <si>
    <t xml:space="preserve">1 7 1 </t>
  </si>
  <si>
    <t xml:space="preserve">0(0.000300508235486119) </t>
  </si>
  <si>
    <t>SH3PXD2A</t>
  </si>
  <si>
    <t>SH3 and PX domain-containing protein 2A [Homo sapiens]</t>
  </si>
  <si>
    <t xml:space="preserve">3 1  7 17 </t>
  </si>
  <si>
    <t xml:space="preserve">0(1.87429981299065e-05) 0.0285714285714286(0.00100581953644005) </t>
  </si>
  <si>
    <t xml:space="preserve">0.0142857142857143 0.0344827586206897 </t>
  </si>
  <si>
    <t>HUWE1</t>
  </si>
  <si>
    <t>E3 ubiquitin-protein ligase HUWE1 [Homo sapiens]</t>
  </si>
  <si>
    <t xml:space="preserve">0.0103092783505155(1.10112825579471e-05) </t>
  </si>
  <si>
    <t>C20orf11</t>
  </si>
  <si>
    <t>glucose-induced degradation protein 8 homolog [Homo sapiens]</t>
  </si>
  <si>
    <t xml:space="preserve">0.0206185567010309(0.00018282760660527) </t>
  </si>
  <si>
    <t xml:space="preserve">0(0.00128393389103942) </t>
  </si>
  <si>
    <t>UTP11L</t>
  </si>
  <si>
    <t>probable U3 small nucleolar RNA-associated protein 11 [Homo sapiens]</t>
  </si>
  <si>
    <t xml:space="preserve">0.0103092783505155(8.09460713219566e-05) </t>
  </si>
  <si>
    <t>CCDC86</t>
  </si>
  <si>
    <t>coiled-coil domain-containing protein 86 [Homo sapiens]</t>
  </si>
  <si>
    <t xml:space="preserve">0.0721649484536082(0.000279025349749356) </t>
  </si>
  <si>
    <t>RANGAP1</t>
  </si>
  <si>
    <t>ran GTPase-activating protein 1 [Homo sapiens]</t>
  </si>
  <si>
    <t xml:space="preserve">0(0.000536108826488847) </t>
  </si>
  <si>
    <t>CHCHD2</t>
  </si>
  <si>
    <t>coiled-coil-helix-coiled-coil-helix domain-containing protein 2; mitochondrial precursor [Homo sapiens]</t>
  </si>
  <si>
    <t xml:space="preserve">0(0.000572745386512212) </t>
  </si>
  <si>
    <t>RPN2</t>
  </si>
  <si>
    <t>dolichyl-diphosphooligosaccharide--protein glycosyltransferase subunit 2 isoform 1 precursor [Homo sapiens]</t>
  </si>
  <si>
    <t xml:space="preserve">0.0103092783505155(4.58243788635123e-05) </t>
  </si>
  <si>
    <t>DDB1</t>
  </si>
  <si>
    <t>DNA damage-binding protein 1 [Homo sapiens]</t>
  </si>
  <si>
    <t xml:space="preserve">0.0103092783505155(9.66386875549108e-05) </t>
  </si>
  <si>
    <t xml:space="preserve">0.0103092783505155(6.06373363271958e-05) </t>
  </si>
  <si>
    <t xml:space="preserve">13 10 </t>
  </si>
  <si>
    <t xml:space="preserve">0.0103092783505155(0.000226145525935752) </t>
  </si>
  <si>
    <t>ZBTB33</t>
  </si>
  <si>
    <t>transcriptional regulator Kaiso [Homo sapiens]</t>
  </si>
  <si>
    <t xml:space="preserve">0(6.53992594194242e-05) </t>
  </si>
  <si>
    <t xml:space="preserve">0(0.000193215502169819) </t>
  </si>
  <si>
    <t>CIRH1A</t>
  </si>
  <si>
    <t>cirhin [Homo sapiens]</t>
  </si>
  <si>
    <t xml:space="preserve">0(1.33176681308684e-05) </t>
  </si>
  <si>
    <t xml:space="preserve">0.0515463917525773(0.000421764400711801) </t>
  </si>
  <si>
    <t>PTRF</t>
  </si>
  <si>
    <t>polymerase I and transcript release factor [Homo sapiens]</t>
  </si>
  <si>
    <t xml:space="preserve">0(5.53738607289328e-06) </t>
  </si>
  <si>
    <t>LIN7C</t>
  </si>
  <si>
    <t>protein lin-7 homolog C [Homo sapiens]</t>
  </si>
  <si>
    <t xml:space="preserve">0.0309278350515464(0.000327353742027719) </t>
  </si>
  <si>
    <t>AKAP8L</t>
  </si>
  <si>
    <t>A-kinase anchor protein 8-like [Homo sapiens]</t>
  </si>
  <si>
    <t xml:space="preserve">0.0927835051546392(5.08633886570068e-05) </t>
  </si>
  <si>
    <t>DTNA</t>
  </si>
  <si>
    <t>dystrobrevin alpha isoform 8 [Homo sapiens]</t>
  </si>
  <si>
    <t xml:space="preserve">0.0103092783505155(9.61515036303199e-05) </t>
  </si>
  <si>
    <t xml:space="preserve">0.0103092783505155(0.000182723555142524) </t>
  </si>
  <si>
    <t>PALM2-AKAP2 protein isoform 2 [Homo sapiens]</t>
  </si>
  <si>
    <t xml:space="preserve">0.0309278350515464(4.03781466607644e-06) </t>
  </si>
  <si>
    <t>GOPC</t>
  </si>
  <si>
    <t>Golgi-associated PDZ and coiled-coil motif-containing protein isoform a [Homo sapiens]</t>
  </si>
  <si>
    <t xml:space="preserve">0.037037037037037(0.00507194781394657) </t>
  </si>
  <si>
    <t>L-lactate dehydrogenase A chain isoform 4 [Homo sapiens]</t>
  </si>
  <si>
    <t xml:space="preserve">0.0206185567010309(4.04098170992246e-05) </t>
  </si>
  <si>
    <t>ABLIM1</t>
  </si>
  <si>
    <t>actin-binding LIM protein 1 isoform a [Homo sapiens]</t>
  </si>
  <si>
    <t xml:space="preserve">0.0103092783505155(4.19394215829892e-05) </t>
  </si>
  <si>
    <t>AP2A2</t>
  </si>
  <si>
    <t>AP-2 complex subunit alpha-2 [Homo sapiens]</t>
  </si>
  <si>
    <t xml:space="preserve">18 5 </t>
  </si>
  <si>
    <t xml:space="preserve">0(0.000600356853008886) </t>
  </si>
  <si>
    <t>LRCH2</t>
  </si>
  <si>
    <t>leucine-rich repeat and calponin homology domain-containing protein 2 isoform 1 [Homo sapiens]</t>
  </si>
  <si>
    <t xml:space="preserve">6 3 26 8 </t>
  </si>
  <si>
    <t xml:space="preserve">0(4.9374176394058e-05) </t>
  </si>
  <si>
    <t>CCDC12</t>
  </si>
  <si>
    <t>coiled-coil domain-containing protein 12 [Homo sapiens]</t>
  </si>
  <si>
    <t xml:space="preserve">0.0103092783505155(6.53649414470778e-05) </t>
  </si>
  <si>
    <t>PA2G4</t>
  </si>
  <si>
    <t>proliferation-associated protein 2G4 [Homo sapiens]</t>
  </si>
  <si>
    <t xml:space="preserve">0.0515463917525773(0.000320010495463632) </t>
  </si>
  <si>
    <t>SLIT-ROBO Rho GTPase-activating protein 2 isoform a [Homo sapiens]</t>
  </si>
  <si>
    <t xml:space="preserve">7 6  10 </t>
  </si>
  <si>
    <t xml:space="preserve">0.0103092783505155(0.00035493720799502) 0(0.00688654710159082) </t>
  </si>
  <si>
    <t xml:space="preserve">0.00714285714285714 0.0588235294117647 </t>
  </si>
  <si>
    <t>transient_ltq1,transient_orbitrap</t>
  </si>
  <si>
    <t>SPTLC1</t>
  </si>
  <si>
    <t>serine palmitoyltransferase 1 isoform a [Homo sapiens]</t>
  </si>
  <si>
    <t xml:space="preserve">0.0927835051546392(0.000114409850090524) </t>
  </si>
  <si>
    <t xml:space="preserve">0(0.000235925515644614) </t>
  </si>
  <si>
    <t>LOC780933</t>
  </si>
  <si>
    <t xml:space="preserve">0.0206185567010309(0.000111134518577116) </t>
  </si>
  <si>
    <t>HSD17B10</t>
  </si>
  <si>
    <t>3-hydroxyacyl-CoA dehydrogenase type-2 isoform 1 [Homo sapiens]</t>
  </si>
  <si>
    <t xml:space="preserve">0.0103092783505155(0.000486310869967975) </t>
  </si>
  <si>
    <t>DLG1</t>
  </si>
  <si>
    <t>disks large homolog 1 isoform 2 [Homo sapiens]</t>
  </si>
  <si>
    <t xml:space="preserve">0.0103092783505155(7.23226016014459e-05) </t>
  </si>
  <si>
    <t>CDK9</t>
  </si>
  <si>
    <t>cyclin-dependent kinase 9 [Homo sapiens]</t>
  </si>
  <si>
    <t xml:space="preserve">0(0.000439704741167356) </t>
  </si>
  <si>
    <t xml:space="preserve">0.0103092783505155(0.00143778783098141) </t>
  </si>
  <si>
    <t>S100A7</t>
  </si>
  <si>
    <t>protein S100-A7 [Homo sapiens]</t>
  </si>
  <si>
    <t xml:space="preserve">0.0721649484536082(0.000171313913589538) </t>
  </si>
  <si>
    <t>SBSN</t>
  </si>
  <si>
    <t>suprabasin isoform 1 precursor [Homo sapiens]</t>
  </si>
  <si>
    <t xml:space="preserve">0.0103092783505155(6.59330645160723e-05) </t>
  </si>
  <si>
    <t>P4HB</t>
  </si>
  <si>
    <t>protein disulfide-isomerase precursor [Homo sapiens]</t>
  </si>
  <si>
    <t xml:space="preserve">0.0103092783505155(0.000633970218693304) </t>
  </si>
  <si>
    <t>KCTD12</t>
  </si>
  <si>
    <t>BTB/POZ domain-containing protein KCTD12 [Homo sapiens]</t>
  </si>
  <si>
    <t xml:space="preserve">0.0309278350515464(8.83276330034445e-05) </t>
  </si>
  <si>
    <t xml:space="preserve">0.0103092783505155(0.000113869348764567) </t>
  </si>
  <si>
    <t>TMOD2</t>
  </si>
  <si>
    <t>tropomodulin-2 isoform a [Homo sapiens]</t>
  </si>
  <si>
    <t xml:space="preserve">0.0515463917525773(0.000239460462053172) </t>
  </si>
  <si>
    <t>FYVE; RhoGEF and PH domain-containing protein 3 [Homo sapiens]</t>
  </si>
  <si>
    <t xml:space="preserve">0(9.01832255638726e-07) </t>
  </si>
  <si>
    <t>DDX50</t>
  </si>
  <si>
    <t>ATP-dependent RNA helicase DDX50 [Homo sapiens]</t>
  </si>
  <si>
    <t xml:space="preserve">1 6 1 </t>
  </si>
  <si>
    <t xml:space="preserve">0(9.50121599225857e-05) </t>
  </si>
  <si>
    <t>MRPL14</t>
  </si>
  <si>
    <t>39S ribosomal protein L14; mitochondrial [Homo sapiens]</t>
  </si>
  <si>
    <t xml:space="preserve">0.0721649484536082(0.000282942591825333) </t>
  </si>
  <si>
    <t>PPIB</t>
  </si>
  <si>
    <t>peptidyl-prolyl cis-trans isomerase B precursor [Homo sapiens]</t>
  </si>
  <si>
    <t xml:space="preserve">0(0.000404705793916961) </t>
  </si>
  <si>
    <t>CA2</t>
  </si>
  <si>
    <t xml:space="preserve">0.0206185567010309(0.000376410676567068) </t>
  </si>
  <si>
    <t>NME2</t>
  </si>
  <si>
    <t>nucleoside diphosphate kinase B isoform a [Homo sapiens]</t>
  </si>
  <si>
    <t xml:space="preserve">0.0769230769230769(0.00397991887894733) </t>
  </si>
  <si>
    <t>MOB2</t>
  </si>
  <si>
    <t>MOB kinase activator 2 isoform 2 [Homo sapiens]</t>
  </si>
  <si>
    <t xml:space="preserve">0.0824742268041237(0.000669095598960267) </t>
  </si>
  <si>
    <t>HN1L</t>
  </si>
  <si>
    <t>hematological and neurological expressed 1-like protein [Homo sapiens]</t>
  </si>
  <si>
    <t xml:space="preserve">0.0309278350515464(0.000143425229848552) </t>
  </si>
  <si>
    <t>SHMT2</t>
  </si>
  <si>
    <t>serine hydroxymethyltransferase; mitochondrial isoform 1 precursor [Homo sapiens]</t>
  </si>
  <si>
    <t xml:space="preserve">0(0.000249632909371283) </t>
  </si>
  <si>
    <t xml:space="preserve">3 1 3 </t>
  </si>
  <si>
    <t xml:space="preserve">0.0103092783505155(0.000327353742027719) </t>
  </si>
  <si>
    <t xml:space="preserve">5 5 </t>
  </si>
  <si>
    <t>CPSF4</t>
  </si>
  <si>
    <t>cleavage and polyadenylation specificity factor subunit 4 isoform 1 [Homo sapiens]</t>
  </si>
  <si>
    <t xml:space="preserve">0(0.000132621071289423) </t>
  </si>
  <si>
    <t>KIAA1671</t>
  </si>
  <si>
    <t>uncharacterized protein KIAA1671 [Homo sapiens]</t>
  </si>
  <si>
    <t xml:space="preserve">0.0103092783505155(2.56149673032614e-06) </t>
  </si>
  <si>
    <t xml:space="preserve">0(9.47978762786642e-06) </t>
  </si>
  <si>
    <t>TP53</t>
  </si>
  <si>
    <t>cellular tumor antigen p53 isoform d [Homo sapiens]</t>
  </si>
  <si>
    <t xml:space="preserve">0.0103092783505155(5.42383280552117e-05) </t>
  </si>
  <si>
    <t>PLRG1</t>
  </si>
  <si>
    <t>pleiotropic regulator 1 isoform 1 [Homo sapiens]</t>
  </si>
  <si>
    <t xml:space="preserve">0.0103092783505155(6.18501188127948e-05) </t>
  </si>
  <si>
    <t>PPP2R5E</t>
  </si>
  <si>
    <t>serine/threonine-protein phosphatase 2A 56 kDa regulatory subunit epsilon isoform [Homo sapiens]</t>
  </si>
  <si>
    <t xml:space="preserve">0.0103092783505155(5.43535094083241e-05) </t>
  </si>
  <si>
    <t>CEP170</t>
  </si>
  <si>
    <t>centrosomal protein of 170 kDa isoform alpha [Homo sapiens]</t>
  </si>
  <si>
    <t xml:space="preserve">0.0206185567010309(7.54398283476913e-06) </t>
  </si>
  <si>
    <t>MRPS14</t>
  </si>
  <si>
    <t>28S ribosomal protein S14; mitochondrial [Homo sapiens]</t>
  </si>
  <si>
    <t xml:space="preserve">0.11340206185567(0.000457896415316783) </t>
  </si>
  <si>
    <t>NUP153</t>
  </si>
  <si>
    <t>nuclear pore complex protein Nup153 [Homo sapiens]</t>
  </si>
  <si>
    <t xml:space="preserve">0(0.000341654427057294) </t>
  </si>
  <si>
    <t>RUVBL1</t>
  </si>
  <si>
    <t>ruvB-like 1 [Homo sapiens]</t>
  </si>
  <si>
    <t xml:space="preserve">0(0.000163263565999554) </t>
  </si>
  <si>
    <t xml:space="preserve">1 1 6 </t>
  </si>
  <si>
    <t>MTMR14</t>
  </si>
  <si>
    <t>myotubularin-related protein 14 isoform 2 [Homo sapiens]</t>
  </si>
  <si>
    <t xml:space="preserve">0.0721649484536082(5.33210246022589e-05) </t>
  </si>
  <si>
    <t>VPS37C</t>
  </si>
  <si>
    <t>vacuolar protein sorting-associated protein 37C [Homo sapiens]</t>
  </si>
  <si>
    <t xml:space="preserve">0.0103092783505155(4.92442789202057e-05) </t>
  </si>
  <si>
    <t>phosphatidylinositol 3-kinase regulatory subunit beta [Homo sapiens]</t>
  </si>
  <si>
    <t xml:space="preserve">0.0103092783505155(0.00110394798277408) </t>
  </si>
  <si>
    <t>S100A8</t>
  </si>
  <si>
    <t>protein S100-A8 [Homo sapiens]</t>
  </si>
  <si>
    <t xml:space="preserve">0(0.00228717483883324) </t>
  </si>
  <si>
    <t>GLO1</t>
  </si>
  <si>
    <t>lactoylglutathione lyase [Homo sapiens]</t>
  </si>
  <si>
    <t xml:space="preserve">0.0515463917525773(0.000184105435910918) </t>
  </si>
  <si>
    <t>AHCYL2</t>
  </si>
  <si>
    <t>putative adenosylhomocysteinase 3 isoform a [Homo sapiens]</t>
  </si>
  <si>
    <t xml:space="preserve">0(4.86139042819292e-05) </t>
  </si>
  <si>
    <t>PSMB5</t>
  </si>
  <si>
    <t>proteasome subunit beta type-5 isoform 1 [Homo sapiens]</t>
  </si>
  <si>
    <t xml:space="preserve">0(0.000379352094122894) </t>
  </si>
  <si>
    <t>WDR74</t>
  </si>
  <si>
    <t>WD repeat-containing protein 74 [Homo sapiens]</t>
  </si>
  <si>
    <t xml:space="preserve">0.0103092783505155(0.000114461575751095) </t>
  </si>
  <si>
    <t>LBR</t>
  </si>
  <si>
    <t>lamin-B receptor [Homo sapiens]</t>
  </si>
  <si>
    <t xml:space="preserve">3 2 3 2 </t>
  </si>
  <si>
    <t xml:space="preserve">0.0103092783505155(0.000559165738596685) </t>
  </si>
  <si>
    <t>ZCCHC9</t>
  </si>
  <si>
    <t>zinc finger CCHC domain-containing protein 9 [Homo sapiens]</t>
  </si>
  <si>
    <t xml:space="preserve">0.0206185567010309(5.6386598552876e-05) </t>
  </si>
  <si>
    <t xml:space="preserve">0.0206185567010309(0.000339729934355517) </t>
  </si>
  <si>
    <t xml:space="preserve">0.0103092783505155(0.000627343233597417) </t>
  </si>
  <si>
    <t>rho guanine nucleotide exchange factor 11 isoform 1 [Homo sapiens]</t>
  </si>
  <si>
    <t xml:space="preserve">1 1 2  2 2 1 1 </t>
  </si>
  <si>
    <t xml:space="preserve">0(1.24119757421738e-06) </t>
  </si>
  <si>
    <t xml:space="preserve">43.750.0142857142857143 </t>
  </si>
  <si>
    <t>MDC,transient_ltq1</t>
  </si>
  <si>
    <t>Q Exactive HF-X;LTQ1;</t>
  </si>
  <si>
    <t>MAPRE2</t>
  </si>
  <si>
    <t>microtubule-associated protein RP/EB family member 2 isoform 1 [Homo sapiens]</t>
  </si>
  <si>
    <t xml:space="preserve">0(8.79105083464294e-05) </t>
  </si>
  <si>
    <t xml:space="preserve">0.0103092783505155(2.78829637310903e-05) </t>
  </si>
  <si>
    <t>API5</t>
  </si>
  <si>
    <t>apoptosis inhibitor 5 isoform b [Homo sapiens]</t>
  </si>
  <si>
    <t xml:space="preserve">0.103092783505155(9.37750068833652e-05) </t>
  </si>
  <si>
    <t>LRPAP1</t>
  </si>
  <si>
    <t>alpha-2-macroglobulin receptor-associated protein precursor [Homo sapiens]</t>
  </si>
  <si>
    <t xml:space="preserve">0.0412371134020619(0.000576626965237245) </t>
  </si>
  <si>
    <t xml:space="preserve">0.0412371134020619(3.9937466811078e-05) </t>
  </si>
  <si>
    <t>RAE1</t>
  </si>
  <si>
    <t>mRNA export factor [Homo sapiens]</t>
  </si>
  <si>
    <t xml:space="preserve">0.0309278350515464(0.000102661961547556) </t>
  </si>
  <si>
    <t>ACAT1</t>
  </si>
  <si>
    <t>acetyl-CoA acetyltransferase; mitochondrial precursor [Homo sapiens]</t>
  </si>
  <si>
    <t xml:space="preserve">0(0.000187406672187374) </t>
  </si>
  <si>
    <t>CALD1</t>
  </si>
  <si>
    <t>caldesmon isoform 4 [Homo sapiens]</t>
  </si>
  <si>
    <t xml:space="preserve">0(1.12365537338379e-05) </t>
  </si>
  <si>
    <t>PRKCSH</t>
  </si>
  <si>
    <t>glucosidase 2 subunit beta isoform 1 precursor [Homo sapiens]</t>
  </si>
  <si>
    <t xml:space="preserve">0.0618556701030928(4.55051359421546e-05) </t>
  </si>
  <si>
    <t>PPP2R1A</t>
  </si>
  <si>
    <t>serine/threonine-protein phosphatase 2A 65 kDa regulatory subunit A alpha isoform [Homo sapiens]</t>
  </si>
  <si>
    <t xml:space="preserve">2 11 3 </t>
  </si>
  <si>
    <t xml:space="preserve">0.0103092783505155(0.00010952570519155) </t>
  </si>
  <si>
    <t xml:space="preserve">0.0412371134020619(0.000475488296712228) </t>
  </si>
  <si>
    <t>dedicator of cytokinesis protein 1 [Homo sapiens]</t>
  </si>
  <si>
    <t xml:space="preserve">0.0103092783505155(7.79717235149516e-06) </t>
  </si>
  <si>
    <t>QPCTL</t>
  </si>
  <si>
    <t>glutaminyl-peptide cyclotransferase-like protein isoform 1 [Homo sapiens]</t>
  </si>
  <si>
    <t xml:space="preserve">0.0515463917525773(0.000476994199496342) </t>
  </si>
  <si>
    <t>INADL</t>
  </si>
  <si>
    <t>inaD-like protein [Homo sapiens]</t>
  </si>
  <si>
    <t xml:space="preserve">0.0103092783505155(5.66462210134588e-06) </t>
  </si>
  <si>
    <t xml:space="preserve">0.0309278350515464(3.3607317041531e-05) </t>
  </si>
  <si>
    <t>ECH1</t>
  </si>
  <si>
    <t>delta(3;5)-Delta(2;4)-dienoyl-CoA isomerase; mitochondrial precursor [Homo sapiens]</t>
  </si>
  <si>
    <t xml:space="preserve">0.037037037037037(0.00031304494049456) </t>
  </si>
  <si>
    <t>FUBP3</t>
  </si>
  <si>
    <t>far upstream element-binding protein 3 [Homo sapiens]</t>
  </si>
  <si>
    <t xml:space="preserve">0.0412371134020619(7.96524325420376e-05) </t>
  </si>
  <si>
    <t>TMEM57</t>
  </si>
  <si>
    <t>macoilin [Homo sapiens]</t>
  </si>
  <si>
    <t xml:space="preserve">0(0.00045535528165414) </t>
  </si>
  <si>
    <t>RCN1</t>
  </si>
  <si>
    <t>reticulocalbin-1 precursor [Homo sapiens]</t>
  </si>
  <si>
    <t xml:space="preserve">0(0.000207492682486072) </t>
  </si>
  <si>
    <t>PCBD1</t>
  </si>
  <si>
    <t>pterin-4-alpha-carbinolamine dehydratase precursor [Homo sapiens]</t>
  </si>
  <si>
    <t xml:space="preserve">0(0.000410697607951274) </t>
  </si>
  <si>
    <t xml:space="preserve">0.0309278350515464(0.000194072962480581) </t>
  </si>
  <si>
    <t xml:space="preserve">0.0618556701030928(0.000239460462053172) </t>
  </si>
  <si>
    <t>UBL4A</t>
  </si>
  <si>
    <t>ubiquitin-like protein 4A [Homo sapiens]</t>
  </si>
  <si>
    <t xml:space="preserve">0(1.29392509907801e-05) </t>
  </si>
  <si>
    <t>MRPL47</t>
  </si>
  <si>
    <t>39S ribosomal protein L47; mitochondrial isoform b [Homo sapiens]</t>
  </si>
  <si>
    <t xml:space="preserve">0(1.67927004845328e-07) </t>
  </si>
  <si>
    <t>pleckstrin homology domain-containing family G member 3 [Homo sapiens]</t>
  </si>
  <si>
    <t xml:space="preserve">0.0103092783505155(3.58306759719729e-07) </t>
  </si>
  <si>
    <t>EPS15</t>
  </si>
  <si>
    <t>epidermal growth factor receptor substrate 15 isoform A [Homo sapiens]</t>
  </si>
  <si>
    <t xml:space="preserve">5 5 5 </t>
  </si>
  <si>
    <t xml:space="preserve">0.0103092783505155(2.2002132202177e-05) </t>
  </si>
  <si>
    <t>NCAM2</t>
  </si>
  <si>
    <t>neural cell adhesion molecule 2 precursor [Homo sapiens]</t>
  </si>
  <si>
    <t xml:space="preserve">0.037037037037037(0.000167611673214237) </t>
  </si>
  <si>
    <t>NKTR</t>
  </si>
  <si>
    <t>NK-tumor recognition protein</t>
  </si>
  <si>
    <t>SMNDC1</t>
  </si>
  <si>
    <t>survival of motor neuron-related-splicing factor 30 [Homo sapiens]</t>
  </si>
  <si>
    <t xml:space="preserve">0.0412371134020619(7.44344183480039e-05) </t>
  </si>
  <si>
    <t>PFDN6</t>
  </si>
  <si>
    <t>prefoldin subunit 6 [Homo sapiens]</t>
  </si>
  <si>
    <t xml:space="preserve">0.0103092783505155(0.000192288703907406) </t>
  </si>
  <si>
    <t xml:space="preserve">0(3.56685919160627e-06) </t>
  </si>
  <si>
    <t xml:space="preserve">0(2.68976417453013e-05) </t>
  </si>
  <si>
    <t xml:space="preserve">0.0206185567010309(5.88955083612451e-06) </t>
  </si>
  <si>
    <t>NBEA</t>
  </si>
  <si>
    <t>neurobeachin [Homo sapiens]</t>
  </si>
  <si>
    <t xml:space="preserve">0.037037037037037(0.000235449234978941) </t>
  </si>
  <si>
    <t>DDX42</t>
  </si>
  <si>
    <t>ATP-dependent RNA helicase DDX42 [Homo sapiens]</t>
  </si>
  <si>
    <t xml:space="preserve">0.0412371134020619(4.19238939710624e-05) </t>
  </si>
  <si>
    <t>PACSIN2</t>
  </si>
  <si>
    <t>protein kinase C and casein kinase substrate in neurons protein 2 isoform A [Homo sapiens]</t>
  </si>
  <si>
    <t xml:space="preserve">0(6.64730978669921e-06) </t>
  </si>
  <si>
    <t xml:space="preserve">0.0103092783505155(0.000235259849132371) </t>
  </si>
  <si>
    <t>PLOD2</t>
  </si>
  <si>
    <t>procollagen-lysine;2-oxoglutarate 5-dioxygenase 2 isoform 1 precursor [Homo sapiens]</t>
  </si>
  <si>
    <t xml:space="preserve">0(6.56481974893643e-05) </t>
  </si>
  <si>
    <t>UBAP2L</t>
  </si>
  <si>
    <t>ubiquitin-associated protein 2-like isoform b [Homo sapiens]</t>
  </si>
  <si>
    <t xml:space="preserve">0(0.000283274431711128) </t>
  </si>
  <si>
    <t xml:space="preserve">0.0515463917525773(0.000112822871946877) </t>
  </si>
  <si>
    <t>WDR82</t>
  </si>
  <si>
    <t>WD repeat-containing protein 82 [Homo sapiens]</t>
  </si>
  <si>
    <t xml:space="preserve">0.0206185567010309(0.000318702786309792) </t>
  </si>
  <si>
    <t>PLEKHJ1</t>
  </si>
  <si>
    <t>pleckstrin homology domain-containing family J member 1 [Homo sapiens]</t>
  </si>
  <si>
    <t xml:space="preserve">0(8.74777287969564e-05) </t>
  </si>
  <si>
    <t>MAP3K7</t>
  </si>
  <si>
    <t>mitogen-activated protein kinase kinase kinase 7 isoform A [Homo sapiens]</t>
  </si>
  <si>
    <t xml:space="preserve">0.0206185567010309(3.89845365098495e-05) </t>
  </si>
  <si>
    <t xml:space="preserve">0(0.000198694791126326) </t>
  </si>
  <si>
    <t>LRCH3</t>
  </si>
  <si>
    <t>leucine-rich repeat and calponin homology domain-containing protein 3 precursor [Homo sapiens]</t>
  </si>
  <si>
    <t xml:space="preserve">10 3 </t>
  </si>
  <si>
    <t xml:space="preserve">0(5.38222507408202e-08) </t>
  </si>
  <si>
    <t>CTNNA1</t>
  </si>
  <si>
    <t>catenin alpha-1 [Homo sapiens]</t>
  </si>
  <si>
    <t xml:space="preserve">3 3 2 </t>
  </si>
  <si>
    <t xml:space="preserve">0.0309278350515464(3.3335470747973e-05) </t>
  </si>
  <si>
    <t xml:space="preserve">0.0103092783505155(0.000850899684661687) </t>
  </si>
  <si>
    <t>GRSF1</t>
  </si>
  <si>
    <t>G-rich sequence factor 1 isoform 2 [Homo sapiens]</t>
  </si>
  <si>
    <t xml:space="preserve">0.0618556701030928(0.000188723280900667) </t>
  </si>
  <si>
    <t>CTNNB1</t>
  </si>
  <si>
    <t>catenin beta-1 [Homo sapiens]</t>
  </si>
  <si>
    <t xml:space="preserve">3 1  4 2 </t>
  </si>
  <si>
    <t xml:space="preserve">0.0103092783505155(1.83029763784979e-05) 0.037037037037037(6.67603771933967e-05) </t>
  </si>
  <si>
    <t>SNX9</t>
  </si>
  <si>
    <t>sorting nexin-9 [Homo sapiens]</t>
  </si>
  <si>
    <t xml:space="preserve">0(3.5602591261514e-05) </t>
  </si>
  <si>
    <t>MRPL16</t>
  </si>
  <si>
    <t>39S ribosomal protein L16; mitochondrial [Homo sapiens]</t>
  </si>
  <si>
    <t xml:space="preserve">0(5.71444643902025e-08) </t>
  </si>
  <si>
    <t xml:space="preserve">6 8 </t>
  </si>
  <si>
    <t xml:space="preserve">0.0103092783505155(7.6403951193385e-05) </t>
  </si>
  <si>
    <t>AP2A1</t>
  </si>
  <si>
    <t>AP-2 complex subunit alpha-1 isoform 1 [Homo sapiens]</t>
  </si>
  <si>
    <t xml:space="preserve">6 10 </t>
  </si>
  <si>
    <t xml:space="preserve">0.037037037037037(0.000312982913793799) </t>
  </si>
  <si>
    <t>MGA</t>
  </si>
  <si>
    <t>MAX gene-associated protein isoform 2 [Homo sapiens]</t>
  </si>
  <si>
    <t xml:space="preserve">0.0721649484536082(2.80080422975939e-05) </t>
  </si>
  <si>
    <t>pleckstrin homology domain-containing family G member 6 isoform a [Homo sapiens]</t>
  </si>
  <si>
    <t xml:space="preserve">0(4.27553196981768e-05) </t>
  </si>
  <si>
    <t>DDOST</t>
  </si>
  <si>
    <t>dolichyl-diphosphooligosaccharide--protein glycosyltransferase 48 kDa subunit precursor [Homo sapiens]</t>
  </si>
  <si>
    <t xml:space="preserve">0.0103092783505155(4.40449962106247e-05) </t>
  </si>
  <si>
    <t>MRPL28</t>
  </si>
  <si>
    <t>39S ribosomal protein L28; mitochondrial [Homo sapiens]</t>
  </si>
  <si>
    <t xml:space="preserve">0(0.000137210442113759) </t>
  </si>
  <si>
    <t>PPIP5K2</t>
  </si>
  <si>
    <t>inositol hexakisphosphate and diphosphoinositol-pentakisphosphate kinase 2 isoform 2 [Homo sapiens]</t>
  </si>
  <si>
    <t xml:space="preserve">0.0103092783505155(1.63330933596922e-05) </t>
  </si>
  <si>
    <t>APOD</t>
  </si>
  <si>
    <t>apolipoprotein D precursor [Homo sapiens]</t>
  </si>
  <si>
    <t xml:space="preserve">0(0.00105094242807781) </t>
  </si>
  <si>
    <t>PPP2R5C</t>
  </si>
  <si>
    <t>serine/threonine-protein phosphatase 2A 56 kDa regulatory subunit gamma isoform isoform b [Homo sapiens]</t>
  </si>
  <si>
    <t xml:space="preserve">0(3.65914647417547e-06) </t>
  </si>
  <si>
    <t>UGGT1</t>
  </si>
  <si>
    <t>UDP-glucose:glycoprotein glucosyltransferase 1 precursor [Homo sapiens]</t>
  </si>
  <si>
    <t xml:space="preserve">0.0412371134020619(8.33361796888252e-06) </t>
  </si>
  <si>
    <t xml:space="preserve">0.0206185567010309(3.10397244004214e-05) </t>
  </si>
  <si>
    <t>PPP1R12A</t>
  </si>
  <si>
    <t>protein phosphatase 1 regulatory subunit 12A isoform a [Homo sapiens]</t>
  </si>
  <si>
    <t xml:space="preserve">0.0309278350515464(1.2610108465699e-05) </t>
  </si>
  <si>
    <t>caldesmon isoform 2 [Homo sapiens]</t>
  </si>
  <si>
    <t>PPP6R3</t>
  </si>
  <si>
    <t>serine/threonine-protein phosphatase 6 regulatory subunit 3 isoform 5 [Homo sapiens]</t>
  </si>
  <si>
    <t xml:space="preserve">0(2.80406061146652e-06) </t>
  </si>
  <si>
    <t>SLC25A12</t>
  </si>
  <si>
    <t>calcium-binding mitochondrial carrier protein Aralar1 [Homo sapiens]</t>
  </si>
  <si>
    <t xml:space="preserve">0.0927835051546392(0.000103042035517463) </t>
  </si>
  <si>
    <t>PDZD11</t>
  </si>
  <si>
    <t>PDZ domain-containing protein 11 [Homo sapiens]</t>
  </si>
  <si>
    <t xml:space="preserve">0(0.000124456147841734) </t>
  </si>
  <si>
    <t>PRKAR2A</t>
  </si>
  <si>
    <t>cAMP-dependent protein kinase type II-alpha regulatory subunit [Homo sapiens]</t>
  </si>
  <si>
    <t xml:space="preserve">11 10 24  20 </t>
  </si>
  <si>
    <t xml:space="preserve">0(3.97879147337591e-05) 0(1.74223606539903e-05) </t>
  </si>
  <si>
    <t xml:space="preserve">0.0214285714285714 0.0588235294117647 </t>
  </si>
  <si>
    <t xml:space="preserve">0(1.56602839265754e-05) </t>
  </si>
  <si>
    <t>MCM5</t>
  </si>
  <si>
    <t>DNA replication licensing factor MCM5 [Homo sapiens]</t>
  </si>
  <si>
    <t xml:space="preserve">0.0103092783505155(7.74095297370563e-05) </t>
  </si>
  <si>
    <t xml:space="preserve">0(6.98198289910402e-05) </t>
  </si>
  <si>
    <t>SURF4</t>
  </si>
  <si>
    <t>surfeit locus protein 4 [Homo sapiens]</t>
  </si>
  <si>
    <t xml:space="preserve">0.0309278350515464(0.000252744737092684) </t>
  </si>
  <si>
    <t>EXOSC6</t>
  </si>
  <si>
    <t>exosome complex component MTR3 [Homo sapiens]</t>
  </si>
  <si>
    <t xml:space="preserve">0.0103092783505155(6.81859920464851e-05) </t>
  </si>
  <si>
    <t>Pleckstrin homology domain-containing family G member 4B</t>
  </si>
  <si>
    <t xml:space="preserve">0.0103092783505155(4.30033000754098e-05) </t>
  </si>
  <si>
    <t>ZNF362</t>
  </si>
  <si>
    <t>zinc finger protein 362 [Homo sapiens]</t>
  </si>
  <si>
    <t xml:space="preserve">0.0206185567010309(5.36628358981699e-06) </t>
  </si>
  <si>
    <t>PRDX2</t>
  </si>
  <si>
    <t>peroxiredoxin-2 isoform a [Homo sapiens]</t>
  </si>
  <si>
    <t xml:space="preserve">0.134020618556701(0.00135961781405901) </t>
  </si>
  <si>
    <t>ANKRD28</t>
  </si>
  <si>
    <t>serine/threonine-protein phosphatase 6 regulatory ankyrin repeat subunit A isoform a [Homo sapiens]</t>
  </si>
  <si>
    <t xml:space="preserve">0.0103092783505155(5.59758835026839e-06) </t>
  </si>
  <si>
    <t>EZR</t>
  </si>
  <si>
    <t>ezrin [Homo sapiens]</t>
  </si>
  <si>
    <t xml:space="preserve">13 15 </t>
  </si>
  <si>
    <t xml:space="preserve">0(0.000484735602499322) </t>
  </si>
  <si>
    <t xml:space="preserve">0(8.1538561681269e-05) </t>
  </si>
  <si>
    <t>SRRM1</t>
  </si>
  <si>
    <t>serine/arginine repetitive matrix protein 1 [Homo sapiens]</t>
  </si>
  <si>
    <t xml:space="preserve">0.0309278350515464(1.74747427731581e-05) </t>
  </si>
  <si>
    <t>PRDX5</t>
  </si>
  <si>
    <t>peroxiredoxin-5; mitochondrial isoform a precursor [Homo sapiens]</t>
  </si>
  <si>
    <t xml:space="preserve">0(0.000259450348755333) </t>
  </si>
  <si>
    <t xml:space="preserve">0.0824742268041237(0.000249632909371283) </t>
  </si>
  <si>
    <t>EPB41L3</t>
  </si>
  <si>
    <t>band 4.1-like protein 3 [Homo sapiens]</t>
  </si>
  <si>
    <t xml:space="preserve">0.0103092783505155(1.33224037488334e-05) </t>
  </si>
  <si>
    <t>LOC731751</t>
  </si>
  <si>
    <t>PREDICTED: similar to protein kinase; DNA-activated; catalytic polypeptide [Homo sapiens]</t>
  </si>
  <si>
    <t xml:space="preserve">28 12 </t>
  </si>
  <si>
    <t xml:space="preserve">0(6.30277363102175e-15) </t>
  </si>
  <si>
    <t>SNRPA</t>
  </si>
  <si>
    <t>U1 small nuclear ribonucleoprotein A [Homo sapiens]</t>
  </si>
  <si>
    <t xml:space="preserve">0.0206185567010309(0.000150063439978241) </t>
  </si>
  <si>
    <t>CLPX</t>
  </si>
  <si>
    <t>ATP-dependent Clp protease ATP-binding subunit clpX-like; mitochondrial precursor [Homo sapiens]</t>
  </si>
  <si>
    <t xml:space="preserve">0.037037037037037(0.00321185042109873) </t>
  </si>
  <si>
    <t xml:space="preserve">2 3 3 </t>
  </si>
  <si>
    <t xml:space="preserve">0.0103092783505155(0.00022622166757596) </t>
  </si>
  <si>
    <t xml:space="preserve">0.0206185567010309(0.000235925515644614) </t>
  </si>
  <si>
    <t>DDX19B</t>
  </si>
  <si>
    <t>ATP-dependent RNA helicase DDX19B isoform 1 [Homo sapiens]</t>
  </si>
  <si>
    <t xml:space="preserve">0(0.00161093093838007) </t>
  </si>
  <si>
    <t>MCCC1</t>
  </si>
  <si>
    <t>methylcrotonoyl-CoA carboxylase subunit alpha; mitochondrial precursor [Homo sapiens]</t>
  </si>
  <si>
    <t xml:space="preserve">0(0.00069569329639504) </t>
  </si>
  <si>
    <t>LSM4</t>
  </si>
  <si>
    <t>U6 snRNA-associated Sm-like protein LSm4 isoform 1 [Homo sapiens]</t>
  </si>
  <si>
    <t xml:space="preserve">0.0103092783505155(0.000293389339578207) </t>
  </si>
  <si>
    <t>MAGED1</t>
  </si>
  <si>
    <t>melanoma-associated antigen D1 isoform b [Homo sapiens]</t>
  </si>
  <si>
    <t xml:space="preserve">0(2.58368934857601e-05) </t>
  </si>
  <si>
    <t xml:space="preserve">0(1.74747427731581e-05) </t>
  </si>
  <si>
    <t>RALB</t>
  </si>
  <si>
    <t>ras-related protein Ral-B [Homo sapiens]</t>
  </si>
  <si>
    <t xml:space="preserve">0(3.71343786158168e-07) </t>
  </si>
  <si>
    <t>SLIRP</t>
  </si>
  <si>
    <t>SRA stem-loop-interacting RNA-binding protein; mitochondrial isoform 1 precursor [Homo sapiens]</t>
  </si>
  <si>
    <t xml:space="preserve">2 3 2 1 </t>
  </si>
  <si>
    <t xml:space="preserve">0.0206185567010309(0.00168825770086655) </t>
  </si>
  <si>
    <t xml:space="preserve">0.0412371134020619(3.22428415076264e-05) </t>
  </si>
  <si>
    <t>WBP11</t>
  </si>
  <si>
    <t>WW domain-binding protein 11 [Homo sapiens]</t>
  </si>
  <si>
    <t xml:space="preserve">0.0206185567010309(7.91695455264236e-05) </t>
  </si>
  <si>
    <t>CS</t>
  </si>
  <si>
    <t>citrate synthase; mitochondrial precursor [Homo sapiens]</t>
  </si>
  <si>
    <t xml:space="preserve">0(2.45955543364647e-05) </t>
  </si>
  <si>
    <t>RAB8B</t>
  </si>
  <si>
    <t>ras-related protein Rab-8B [Homo sapiens]</t>
  </si>
  <si>
    <t xml:space="preserve">0(0.000132339432632655) </t>
  </si>
  <si>
    <t>SF1</t>
  </si>
  <si>
    <t>splicing factor 1 isoform 3 [Homo sapiens]</t>
  </si>
  <si>
    <t xml:space="preserve">0.0412371134020619(2.36025297077518e-05) </t>
  </si>
  <si>
    <t>PROSC</t>
  </si>
  <si>
    <t>proline synthase co-transcribed bacterial homolog protein [Homo sapiens]</t>
  </si>
  <si>
    <t xml:space="preserve">0.0206185567010309(4.73228989026592e-05) </t>
  </si>
  <si>
    <t xml:space="preserve">7 8 4 2 6 </t>
  </si>
  <si>
    <t>SRSF5</t>
  </si>
  <si>
    <t>serine/arginine-rich splicing factor 5 [Homo sapiens]</t>
  </si>
  <si>
    <t xml:space="preserve">0.0103092783505155(0.000132963632746663) </t>
  </si>
  <si>
    <t>HMGN1</t>
  </si>
  <si>
    <t>non-histone chromosomal protein HMG-14 [Homo sapiens]</t>
  </si>
  <si>
    <t xml:space="preserve">0(0.00464290497576405) </t>
  </si>
  <si>
    <t xml:space="preserve">0.0412371134020619(0.000144109617715418) </t>
  </si>
  <si>
    <t>CAPZA2</t>
  </si>
  <si>
    <t>F-actin-capping protein subunit alpha-2 [Homo sapiens]</t>
  </si>
  <si>
    <t xml:space="preserve">0.0103092783505155(0.00025028856804405) </t>
  </si>
  <si>
    <t>ANXA2</t>
  </si>
  <si>
    <t>annexin A2 isoform 1 [Homo sapiens]</t>
  </si>
  <si>
    <t xml:space="preserve">0.0721649484536082(0.000151893660169914) </t>
  </si>
  <si>
    <t>AURKB</t>
  </si>
  <si>
    <t>aurora kinase B isoform 1 [Homo sapiens]</t>
  </si>
  <si>
    <t xml:space="preserve">0(1.30011485514154e-05) </t>
  </si>
  <si>
    <t xml:space="preserve">0(0.000263078845850689) </t>
  </si>
  <si>
    <t>RANBP9</t>
  </si>
  <si>
    <t>ran-binding protein 9 [Homo sapiens]</t>
  </si>
  <si>
    <t xml:space="preserve">0.0206185567010309(3.27325605001127e-05) </t>
  </si>
  <si>
    <t xml:space="preserve">0(7.23226016014459e-05) </t>
  </si>
  <si>
    <t>YY1</t>
  </si>
  <si>
    <t>transcriptional repressor protein YY1 [Homo sapiens]</t>
  </si>
  <si>
    <t xml:space="preserve">0.0103092783505155(4.80249971210089e-05) </t>
  </si>
  <si>
    <t>NOL7</t>
  </si>
  <si>
    <t>nucleolar protein 7 [Homo sapiens]</t>
  </si>
  <si>
    <t xml:space="preserve">0.0618556701030928(0.000141206367772336) </t>
  </si>
  <si>
    <t xml:space="preserve">0.0412371134020619(0.000231547363747757) </t>
  </si>
  <si>
    <t>USP15</t>
  </si>
  <si>
    <t>ubiquitin carboxyl-terminal hydrolase 15 isoform 2 [Homo sapiens]</t>
  </si>
  <si>
    <t xml:space="preserve">0(6.46837610494169e-05) </t>
  </si>
  <si>
    <t>MYO5A</t>
  </si>
  <si>
    <t>Unconventional myosin-Va</t>
  </si>
  <si>
    <t xml:space="preserve">0.0412371134020619(0.000232295004353784) </t>
  </si>
  <si>
    <t>C12orf57</t>
  </si>
  <si>
    <t>protein C10 [Homo sapiens]</t>
  </si>
  <si>
    <t xml:space="preserve">0(0.00030921287183553) </t>
  </si>
  <si>
    <t>KDM1A</t>
  </si>
  <si>
    <t>lysine-specific histone demethylase 1A isoform a [Homo sapiens]</t>
  </si>
  <si>
    <t xml:space="preserve">0(1.128187620609e-05) </t>
  </si>
  <si>
    <t xml:space="preserve">0.0103092783505155(0.000421764400711801) </t>
  </si>
  <si>
    <t>PYCR2</t>
  </si>
  <si>
    <t>pyrroline-5-carboxylate reductase 2 isoform 1 [Homo sapiens]</t>
  </si>
  <si>
    <t xml:space="preserve">0.0412371134020619(0.000354625814946836) </t>
  </si>
  <si>
    <t>TAB1</t>
  </si>
  <si>
    <t>TGF-beta-activated kinase 1 and MAP3K7-binding protein 1 isoform alpha [Homo sapiens]</t>
  </si>
  <si>
    <t xml:space="preserve">0.0618556701030928(0.000200074630068047) </t>
  </si>
  <si>
    <t xml:space="preserve">0.0412371134020619(0.000112822871946877) </t>
  </si>
  <si>
    <t>SF3B5</t>
  </si>
  <si>
    <t>splicing factor 3B subunit 5 [Homo sapiens]</t>
  </si>
  <si>
    <t xml:space="preserve">0.0103092783505155(0.00152998555562969) </t>
  </si>
  <si>
    <t>RPL22L1</t>
  </si>
  <si>
    <t>60S ribosomal protein L22-like 1 [Homo sapiens]</t>
  </si>
  <si>
    <t xml:space="preserve">0(0.00191687410813333) </t>
  </si>
  <si>
    <t>rho GTPase-activating protein 17 isoform 1 [Homo sapiens]</t>
  </si>
  <si>
    <t xml:space="preserve">3 1  3 3 </t>
  </si>
  <si>
    <t xml:space="preserve">0(4.20077849206847e-05) 0.0285714285714286(0.000415004939569397) </t>
  </si>
  <si>
    <t xml:space="preserve">0.0206185567010309(9.24489839434587e-05) </t>
  </si>
  <si>
    <t>CLCC1</t>
  </si>
  <si>
    <t>chloride channel CLIC-like protein 1 isoform 2 precursor [Homo sapiens]</t>
  </si>
  <si>
    <t xml:space="preserve">0(3.93523000682927e-06) </t>
  </si>
  <si>
    <t xml:space="preserve">0.0618556701030928(0.000232465926521036) </t>
  </si>
  <si>
    <t>MRPS7</t>
  </si>
  <si>
    <t>28S ribosomal protein S7; mitochondrial [Homo sapiens]</t>
  </si>
  <si>
    <t xml:space="preserve">0.0618556701030928(0.000330548253545379) </t>
  </si>
  <si>
    <t>SSSCA1</t>
  </si>
  <si>
    <t>Sjoegren syndrome/scleroderma autoantigen 1 [Homo sapiens]</t>
  </si>
  <si>
    <t xml:space="preserve">0(8.49082524715368e-06) </t>
  </si>
  <si>
    <t>rho GTPase-activating protein 44 [Homo sapiens]</t>
  </si>
  <si>
    <t xml:space="preserve">0(1.42424083996571e-05) </t>
  </si>
  <si>
    <t>SUB1</t>
  </si>
  <si>
    <t>activated RNA polymerase II transcriptional coactivator p15 [Homo sapiens]</t>
  </si>
  <si>
    <t xml:space="preserve">0.0103092783505155(0.000180594013357753) </t>
  </si>
  <si>
    <t>PSMA2</t>
  </si>
  <si>
    <t>proteasome subunit alpha type-2 [Homo sapiens]</t>
  </si>
  <si>
    <t xml:space="preserve">0.0103092783505155(0.000247109908363037) </t>
  </si>
  <si>
    <t>ASAP1</t>
  </si>
  <si>
    <t>arf-GAP with SH3 domain; ANK repeat and PH domain-containing protein 1 isoform 1 [Homo sapiens]</t>
  </si>
  <si>
    <t xml:space="preserve">0(2.76421585413952e-05) </t>
  </si>
  <si>
    <t xml:space="preserve">0.0206185567010309(0.00128882427936563) </t>
  </si>
  <si>
    <t xml:space="preserve">0(0.000320010495463632) </t>
  </si>
  <si>
    <t xml:space="preserve">0(6.54534757884038e-05) </t>
  </si>
  <si>
    <t>SLC25A22</t>
  </si>
  <si>
    <t>mitochondrial glutamate carrier 1 [Homo sapiens]</t>
  </si>
  <si>
    <t xml:space="preserve">0.0618556701030928(0.000264222135409801) </t>
  </si>
  <si>
    <t>ATP5H</t>
  </si>
  <si>
    <t>ATP synthase subunit d; mitochondrial isoform a [Homo sapiens]</t>
  </si>
  <si>
    <t xml:space="preserve">4 2 </t>
  </si>
  <si>
    <t xml:space="preserve">0.0412371134020619(0.00024058337390539) </t>
  </si>
  <si>
    <t>INPPL1</t>
  </si>
  <si>
    <t>phosphatidylinositol 3;4;5-trisphosphate 5-phosphatase 2 [Homo sapiens]</t>
  </si>
  <si>
    <t xml:space="preserve">0(1.317634838964e-08) </t>
  </si>
  <si>
    <t>ARID3B</t>
  </si>
  <si>
    <t>AT-rich interactive domain-containing protein 3B [Homo sapiens]</t>
  </si>
  <si>
    <t xml:space="preserve">0.0103092783505155(4.01288216015529e-06) </t>
  </si>
  <si>
    <t>TTC9C</t>
  </si>
  <si>
    <t>tetratricopeptide repeat protein 9C [Homo sapiens]</t>
  </si>
  <si>
    <t xml:space="preserve">0(8.61049945010462e-05) </t>
  </si>
  <si>
    <t xml:space="preserve">0.0412371134020619(0.000132963632746663) </t>
  </si>
  <si>
    <t>ANXA1</t>
  </si>
  <si>
    <t>annexin A1 [Homo sapiens]</t>
  </si>
  <si>
    <t xml:space="preserve">0.0103092783505155(1.89193985914075e-05) </t>
  </si>
  <si>
    <t xml:space="preserve">0(2.55902593672509e-05) </t>
  </si>
  <si>
    <t xml:space="preserve">0.0412371134020619(0.00016043168019584) </t>
  </si>
  <si>
    <t>SRSF2</t>
  </si>
  <si>
    <t>serine/arginine-rich splicing factor 2 [Homo sapiens]</t>
  </si>
  <si>
    <t xml:space="preserve">0(1.16942063198539e-05) </t>
  </si>
  <si>
    <t>ZYX</t>
  </si>
  <si>
    <t>zyxin [Homo sapiens]</t>
  </si>
  <si>
    <t xml:space="preserve">0.103092783505155(0.000247827037217697) </t>
  </si>
  <si>
    <t xml:space="preserve">0.0103092783505155(0.000502496235711927) </t>
  </si>
  <si>
    <t xml:space="preserve">0.0309278350515464(0.000200074630068047) </t>
  </si>
  <si>
    <t>DUT</t>
  </si>
  <si>
    <t>deoxyuridine 5'-triphosphate nucleotidohydrolase; mitochondrial isoform 2 [Homo sapiens]</t>
  </si>
  <si>
    <t xml:space="preserve">0.0206185567010309(8.58283933980313e-05) </t>
  </si>
  <si>
    <t>PRKACB</t>
  </si>
  <si>
    <t>cAMP-dependent protein kinase catalytic subunit beta isoform 2 [Homo sapiens]</t>
  </si>
  <si>
    <t xml:space="preserve">5 1 </t>
  </si>
  <si>
    <t xml:space="preserve">0.0103092783505155(0.000414058567990487) </t>
  </si>
  <si>
    <t>Alpha-internexin</t>
  </si>
  <si>
    <t>RAB5C</t>
  </si>
  <si>
    <t>ras-related protein Rab-5C isoform a [Homo sapiens]</t>
  </si>
  <si>
    <t xml:space="preserve">0.0103092783505155(0.000169351775391733) </t>
  </si>
  <si>
    <t>BOLA2</t>
  </si>
  <si>
    <t>BolA-like protein 2 [Homo sapiens]</t>
  </si>
  <si>
    <t xml:space="preserve">0(0.00115781088493705) </t>
  </si>
  <si>
    <t xml:space="preserve">0.0206185567010309(1.33176681308684e-05) </t>
  </si>
  <si>
    <t xml:space="preserve">0.0103092783505155(9.60338422520291e-05) </t>
  </si>
  <si>
    <t>PSMD11</t>
  </si>
  <si>
    <t>26S proteasome non-ATPase regulatory subunit 11 [Homo sapiens]</t>
  </si>
  <si>
    <t xml:space="preserve">0.0103092783505155(3.63774770461471e-05) </t>
  </si>
  <si>
    <t>GPX1</t>
  </si>
  <si>
    <t>glutathione peroxidase 1 isoform 1 [Homo sapiens]</t>
  </si>
  <si>
    <t xml:space="preserve">0.0206185567010309(8.93800496532231e-05) </t>
  </si>
  <si>
    <t>SERPINH1</t>
  </si>
  <si>
    <t>serpin H1 precursor [Homo sapiens]</t>
  </si>
  <si>
    <t xml:space="preserve">0(0.000187622126851862) </t>
  </si>
  <si>
    <t xml:space="preserve">0.0103092783505155(0.000109086810080352) </t>
  </si>
  <si>
    <t>BTRC</t>
  </si>
  <si>
    <t>F-box/WD repeat-containing protein 1A isoform 2 [Homo sapiens]</t>
  </si>
  <si>
    <t xml:space="preserve">0(5.5776067452177e-06) </t>
  </si>
  <si>
    <t>ACTL6A</t>
  </si>
  <si>
    <t>actin-like protein 6A isoform 1 [Homo sapiens]</t>
  </si>
  <si>
    <t xml:space="preserve">0.0103092783505155(7.03935110571405e-05) </t>
  </si>
  <si>
    <t>Tropomodulin-2</t>
  </si>
  <si>
    <t xml:space="preserve">8 5 </t>
  </si>
  <si>
    <t>GATAD2A</t>
  </si>
  <si>
    <t>transcriptional repressor p66-alpha [Homo sapiens]</t>
  </si>
  <si>
    <t xml:space="preserve">0.0103092783505155(2.33989249629474e-05) </t>
  </si>
  <si>
    <t>rho guanine nucleotide exchange factor 18 isoform a [Homo sapiens]</t>
  </si>
  <si>
    <t xml:space="preserve">0(6.67617231773967e-07) </t>
  </si>
  <si>
    <t>MAGED2</t>
  </si>
  <si>
    <t>melanoma-associated antigen D2 [Homo sapiens]</t>
  </si>
  <si>
    <t xml:space="preserve">0(5.10466045838995e-05) </t>
  </si>
  <si>
    <t>FKBP3</t>
  </si>
  <si>
    <t>peptidyl-prolyl cis-trans isomerase FKBP3 [Homo sapiens]</t>
  </si>
  <si>
    <t xml:space="preserve">0.0103092783505155(0.000114668361762752) </t>
  </si>
  <si>
    <t xml:space="preserve">0.0309278350515464(0.000572745386512212) </t>
  </si>
  <si>
    <t xml:space="preserve">0.0103092783505155(3.014929468626e-05) </t>
  </si>
  <si>
    <t>PRPF6</t>
  </si>
  <si>
    <t>pre-mRNA-processing factor 6 [Homo sapiens]</t>
  </si>
  <si>
    <t xml:space="preserve">0.0769230769230769(0.00156784228397975) </t>
  </si>
  <si>
    <t xml:space="preserve">0.0103092783505155(0.000376410676567068) </t>
  </si>
  <si>
    <t xml:space="preserve">0.0103092783505155(7.91695455264236e-05) </t>
  </si>
  <si>
    <t xml:space="preserve">0.0927835051546392(0.000112822871946877) </t>
  </si>
  <si>
    <t xml:space="preserve">8 7 </t>
  </si>
  <si>
    <t xml:space="preserve">0(3.26760816450751e-05) </t>
  </si>
  <si>
    <t>HSPE1</t>
  </si>
  <si>
    <t>10 kDa heat shock protein; mitochondrial [Homo sapiens]</t>
  </si>
  <si>
    <t xml:space="preserve">0.0721649484536082(0.00083223568592187) </t>
  </si>
  <si>
    <t>IPO5</t>
  </si>
  <si>
    <t>importin-5 [Homo sapiens]</t>
  </si>
  <si>
    <t xml:space="preserve">0.0206185567010309(2.3166085565959e-05) </t>
  </si>
  <si>
    <t>BIN3</t>
  </si>
  <si>
    <t>bridging integrator 3 [Homo sapiens]</t>
  </si>
  <si>
    <t xml:space="preserve">4 6 </t>
  </si>
  <si>
    <t xml:space="preserve">0(1.40660495097308e-07) </t>
  </si>
  <si>
    <t>HAX1</t>
  </si>
  <si>
    <t>HCLS1-associated protein X-1 isoform a [Homo sapiens]</t>
  </si>
  <si>
    <t xml:space="preserve">0(0.000174701219798262) </t>
  </si>
  <si>
    <t xml:space="preserve">0.0103092783505155(6.54534757884038e-05) </t>
  </si>
  <si>
    <t xml:space="preserve">0(6.82474110692342e-05) </t>
  </si>
  <si>
    <t>CKMT1B</t>
  </si>
  <si>
    <t>creatine kinase U-type; mitochondrial precursor [Homo sapiens]</t>
  </si>
  <si>
    <t xml:space="preserve">0.134020618556701(0.000310573177826203) </t>
  </si>
  <si>
    <t>PAK1</t>
  </si>
  <si>
    <t>serine/threonine-protein kinase PAK 1 isoform 2 [Homo sapiens]</t>
  </si>
  <si>
    <t xml:space="preserve">10 15 7 </t>
  </si>
  <si>
    <t xml:space="preserve">0.0206185567010309(0.000253068238913749) </t>
  </si>
  <si>
    <t>rho guanine nucleotide exchange factor 19 [Homo sapiens]</t>
  </si>
  <si>
    <t xml:space="preserve">0.0103092783505155(0.000180346524239969) </t>
  </si>
  <si>
    <t>LSM11</t>
  </si>
  <si>
    <t>U7 snRNA-associated Sm-like protein LSm11 [Homo sapiens]</t>
  </si>
  <si>
    <t xml:space="preserve">0.0103092783505155(5.00396653934813e-05) </t>
  </si>
  <si>
    <t>PFN1</t>
  </si>
  <si>
    <t>profilin-1 [Homo sapiens]</t>
  </si>
  <si>
    <t xml:space="preserve">1 1 4 </t>
  </si>
  <si>
    <t xml:space="preserve">0.0103092783505155(0.000172641133003594) </t>
  </si>
  <si>
    <t>rho guanine nucleotide exchange factor 1 isoform 2 [Homo sapiens]</t>
  </si>
  <si>
    <t xml:space="preserve">0(1.19757713902461e-06) </t>
  </si>
  <si>
    <t xml:space="preserve">0(0.000104323955526805) </t>
  </si>
  <si>
    <t>EBNA1BP2</t>
  </si>
  <si>
    <t>probable rRNA-processing protein EBP2 isoform 2 [Homo sapiens]</t>
  </si>
  <si>
    <t xml:space="preserve">0.0515463917525773(0.000113127744061195) </t>
  </si>
  <si>
    <t xml:space="preserve">8 2 1 </t>
  </si>
  <si>
    <t xml:space="preserve">0.0103092783505155(2.96254315479376e-05) </t>
  </si>
  <si>
    <t>TXNDC5</t>
  </si>
  <si>
    <t>thioredoxin domain-containing protein 5 isoform 1 precursor [Homo sapiens]</t>
  </si>
  <si>
    <t xml:space="preserve">4 1 5 </t>
  </si>
  <si>
    <t xml:space="preserve">0.0103092783505155(1.98220279665685e-05) </t>
  </si>
  <si>
    <t>SLC25A24</t>
  </si>
  <si>
    <t>calcium-binding mitochondrial carrier protein SCaMC-1 isoform 2 [Homo sapiens]</t>
  </si>
  <si>
    <t xml:space="preserve">0.0412371134020619(2.77070677529006e-05) </t>
  </si>
  <si>
    <t>Leucine-rich repeat and calponin homology domain-containing protein 3</t>
  </si>
  <si>
    <t>SRRT</t>
  </si>
  <si>
    <t>serrate RNA effector molecule homolog isoform a [Homo sapiens]</t>
  </si>
  <si>
    <t xml:space="preserve">0.0927835051546392(1.7018324202386e-05) </t>
  </si>
  <si>
    <t>SEPT7</t>
  </si>
  <si>
    <t>septin-7 isoform 2 [Homo sapiens]</t>
  </si>
  <si>
    <t xml:space="preserve">0.0515463917525773(7.49473726483578e-05) </t>
  </si>
  <si>
    <t>HEXIM1</t>
  </si>
  <si>
    <t>protein HEXIM1 [Homo sapiens]</t>
  </si>
  <si>
    <t xml:space="preserve">0(2.86508296252641e-08) </t>
  </si>
  <si>
    <t>NUPL2</t>
  </si>
  <si>
    <t>nucleoporin-like protein 2 [Homo sapiens]</t>
  </si>
  <si>
    <t xml:space="preserve">0(5.28319531302831e-06) </t>
  </si>
  <si>
    <t>NES</t>
  </si>
  <si>
    <t>nestin [Homo sapiens]</t>
  </si>
  <si>
    <t xml:space="preserve">0(0.000339753028314097) </t>
  </si>
  <si>
    <t xml:space="preserve">0(8.58283933980313e-05) </t>
  </si>
  <si>
    <t>NT5C2</t>
  </si>
  <si>
    <t>cytosolic purine 5'-nucleotidase [Homo sapiens]</t>
  </si>
  <si>
    <t xml:space="preserve">0.0206185567010309(4.76698538681221e-05) </t>
  </si>
  <si>
    <t xml:space="preserve">0.123711340206186(7.74095297370563e-05) </t>
  </si>
  <si>
    <t xml:space="preserve">0.0206185567010309(0.000239460462053172) </t>
  </si>
  <si>
    <t xml:space="preserve">0.164948453608247(0.000502496235711927) </t>
  </si>
  <si>
    <t>COMMD9</t>
  </si>
  <si>
    <t>COMM domain-containing protein 9</t>
  </si>
  <si>
    <t xml:space="preserve">7 3 </t>
  </si>
  <si>
    <t xml:space="preserve">0.0103092783505155(7.49473726483578e-05) </t>
  </si>
  <si>
    <t xml:space="preserve">0.0412371134020619(0.000119195710202523) </t>
  </si>
  <si>
    <t>BAG3</t>
  </si>
  <si>
    <t>BAG family molecular chaperone regulator 3 [Homo sapiens]</t>
  </si>
  <si>
    <t xml:space="preserve">2 4 5 </t>
  </si>
  <si>
    <t xml:space="preserve">0.0515463917525773(2.31283858823043e-05) </t>
  </si>
  <si>
    <t xml:space="preserve">0(0.000476994199496342) </t>
  </si>
  <si>
    <t>SPANXN5</t>
  </si>
  <si>
    <t>sperm protein associated with the nucleus on the X chromosome N5 [Homo sapiens]</t>
  </si>
  <si>
    <t xml:space="preserve">0(5.1613260752991e-05) </t>
  </si>
  <si>
    <t>GIT1</t>
  </si>
  <si>
    <t>ARF GTPase-activating protein GIT1 isoform 2 [Homo sapiens]</t>
  </si>
  <si>
    <t xml:space="preserve">2 19 5 </t>
  </si>
  <si>
    <t xml:space="preserve">0(0.000314210550587819) </t>
  </si>
  <si>
    <t xml:space="preserve">1 7 7 </t>
  </si>
  <si>
    <t xml:space="preserve">0.0103092783505155(2.78069754742934e-05) </t>
  </si>
  <si>
    <t xml:space="preserve">0.0412371134020619(0.000108818030216946) </t>
  </si>
  <si>
    <t xml:space="preserve">0(6.88644906839822e-05) </t>
  </si>
  <si>
    <t xml:space="preserve">0.0412371134020619(0.000110720170987807) </t>
  </si>
  <si>
    <t>NDUFV3</t>
  </si>
  <si>
    <t>NADH dehydrogenase [ubiquinone] flavoprotein 3; mitochondrial isoform a precursor [Homo sapiens]</t>
  </si>
  <si>
    <t xml:space="preserve">0.0103092783505155(4.56388787769099e-06) </t>
  </si>
  <si>
    <t>SMN1</t>
  </si>
  <si>
    <t>survival motor neuron protein isoform d [Homo sapiens]</t>
  </si>
  <si>
    <t xml:space="preserve">0(1.67618570532221e-05) </t>
  </si>
  <si>
    <t xml:space="preserve">0.0206185567010309(0.00013938980956319) </t>
  </si>
  <si>
    <t>SF3B14</t>
  </si>
  <si>
    <t>pre-mRNA branch site protein p14 [Homo sapiens]</t>
  </si>
  <si>
    <t xml:space="preserve">0(0.000393155455091642) </t>
  </si>
  <si>
    <t xml:space="preserve">0(0.000282942591825333) </t>
  </si>
  <si>
    <t>suppressor of G2 allele of SKP1 homolog isoform b [Homo sapiens]</t>
  </si>
  <si>
    <t xml:space="preserve">0(0.00109886285886983) </t>
  </si>
  <si>
    <t xml:space="preserve">0.0412371134020619(4.65358294020061e-05) </t>
  </si>
  <si>
    <t xml:space="preserve">0.0412371134020619(4.76698538681221e-05) </t>
  </si>
  <si>
    <t xml:space="preserve">0.0515463917525773(2.46526314684893e-05) </t>
  </si>
  <si>
    <t>POTEE</t>
  </si>
  <si>
    <t>POTE ankyrin domain family member E [Homo sapiens]</t>
  </si>
  <si>
    <t xml:space="preserve">2 1 1 2 </t>
  </si>
  <si>
    <t xml:space="preserve">0.0412371134020619(0.0035274745632974) </t>
  </si>
  <si>
    <t xml:space="preserve">0.0103092783505155(2.29298527135272e-05) </t>
  </si>
  <si>
    <t>CLPP</t>
  </si>
  <si>
    <t>putative ATP-dependent Clp protease proteolytic subunit; mitochondrial precursor [Homo sapiens]</t>
  </si>
  <si>
    <t xml:space="preserve">0.0769230769230769(0.0005269436070896) </t>
  </si>
  <si>
    <t xml:space="preserve">0.0206185567010309(0.000367312148475318) </t>
  </si>
  <si>
    <t xml:space="preserve">0.0309278350515464(4.19238939710624e-05) </t>
  </si>
  <si>
    <t xml:space="preserve">0(4.32171186065752e-05) </t>
  </si>
  <si>
    <t xml:space="preserve">0.0309278350515464(2.84057440345519e-05) </t>
  </si>
  <si>
    <t xml:space="preserve">0.0412371134020619(0.000151893660169914) </t>
  </si>
  <si>
    <t>RAB5A</t>
  </si>
  <si>
    <t>ras-related protein Rab-5A [Homo sapiens]</t>
  </si>
  <si>
    <t xml:space="preserve">0.0103092783505155(0.000221544470242163) </t>
  </si>
  <si>
    <t>rho guanine nucleotide exchange factor 7 isoform a [Homo sapiens]</t>
  </si>
  <si>
    <t xml:space="preserve">0(0.000123195193204167) </t>
  </si>
  <si>
    <t>MLL</t>
  </si>
  <si>
    <t>histone-lysine N-methyltransferase MLL [Homo sapiens]</t>
  </si>
  <si>
    <t xml:space="preserve">16 21 </t>
  </si>
  <si>
    <t xml:space="preserve">0.037037037037037(4.71786693407834e-05) </t>
  </si>
  <si>
    <t>DLD</t>
  </si>
  <si>
    <t>dihydrolipoyl dehydrogenase; mitochondrial precursor [Homo sapiens]</t>
  </si>
  <si>
    <t xml:space="preserve">0(0.000776130615345846) </t>
  </si>
  <si>
    <t xml:space="preserve">0.0103092783505155(0.000330548253545379) </t>
  </si>
  <si>
    <t>LDHB</t>
  </si>
  <si>
    <t>L-lactate dehydrogenase B chain [Homo sapiens]</t>
  </si>
  <si>
    <t xml:space="preserve">0.0721649484536082(6.77399360273578e-05) </t>
  </si>
  <si>
    <t>beta-chimaerin isoform 2 [Homo sapiens]</t>
  </si>
  <si>
    <t xml:space="preserve">0(3.43689325653606e-05) </t>
  </si>
  <si>
    <t>ZMYM2</t>
  </si>
  <si>
    <t>zinc finger MYM-type protein 2 [Homo sapiens]</t>
  </si>
  <si>
    <t xml:space="preserve">0.0103092783505155(4.78650322494834e-06) </t>
  </si>
  <si>
    <t>LONP2</t>
  </si>
  <si>
    <t>Lon protease homolog 2, peroxisomal</t>
  </si>
  <si>
    <t>THOC6</t>
  </si>
  <si>
    <t>THO complex subunit 6 homolog isoform 1 [Homo sapiens]</t>
  </si>
  <si>
    <t xml:space="preserve">0(7.58024748550489e-05) </t>
  </si>
  <si>
    <t>RPRD1A</t>
  </si>
  <si>
    <t>Regulation of nuclear pre-mRNA domain-containing protein 1A</t>
  </si>
  <si>
    <t xml:space="preserve">0(0.000310573177826203) </t>
  </si>
  <si>
    <t xml:space="preserve">0.103092783505155(0.000141206367772336) </t>
  </si>
  <si>
    <t>VDAC1</t>
  </si>
  <si>
    <t>voltage-dependent anion-selective channel protein 1 [Homo sapiens]</t>
  </si>
  <si>
    <t xml:space="preserve">0(4.51570571489558e-05) </t>
  </si>
  <si>
    <t xml:space="preserve">0.0309278350515464(0.000576626965237245) </t>
  </si>
  <si>
    <t xml:space="preserve">0.0103092783505155(2.74343472958882e-05) </t>
  </si>
  <si>
    <t>HMGB1</t>
  </si>
  <si>
    <t>high mobility group protein B1 [Homo sapiens]</t>
  </si>
  <si>
    <t xml:space="preserve">0(0.000976610590307932) </t>
  </si>
  <si>
    <t xml:space="preserve">0.11340206185567(7.69969750768484e-05) </t>
  </si>
  <si>
    <t>COBL</t>
  </si>
  <si>
    <t>protein cordon-bleu [Homo sapiens]</t>
  </si>
  <si>
    <t xml:space="preserve">15 11 </t>
  </si>
  <si>
    <t xml:space="preserve">0(0.000439010660391119) </t>
  </si>
  <si>
    <t>HADHB</t>
  </si>
  <si>
    <t>trifunctional enzyme subunit beta; mitochondrial precursor [Homo sapiens]</t>
  </si>
  <si>
    <t xml:space="preserve">0.0618556701030928(0.000109595805522087) </t>
  </si>
  <si>
    <t>PKP4</t>
  </si>
  <si>
    <t>plakophilin-4 isoform a [Homo sapiens]</t>
  </si>
  <si>
    <t xml:space="preserve">0.0103092783505155(1.01811940956049e-05) </t>
  </si>
  <si>
    <t>dystrobrevin alpha isoform 15 [Homo sapiens]</t>
  </si>
  <si>
    <t>BIN1</t>
  </si>
  <si>
    <t>myc box-dependent-interacting protein 1 isoform 1 [Homo sapiens]</t>
  </si>
  <si>
    <t xml:space="preserve">0(1.07647352092397e-07) </t>
  </si>
  <si>
    <t xml:space="preserve">12 8 </t>
  </si>
  <si>
    <t xml:space="preserve">8 11 </t>
  </si>
  <si>
    <t xml:space="preserve">0(9.97110391383488e-06) </t>
  </si>
  <si>
    <t xml:space="preserve">1 2 5 </t>
  </si>
  <si>
    <t xml:space="preserve">0.0309278350515464(0.000728770142016475) </t>
  </si>
  <si>
    <t>breakpoint cluster region protein isoform 1 [Homo sapiens]</t>
  </si>
  <si>
    <t xml:space="preserve">0(9.45272460336279e-10) </t>
  </si>
  <si>
    <t xml:space="preserve">0.0412371134020619(0.000100149497970326) </t>
  </si>
  <si>
    <t>SUFU</t>
  </si>
  <si>
    <t>suppressor of fused homolog isoform 1 [Homo sapiens]</t>
  </si>
  <si>
    <t xml:space="preserve">0(8.6933160050047e-09) </t>
  </si>
  <si>
    <t>ubiquitin-associated protein 2-like isoform a [Homo sapiens]</t>
  </si>
  <si>
    <t xml:space="preserve">0.0206185567010309(7.43763817133508e-05) </t>
  </si>
  <si>
    <t>CSTF1</t>
  </si>
  <si>
    <t>Cleavage stimulation factor subunit 1</t>
  </si>
  <si>
    <t>KRT86</t>
  </si>
  <si>
    <t xml:space="preserve">0.0103092783505155(0.000138715042861012) </t>
  </si>
  <si>
    <t xml:space="preserve">0.0412371134020619(3.99099769107668e-05) </t>
  </si>
  <si>
    <t xml:space="preserve">0.0103092783505155(5.6386598552876e-05) </t>
  </si>
  <si>
    <t>RADIL</t>
  </si>
  <si>
    <t>ras-associating and dilute domain-containing protein [Homo sapiens]</t>
  </si>
  <si>
    <t xml:space="preserve">0.0206185567010309(2.85209692683845e-05) </t>
  </si>
  <si>
    <t xml:space="preserve">0.0103092783505155(7.74105684501358e-05) </t>
  </si>
  <si>
    <t xml:space="preserve">0.0309278350515464(0.0035274745632974) </t>
  </si>
  <si>
    <t>MRPL43</t>
  </si>
  <si>
    <t>39S ribosomal protein L43; mitochondrial isoform b [Homo sapiens]</t>
  </si>
  <si>
    <t xml:space="preserve">0.0206185567010309(0.000307337426064443) </t>
  </si>
  <si>
    <t>SH3 domain-binding protein 1 [Homo sapiens]</t>
  </si>
  <si>
    <t xml:space="preserve">0.0285714285714286(0.000525555128201984) </t>
  </si>
  <si>
    <t>RAB6B</t>
  </si>
  <si>
    <t>ras-related protein Rab-6B [Homo sapiens]</t>
  </si>
  <si>
    <t xml:space="preserve">6  2 3 </t>
  </si>
  <si>
    <t xml:space="preserve">0.0103092783505155(0.00541285170281425) 0(3.17619108128313e-08) </t>
  </si>
  <si>
    <t xml:space="preserve">6 14 </t>
  </si>
  <si>
    <t>SDF2L1</t>
  </si>
  <si>
    <t>stromal cell-derived factor 2-like protein 1 precursor [Homo sapiens]</t>
  </si>
  <si>
    <t xml:space="preserve">0.0103092783505155(0.000427126246148084) </t>
  </si>
  <si>
    <t xml:space="preserve">0.0740740740740741(0.000140296868517669) </t>
  </si>
  <si>
    <t xml:space="preserve">0.0206185567010309(8.67621349442026e-06) </t>
  </si>
  <si>
    <t>nuclear pore complex protein Nup98-Nup96 isoform 2 [Homo sapiens]</t>
  </si>
  <si>
    <t xml:space="preserve">0.0412371134020619(6.72715102974267e-06) </t>
  </si>
  <si>
    <t>CBX1</t>
  </si>
  <si>
    <t>chromobox protein homolog 1 [Homo sapiens]</t>
  </si>
  <si>
    <t xml:space="preserve">0.0103092783505155(0.000279318763454362) </t>
  </si>
  <si>
    <t xml:space="preserve">0.0927835051546392(0.000976610590307932) </t>
  </si>
  <si>
    <t xml:space="preserve">0.0206185567010309(0.000292866650208026) </t>
  </si>
  <si>
    <t>MRPL11</t>
  </si>
  <si>
    <t>39S ribosomal protein L11; mitochondrial isoform a [Homo sapiens]</t>
  </si>
  <si>
    <t xml:space="preserve">0.0206185567010309(9.9727602180627e-05) </t>
  </si>
  <si>
    <t>MAX</t>
  </si>
  <si>
    <t>protein max isoform a [Homo sapiens]</t>
  </si>
  <si>
    <t xml:space="preserve">0.0412371134020619(0.000312969007446567) </t>
  </si>
  <si>
    <t xml:space="preserve">9 3 </t>
  </si>
  <si>
    <t xml:space="preserve">0.0309278350515464(8.8965005791922e-05) </t>
  </si>
  <si>
    <t xml:space="preserve">0.0412371134020619(0.000502496235711927) </t>
  </si>
  <si>
    <t xml:space="preserve">3 1 2  3 4 </t>
  </si>
  <si>
    <t xml:space="preserve">0.0721649484536082(0.000187000742249247) 0.171428571428571(0.000606611211415025) </t>
  </si>
  <si>
    <t xml:space="preserve">0.135714285714286 0.206896551724138 </t>
  </si>
  <si>
    <t xml:space="preserve">11 1 </t>
  </si>
  <si>
    <t xml:space="preserve">0.11340206185567(0.000107843112145341) </t>
  </si>
  <si>
    <t xml:space="preserve">0(0.000308373470277085) </t>
  </si>
  <si>
    <t>MAGI1</t>
  </si>
  <si>
    <t>membrane-associated guanylate kinase; WW and PDZ domain-containing protein 1 isoform c [Homo sapiens]</t>
  </si>
  <si>
    <t xml:space="preserve">0(7.2827983151776e-08) </t>
  </si>
  <si>
    <t>Rho guanine nucleotide exchange factor 12</t>
  </si>
  <si>
    <t xml:space="preserve">1 2 5 1 1 </t>
  </si>
  <si>
    <t xml:space="preserve">0.0309278350515464(6.00736949933705e-05) </t>
  </si>
  <si>
    <t xml:space="preserve">0(0.000477969480371124) </t>
  </si>
  <si>
    <t>RSL24D1</t>
  </si>
  <si>
    <t>probable ribosome biogenesis protein RLP24 [Homo sapiens]</t>
  </si>
  <si>
    <t xml:space="preserve">0(3.80236949808813e-05) </t>
  </si>
  <si>
    <t>CNKSR2</t>
  </si>
  <si>
    <t>connector enhancer of kinase suppressor of ras 2 isoform 4 [Homo sapiens]</t>
  </si>
  <si>
    <t xml:space="preserve">0.037037037037037(0.00202218958486925) </t>
  </si>
  <si>
    <t xml:space="preserve">0(0.000635421818005514) </t>
  </si>
  <si>
    <t>JUN</t>
  </si>
  <si>
    <t>transcription factor AP-1 [Homo sapiens]</t>
  </si>
  <si>
    <t xml:space="preserve">0.0103092783505155(5.46901936088699e-05) </t>
  </si>
  <si>
    <t>FYTTD1</t>
  </si>
  <si>
    <t>UAP56-interacting factor isoform 1 [Homo sapiens]</t>
  </si>
  <si>
    <t xml:space="preserve">0.0103092783505155(8.17954102910892e-05) </t>
  </si>
  <si>
    <t xml:space="preserve">0.0206185567010309(0.000151159107644064) </t>
  </si>
  <si>
    <t>CFL1</t>
  </si>
  <si>
    <t>cofilin-1 [Homo sapiens]</t>
  </si>
  <si>
    <t xml:space="preserve">0.0309278350515464(0.000796058357820977) </t>
  </si>
  <si>
    <t>FERM; RhoGEF and pleckstrin domain-containing protein 2 [Homo sapiens]</t>
  </si>
  <si>
    <t xml:space="preserve">0(6.17939196104242e-05) </t>
  </si>
  <si>
    <t xml:space="preserve">1 2 3 </t>
  </si>
  <si>
    <t xml:space="preserve">0.0618556701030928(0.00152998555562969) </t>
  </si>
  <si>
    <t>PEO1</t>
  </si>
  <si>
    <t>Twinkle protein, mitochondrial</t>
  </si>
  <si>
    <t>CSTF2</t>
  </si>
  <si>
    <t>cleavage stimulation factor subunit 2 [Homo sapiens]</t>
  </si>
  <si>
    <t xml:space="preserve">0.0309278350515464(4.69957610263017e-05) </t>
  </si>
  <si>
    <t>FAM175B</t>
  </si>
  <si>
    <t>BRISC complex subunit Abro1 [Homo sapiens]</t>
  </si>
  <si>
    <t xml:space="preserve">0(3.07007460818364e-06) </t>
  </si>
  <si>
    <t>CNKSR3</t>
  </si>
  <si>
    <t>connector enhancer of kinase suppressor of ras 3 [Homo sapiens]</t>
  </si>
  <si>
    <t xml:space="preserve">7 12 5 2 4 2 7 1  17 17 </t>
  </si>
  <si>
    <t xml:space="preserve">0(1.24641794453521e-10) 0.037037037037037(0.00446485815516636) </t>
  </si>
  <si>
    <t xml:space="preserve">0.0103092783505155(6.77399360273578e-05) </t>
  </si>
  <si>
    <t>N-chimaerin isoform 1 [Homo sapiens]</t>
  </si>
  <si>
    <t xml:space="preserve">0(4.61407765846021e-05) </t>
  </si>
  <si>
    <t>CHMP2B</t>
  </si>
  <si>
    <t>charged multivesicular body protein 2b isoform 1 [Homo sapiens]</t>
  </si>
  <si>
    <t xml:space="preserve">0.0206185567010309(5.20234625588386e-05) </t>
  </si>
  <si>
    <t>SSR4</t>
  </si>
  <si>
    <t>translocon-associated protein subunit delta isoform 2 precursor [Homo sapiens]</t>
  </si>
  <si>
    <t xml:space="preserve">0(0.000159629485639253) </t>
  </si>
  <si>
    <t xml:space="preserve">0.0515463917525773(0.000171313913589538) </t>
  </si>
  <si>
    <t>GCN1L1</t>
  </si>
  <si>
    <t>translational activator GCN1 [Homo sapiens]</t>
  </si>
  <si>
    <t xml:space="preserve">0.0618556701030928(1.59154813810492e-05) </t>
  </si>
  <si>
    <t>SLIT-ROBO Rho GTPase-activating protein 1 [Homo sapiens]</t>
  </si>
  <si>
    <t xml:space="preserve">0(5.40970570479092e-05) </t>
  </si>
  <si>
    <t>leucine-rich repeat and calponin homology domain-containing protein 3 [Homo sapiens]</t>
  </si>
  <si>
    <t xml:space="preserve">6 5 13 9  2 6 </t>
  </si>
  <si>
    <t xml:space="preserve">0(5.38222507408202e-08) 0.0285714285714286(3.17037896563103e-05) </t>
  </si>
  <si>
    <t xml:space="preserve">0.0214285714285714 0.0344827586206897 </t>
  </si>
  <si>
    <t>APPL1</t>
  </si>
  <si>
    <t>DCC-interacting protein 13-alpha [Homo sapiens]</t>
  </si>
  <si>
    <t xml:space="preserve">11 4 </t>
  </si>
  <si>
    <t xml:space="preserve">0(1.48935434227526e-06) </t>
  </si>
  <si>
    <t xml:space="preserve">0.0824742268041237(0.000796058357820977) </t>
  </si>
  <si>
    <t>TMEM33</t>
  </si>
  <si>
    <t>transmembrane protein 33 [Homo sapiens]</t>
  </si>
  <si>
    <t xml:space="preserve">0.0618556701030928(7.50093397841925e-05) </t>
  </si>
  <si>
    <t xml:space="preserve">0(5.68256835660341e-05) </t>
  </si>
  <si>
    <t xml:space="preserve">0.0206185567010309(1.33224037488334e-05) </t>
  </si>
  <si>
    <t>PIP</t>
  </si>
  <si>
    <t>prolactin-inducible protein precursor [Homo sapiens]</t>
  </si>
  <si>
    <t xml:space="preserve">0.0309278350515464(4.8617379743848e-05) </t>
  </si>
  <si>
    <t>TPR</t>
  </si>
  <si>
    <t>nucleoprotein TPR [Homo sapiens]</t>
  </si>
  <si>
    <t xml:space="preserve">0.0103092783505155(6.75487989588061e-06) </t>
  </si>
  <si>
    <t xml:space="preserve">9 5 </t>
  </si>
  <si>
    <t xml:space="preserve">0.0769230769230769(0.00769020877077367) </t>
  </si>
  <si>
    <t>TNKS</t>
  </si>
  <si>
    <t>Tankyrase-1</t>
  </si>
  <si>
    <t xml:space="preserve">0.0206185567010309(5.7899842039291e-06) </t>
  </si>
  <si>
    <t>DNAJC9</t>
  </si>
  <si>
    <t>dnaJ homolog subfamily C member 9 [Homo sapiens]</t>
  </si>
  <si>
    <t xml:space="preserve">0(0.00163210341272251) </t>
  </si>
  <si>
    <t>PPM1G</t>
  </si>
  <si>
    <t>protein phosphatase 1G [Homo sapiens]</t>
  </si>
  <si>
    <t xml:space="preserve">5 10 4 </t>
  </si>
  <si>
    <t xml:space="preserve">0(1.80266630880561e-05) </t>
  </si>
  <si>
    <t>FAM76B</t>
  </si>
  <si>
    <t>protein FAM76B [Homo sapiens]</t>
  </si>
  <si>
    <t xml:space="preserve">0.0206185567010309(3.42875863080636e-05) </t>
  </si>
  <si>
    <t>TMX1</t>
  </si>
  <si>
    <t>thioredoxin-related transmembrane protein 1 precursor [Homo sapiens]</t>
  </si>
  <si>
    <t xml:space="preserve">0(6.43359994253516e-05) </t>
  </si>
  <si>
    <t xml:space="preserve">0(5.12427200928901e-05) </t>
  </si>
  <si>
    <t>SDHA</t>
  </si>
  <si>
    <t>succinate dehydrogenase [ubiquinone] flavoprotein subunit; mitochondrial [Homo sapiens]</t>
  </si>
  <si>
    <t xml:space="preserve">0.0515463917525773(8.91214484608974e-05) </t>
  </si>
  <si>
    <t xml:space="preserve">0.0515463917525773(1.7018324202386e-05) </t>
  </si>
  <si>
    <t xml:space="preserve">9 5 3  32 27 </t>
  </si>
  <si>
    <t xml:space="preserve">0.0103092783505155(2.2002132202177e-05) 0.037037037037037(0.00115236270586306) </t>
  </si>
  <si>
    <t xml:space="preserve">0.0142857142857143 0.0666666666666667 </t>
  </si>
  <si>
    <t>CAMK2D</t>
  </si>
  <si>
    <t>calcium/calmodulin-dependent protein kinase type II subunit delta isoform 1 [Homo sapiens]</t>
  </si>
  <si>
    <t xml:space="preserve">15 15 </t>
  </si>
  <si>
    <t xml:space="preserve">0(0.00692704614124908) </t>
  </si>
  <si>
    <t xml:space="preserve">2 3 1 </t>
  </si>
  <si>
    <t xml:space="preserve">0(0.00099014381712763) </t>
  </si>
  <si>
    <t xml:space="preserve">0.0412371134020619(0.000342046227598984) </t>
  </si>
  <si>
    <t>C9orf78</t>
  </si>
  <si>
    <t>uncharacterized protein C9orf78 [Homo sapiens]</t>
  </si>
  <si>
    <t xml:space="preserve">0(9.36901383401799e-07) </t>
  </si>
  <si>
    <t>ASAP2</t>
  </si>
  <si>
    <t>arf-GAP with SH3 domain; ANK repeat and PH domain-containing protein 2 isoform a [Homo sapiens]</t>
  </si>
  <si>
    <t xml:space="preserve">0.0103092783505155(0.000101698897364442) </t>
  </si>
  <si>
    <t xml:space="preserve">0.185567010309278(0.000572745386512212) </t>
  </si>
  <si>
    <t>PPIF</t>
  </si>
  <si>
    <t>peptidyl-prolyl cis-trans isomerase F; mitochondrial precursor [Homo sapiens]</t>
  </si>
  <si>
    <t xml:space="preserve">0.0412371134020619(4.90622629340132e-05) </t>
  </si>
  <si>
    <t xml:space="preserve">9 7 5 </t>
  </si>
  <si>
    <t>EDIL3</t>
  </si>
  <si>
    <t>EGF-like repeat and discoidin I-like domain-containing protein 3 precursor [Homo sapiens]</t>
  </si>
  <si>
    <t xml:space="preserve">11 15 </t>
  </si>
  <si>
    <t xml:space="preserve">0.037037037037037(0.000423380472327748) </t>
  </si>
  <si>
    <t xml:space="preserve">0.0103092783505155(0.000124247860809656) </t>
  </si>
  <si>
    <t xml:space="preserve">0(0.00042857280582709) </t>
  </si>
  <si>
    <t xml:space="preserve">7 1 6 1 </t>
  </si>
  <si>
    <t>PKN3</t>
  </si>
  <si>
    <t>serine/threonine-protein kinase N3 [Homo sapiens]</t>
  </si>
  <si>
    <t xml:space="preserve">7 3  3 3 </t>
  </si>
  <si>
    <t xml:space="preserve">0(2.26427386368663e-05) 0(0.000309933542745897) </t>
  </si>
  <si>
    <t>RIF1</t>
  </si>
  <si>
    <t>telomere-associated protein RIF1 isoform 1 [Homo sapiens]</t>
  </si>
  <si>
    <t xml:space="preserve">0.0103092783505155(2.66774522164706e-05) </t>
  </si>
  <si>
    <t xml:space="preserve">0.0769230769230769(0.00124364277828994) </t>
  </si>
  <si>
    <t>GAR1</t>
  </si>
  <si>
    <t>H/ACA ribonucleoprotein complex subunit 1 [Homo sapiens]</t>
  </si>
  <si>
    <t xml:space="preserve">0.0206185567010309(0.00044607832448492) </t>
  </si>
  <si>
    <t>ZC3H14</t>
  </si>
  <si>
    <t>zinc finger CCCH domain-containing protein 14 isoform 1 [Homo sapiens]</t>
  </si>
  <si>
    <t xml:space="preserve">0.0309278350515464(4.16923972541007e-05) </t>
  </si>
  <si>
    <t xml:space="preserve">2 2 1 </t>
  </si>
  <si>
    <t xml:space="preserve">0.0824742268041237(0.000182219460325114) </t>
  </si>
  <si>
    <t>SPIN3</t>
  </si>
  <si>
    <t>spindlin-3 [Homo sapiens]</t>
  </si>
  <si>
    <t xml:space="preserve">0.0618556701030928(0.000173881749594419) </t>
  </si>
  <si>
    <t>C11orf31</t>
  </si>
  <si>
    <t>selenoprotein H [Homo sapiens]</t>
  </si>
  <si>
    <t xml:space="preserve">0(5.61540004244475e-05) </t>
  </si>
  <si>
    <t xml:space="preserve">0(2.78829637310903e-05) </t>
  </si>
  <si>
    <t>PYCR1</t>
  </si>
  <si>
    <t>pyrroline-5-carboxylate reductase 1; mitochondrial isoform 1 [Homo sapiens]</t>
  </si>
  <si>
    <t xml:space="preserve">0.0206185567010309(0.000337482494396794) </t>
  </si>
  <si>
    <t>probable rRNA-processing protein EBP2 isoform 1 [Homo sapiens]</t>
  </si>
  <si>
    <t>S100A13</t>
  </si>
  <si>
    <t>Protein S100-A13</t>
  </si>
  <si>
    <t>FAM109A</t>
  </si>
  <si>
    <t>sesquipedalian-1 isoform 2 [Homo sapiens]</t>
  </si>
  <si>
    <t xml:space="preserve">2 2 1 3 </t>
  </si>
  <si>
    <t xml:space="preserve">0(0.000209306296045934) </t>
  </si>
  <si>
    <t>proto-oncogene vav isoform 1 [Homo sapiens]</t>
  </si>
  <si>
    <t xml:space="preserve">0(3.77749664811165e-06) </t>
  </si>
  <si>
    <t>PCNA</t>
  </si>
  <si>
    <t>proliferating cell nuclear antigen [Homo sapiens]</t>
  </si>
  <si>
    <t xml:space="preserve">0(6.6908700691175e-05) </t>
  </si>
  <si>
    <t xml:space="preserve">8 1 1 </t>
  </si>
  <si>
    <t xml:space="preserve">0.0309278350515464(0.00139163613621317) </t>
  </si>
  <si>
    <t>KRT81</t>
  </si>
  <si>
    <t xml:space="preserve">0.0206185567010309(2.79337273772806e-05) </t>
  </si>
  <si>
    <t xml:space="preserve">12 1 </t>
  </si>
  <si>
    <t xml:space="preserve">0(8.34642968268732e-05) </t>
  </si>
  <si>
    <t>DMD</t>
  </si>
  <si>
    <t>dystrophin Dp71b isoform [Homo sapiens]</t>
  </si>
  <si>
    <t xml:space="preserve">0.0103092783505155(5.80092425141903e-05) </t>
  </si>
  <si>
    <t>tropomodulin-1 [Homo sapiens]</t>
  </si>
  <si>
    <t xml:space="preserve">0.0206185567010309(3.66190759446872e-05) </t>
  </si>
  <si>
    <t>A-kinase anchor protein 13 isoform 2 [Homo sapiens]</t>
  </si>
  <si>
    <t xml:space="preserve">0.0103092783505155(1.10704232885329e-06) </t>
  </si>
  <si>
    <t>radixin isoform 2 [Homo sapiens]</t>
  </si>
  <si>
    <t xml:space="preserve">0(7.26516619965438e-05) </t>
  </si>
  <si>
    <t>cellular tumor antigen p53 isoform c [Homo sapiens]</t>
  </si>
  <si>
    <t xml:space="preserve">0.0515463917525773(5.42383280552117e-05) </t>
  </si>
  <si>
    <t xml:space="preserve">0(7.79717235149516e-06) </t>
  </si>
  <si>
    <t xml:space="preserve">0.0206185567010309(0.000379352094122894) </t>
  </si>
  <si>
    <t>MAP7D1</t>
  </si>
  <si>
    <t>MAP7 domain-containing protein 1 [Homo sapiens]</t>
  </si>
  <si>
    <t xml:space="preserve">0(6.27253421259648e-06) </t>
  </si>
  <si>
    <t>ARL1</t>
  </si>
  <si>
    <t>ADP-ribosylation factor-like protein 1 [Homo sapiens]</t>
  </si>
  <si>
    <t xml:space="preserve">0.0206185567010309(0.000356136290915895) </t>
  </si>
  <si>
    <t>SLC16A1</t>
  </si>
  <si>
    <t>monocarboxylate transporter 1 [Homo sapiens]</t>
  </si>
  <si>
    <t xml:space="preserve">0.0618556701030928(8.00419235263505e-05) </t>
  </si>
  <si>
    <t>AKAP1</t>
  </si>
  <si>
    <t>A-kinase anchor protein 1; mitochondrial precursor [Homo sapiens]</t>
  </si>
  <si>
    <t xml:space="preserve">0.0412371134020619(1.32180916409259e-05) </t>
  </si>
  <si>
    <t xml:space="preserve">0(2.85209692683845e-05) </t>
  </si>
  <si>
    <t>PSMD7</t>
  </si>
  <si>
    <t>26S proteasome non-ATPase regulatory subunit 7 [Homo sapiens]</t>
  </si>
  <si>
    <t xml:space="preserve">0.0206185567010309(0.000118453162092308) </t>
  </si>
  <si>
    <t>CDC42</t>
  </si>
  <si>
    <t>cell division control protein 42 homolog isoform 1 [Homo sapiens]</t>
  </si>
  <si>
    <t xml:space="preserve">0.0103092783505155(5.24498042900194e-05) </t>
  </si>
  <si>
    <t xml:space="preserve">0.0206185567010309(0.000194572180897272) </t>
  </si>
  <si>
    <t>SEC16A</t>
  </si>
  <si>
    <t>protein transport protein Sec16A [Homo sapiens]</t>
  </si>
  <si>
    <t xml:space="preserve">3 2 2 1 1 </t>
  </si>
  <si>
    <t xml:space="preserve">0.0412371134020619(2.7364197024566e-05) </t>
  </si>
  <si>
    <t xml:space="preserve">0.0103092783505155(2.36025297077518e-05) </t>
  </si>
  <si>
    <t xml:space="preserve">0.0206185567010309(0.000544872580798052) </t>
  </si>
  <si>
    <t>SNRNP40</t>
  </si>
  <si>
    <t>U5 small nuclear ribonucleoprotein 40 kDa protein [Homo sapiens]</t>
  </si>
  <si>
    <t xml:space="preserve">0.0412371134020619(8.85978971808119e-05) </t>
  </si>
  <si>
    <t>PRC1</t>
  </si>
  <si>
    <t>protein regulator of cytokinesis 1 isoform 1 [Homo sapiens]</t>
  </si>
  <si>
    <t xml:space="preserve">0(1.40737344015664e-05) </t>
  </si>
  <si>
    <t>PSMA1</t>
  </si>
  <si>
    <t>proteasome subunit alpha type-1 isoform 2 [Homo sapiens]</t>
  </si>
  <si>
    <t xml:space="preserve">0(4.69209741651679e-05) </t>
  </si>
  <si>
    <t xml:space="preserve">0(0.000221544470242163) </t>
  </si>
  <si>
    <t xml:space="preserve">0.0618556701030928(3.10397244004214e-05) </t>
  </si>
  <si>
    <t>ZNF207</t>
  </si>
  <si>
    <t>zinc finger protein 207 isoform a [Homo sapiens]</t>
  </si>
  <si>
    <t xml:space="preserve">0.0103092783505155(4.35061275280375e-05) </t>
  </si>
  <si>
    <t>AP2M1</t>
  </si>
  <si>
    <t>AP-2 complex subunit mu isoform a [Homo sapiens]</t>
  </si>
  <si>
    <t xml:space="preserve">0.037037037037037(0.00057122970883698) </t>
  </si>
  <si>
    <t xml:space="preserve">0.0206185567010309(6.22217560125841e-05) </t>
  </si>
  <si>
    <t xml:space="preserve">0.0103092783505155(0.000193215502169819) </t>
  </si>
  <si>
    <t>WDR1</t>
  </si>
  <si>
    <t>WD repeat-containing protein 1 isoform 1 [Homo sapiens]</t>
  </si>
  <si>
    <t xml:space="preserve">0.0103092783505155(1.02642633556504e-05) </t>
  </si>
  <si>
    <t xml:space="preserve">0.0309278350515464(1.29305066676671e-05) </t>
  </si>
  <si>
    <t xml:space="preserve">0.0206185567010309(0.000439704741167356) </t>
  </si>
  <si>
    <t xml:space="preserve">0.0206185567010309(0.0005955056884761) </t>
  </si>
  <si>
    <t xml:space="preserve">0.0618556701030928(1.83680463914241e-05) </t>
  </si>
  <si>
    <t>RHOB</t>
  </si>
  <si>
    <t>rho-related GTP-binding protein RhoB precursor [Homo sapiens]</t>
  </si>
  <si>
    <t xml:space="preserve">0(7.05600550304549e-05) </t>
  </si>
  <si>
    <t xml:space="preserve">0(9.41782900339336e-06) </t>
  </si>
  <si>
    <t>SUMO3</t>
  </si>
  <si>
    <t>small ubiquitin-related modifier 3 precursor [Homo sapiens]</t>
  </si>
  <si>
    <t xml:space="preserve">0.0309278350515464(0.000247932515035185) </t>
  </si>
  <si>
    <t>MRPS31</t>
  </si>
  <si>
    <t>28S ribosomal protein S31; mitochondrial [Homo sapiens]</t>
  </si>
  <si>
    <t xml:space="preserve">0.0721649484536082(5.67584951620836e-05) </t>
  </si>
  <si>
    <t>HMGA2</t>
  </si>
  <si>
    <t>high mobility group protein HMGI-C isoform a [Homo sapiens]</t>
  </si>
  <si>
    <t xml:space="preserve">0.0927835051546392(0.00173693219535626) </t>
  </si>
  <si>
    <t>PUF60</t>
  </si>
  <si>
    <t>poly(U)-binding-splicing factor PUF60 isoform c [Homo sapiens]</t>
  </si>
  <si>
    <t xml:space="preserve">0.0206185567010309(2.08428488917595e-05) </t>
  </si>
  <si>
    <t xml:space="preserve">0.0309278350515464(0.000108818030216946) </t>
  </si>
  <si>
    <t>NOA1</t>
  </si>
  <si>
    <t>Nitric oxide-associated protein 1</t>
  </si>
  <si>
    <t xml:space="preserve">9 9 </t>
  </si>
  <si>
    <t>PAICS</t>
  </si>
  <si>
    <t>multifunctional protein ADE2 isoform 2 [Homo sapiens]</t>
  </si>
  <si>
    <t xml:space="preserve">0.0824742268041237(0.000105297248746237) </t>
  </si>
  <si>
    <t>RBM5</t>
  </si>
  <si>
    <t>RNA-binding protein 5 [Homo sapiens]</t>
  </si>
  <si>
    <t xml:space="preserve">0.0309278350515464(0.000126445384516111) </t>
  </si>
  <si>
    <t xml:space="preserve">0.0824742268041237(2.66774522164706e-05) </t>
  </si>
  <si>
    <t>CPSF2</t>
  </si>
  <si>
    <t>cleavage and polyadenylation specificity factor subunit 2 [Homo sapiens]</t>
  </si>
  <si>
    <t xml:space="preserve">0.0309278350515464(1.96500036082856e-05) </t>
  </si>
  <si>
    <t xml:space="preserve">0(0.00234383166011115) </t>
  </si>
  <si>
    <t>TOMM22</t>
  </si>
  <si>
    <t>mitochondrial import receptor subunit TOM22 homolog [Homo sapiens]</t>
  </si>
  <si>
    <t xml:space="preserve">0.0103092783505155(0.000852425280715392) </t>
  </si>
  <si>
    <t>GINS2</t>
  </si>
  <si>
    <t>DNA replication complex GINS protein PSF2</t>
  </si>
  <si>
    <t xml:space="preserve">4 5 </t>
  </si>
  <si>
    <t xml:space="preserve">0(0.0002761429174338) </t>
  </si>
  <si>
    <t>COL4A4</t>
  </si>
  <si>
    <t>collagen alpha-4(IV) chain precursor [Homo sapiens]</t>
  </si>
  <si>
    <t xml:space="preserve">0.0285714285714286(1.64816904259419e-05) </t>
  </si>
  <si>
    <t>TGM3</t>
  </si>
  <si>
    <t>protein-glutamine gamma-glutamyltransferase E [Homo sapiens]</t>
  </si>
  <si>
    <t xml:space="preserve">0.0515463917525773(1.61550268629961e-05) </t>
  </si>
  <si>
    <t xml:space="preserve">0.0618556701030928(0.000344169427959143) </t>
  </si>
  <si>
    <t>CRK</t>
  </si>
  <si>
    <t>adapter molecule crk isoform b [Homo sapiens]</t>
  </si>
  <si>
    <t xml:space="preserve">9 3 9 </t>
  </si>
  <si>
    <t xml:space="preserve">0.0103092783505155(0.000164372868593576) </t>
  </si>
  <si>
    <t>DNM3</t>
  </si>
  <si>
    <t>dynamin-3 isoform b [Homo sapiens]</t>
  </si>
  <si>
    <t xml:space="preserve">0(0.000202739761327053) </t>
  </si>
  <si>
    <t xml:space="preserve">0.0103092783505155(0.00128882427936563) </t>
  </si>
  <si>
    <t xml:space="preserve">0(9.37750068833652e-05) </t>
  </si>
  <si>
    <t>NUP50</t>
  </si>
  <si>
    <t>nuclear pore complex protein Nup50 isoform a [Homo sapiens]</t>
  </si>
  <si>
    <t xml:space="preserve">0.0206185567010309(1.88470309272839e-05) </t>
  </si>
  <si>
    <t>CD2BP2</t>
  </si>
  <si>
    <t>CD2 antigen cytoplasmic tail-binding protein 2 [Homo sapiens]</t>
  </si>
  <si>
    <t xml:space="preserve">0.0515463917525773(0.000137310406067974) </t>
  </si>
  <si>
    <t xml:space="preserve">0(0.000180346524239969) </t>
  </si>
  <si>
    <t>FAM195B</t>
  </si>
  <si>
    <t>protein FAM195B [Homo sapiens]</t>
  </si>
  <si>
    <t xml:space="preserve">0(4.10273793152492e-05) </t>
  </si>
  <si>
    <t>DNAJC11</t>
  </si>
  <si>
    <t>dnaJ homolog subfamily C member 11 [Homo sapiens]</t>
  </si>
  <si>
    <t xml:space="preserve">0(1.5035752931899e-05) </t>
  </si>
  <si>
    <t>FTSJ1</t>
  </si>
  <si>
    <t>putative ribosomal RNA methyltransferase 1 isoform a [Homo sapiens]</t>
  </si>
  <si>
    <t xml:space="preserve">0.0103092783505155(0.000210306027638187) </t>
  </si>
  <si>
    <t xml:space="preserve">0(4.73228989026592e-05) </t>
  </si>
  <si>
    <t>RBM39</t>
  </si>
  <si>
    <t>RNA-binding protein 39 isoform b [Homo sapiens]</t>
  </si>
  <si>
    <t xml:space="preserve">2 2 2 </t>
  </si>
  <si>
    <t xml:space="preserve">0.103092783505155(0.000225718219650712) </t>
  </si>
  <si>
    <t xml:space="preserve">0(0.000337482494396794) </t>
  </si>
  <si>
    <t>FYVE; RhoGEF and PH domain-containing protein 2 [Homo sapiens]</t>
  </si>
  <si>
    <t xml:space="preserve">0.0103092783505155(1.01305494418124e-06) </t>
  </si>
  <si>
    <t>FBXO28</t>
  </si>
  <si>
    <t>F-box only protein 28 isoform a [Homo sapiens]</t>
  </si>
  <si>
    <t xml:space="preserve">3 6 4 </t>
  </si>
  <si>
    <t xml:space="preserve">0(0.0001216332748678) </t>
  </si>
  <si>
    <t xml:space="preserve">0(0.00147179189299075) </t>
  </si>
  <si>
    <t xml:space="preserve">0.0309278350515464(0.000113127744061195) </t>
  </si>
  <si>
    <t xml:space="preserve">16 4 </t>
  </si>
  <si>
    <t xml:space="preserve">0(1.93738164036278e-05) </t>
  </si>
  <si>
    <t xml:space="preserve">0.0103092783505155(5.42039443400122e-05) </t>
  </si>
  <si>
    <t>SRSF8</t>
  </si>
  <si>
    <t>serine/arginine-rich splicing factor 8 [Homo sapiens]</t>
  </si>
  <si>
    <t xml:space="preserve">0.0309278350515464(0.000131886142362362) </t>
  </si>
  <si>
    <t xml:space="preserve">0.0769230769230769(0.000917280715395914) </t>
  </si>
  <si>
    <t xml:space="preserve">0.0927835051546392(5.83072469656882e-05) </t>
  </si>
  <si>
    <t>calcium/calmodulin-dependent protein kinase type II subunit delta isoform 3 [Homo sapiens]</t>
  </si>
  <si>
    <t xml:space="preserve">1 16 </t>
  </si>
  <si>
    <t xml:space="preserve">0.0103092783505155(0.000587410690180838) </t>
  </si>
  <si>
    <t xml:space="preserve">0.0309278350515464(0.000475488296712228) </t>
  </si>
  <si>
    <t>RAB6A</t>
  </si>
  <si>
    <t>ras-related protein Rab-6A isoform b [Homo sapiens]</t>
  </si>
  <si>
    <t xml:space="preserve">1 18 1  1 7 1 11 </t>
  </si>
  <si>
    <t xml:space="preserve">0(9.4763477259982e-08) 0(0.00221299406811485) </t>
  </si>
  <si>
    <t>CDK16</t>
  </si>
  <si>
    <t>cell division protein kinase 16 isoform 1 [Homo sapiens]</t>
  </si>
  <si>
    <t xml:space="preserve">0(1.40450037560124e-07) </t>
  </si>
  <si>
    <t>pleckstrin homology domain-containing family G member 4B [Homo sapiens]</t>
  </si>
  <si>
    <t xml:space="preserve">0(3.18437776984738e-10) </t>
  </si>
  <si>
    <t>annexin A2 isoform 2 [Homo sapiens]</t>
  </si>
  <si>
    <t xml:space="preserve">3 6 </t>
  </si>
  <si>
    <t xml:space="preserve">0(0.00307632119217372) </t>
  </si>
  <si>
    <t xml:space="preserve">0.0103092783505155(0.000118453162092308) </t>
  </si>
  <si>
    <t xml:space="preserve">0.0769230769230769(0.00403292242091528) </t>
  </si>
  <si>
    <t xml:space="preserve">0.0103092783505155(9.290506885721e-05) </t>
  </si>
  <si>
    <t xml:space="preserve">0.0721649484536082(4.06870018142846e-05) </t>
  </si>
  <si>
    <t xml:space="preserve">0(0.000583061866737272) </t>
  </si>
  <si>
    <t xml:space="preserve">0(0.0034503704665731) </t>
  </si>
  <si>
    <t>PREPL</t>
  </si>
  <si>
    <t>prolyl endopeptidase-like isoform 1 [Homo sapiens]</t>
  </si>
  <si>
    <t xml:space="preserve">3 8 4 5 1 9 </t>
  </si>
  <si>
    <t xml:space="preserve">0(9.29723974885285e-09) </t>
  </si>
  <si>
    <t>SSBP1</t>
  </si>
  <si>
    <t>single-stranded DNA-binding protein; mitochondrial precursor [Homo sapiens]</t>
  </si>
  <si>
    <t xml:space="preserve">2 11 10 </t>
  </si>
  <si>
    <t xml:space="preserve">0(0.0188095947773287) </t>
  </si>
  <si>
    <t xml:space="preserve">0.0412371134020619(4.55051359421546e-05) </t>
  </si>
  <si>
    <t>CSDE1</t>
  </si>
  <si>
    <t>cold shock domain-containing protein E1 isoform 2 [Homo sapiens]</t>
  </si>
  <si>
    <t xml:space="preserve">0.0103092783505155(2.3376109285583e-05) </t>
  </si>
  <si>
    <t>ASH2L</t>
  </si>
  <si>
    <t>set1/Ash2 histone methyltransferase complex subunit ASH2 isoform a [Homo sapiens]</t>
  </si>
  <si>
    <t xml:space="preserve">0(1.80631527429632e-05) </t>
  </si>
  <si>
    <t xml:space="preserve">5 14 4 8  15 19 </t>
  </si>
  <si>
    <t xml:space="preserve">0.0206185567010309(0.000278494578354203) 0.0285714285714286(0.000679337189488838) </t>
  </si>
  <si>
    <t xml:space="preserve">0.0785714285714286 0.0689655172413793 </t>
  </si>
  <si>
    <t>SORL1</t>
  </si>
  <si>
    <t>sortilin-related receptor preproprotein [Homo sapiens]</t>
  </si>
  <si>
    <t xml:space="preserve">0(1.65757108578651e-06) </t>
  </si>
  <si>
    <t xml:space="preserve">0.0412371134020619(2.68976417453013e-05) </t>
  </si>
  <si>
    <t xml:space="preserve">0(9.05261631847665e-05) </t>
  </si>
  <si>
    <t>TRIM27</t>
  </si>
  <si>
    <t>zinc finger protein RFP [Homo sapiens]</t>
  </si>
  <si>
    <t xml:space="preserve">0.0103092783505155(3.36151805585453e-05) </t>
  </si>
  <si>
    <t>PSMB1</t>
  </si>
  <si>
    <t>proteasome subunit beta type-1 [Homo sapiens]</t>
  </si>
  <si>
    <t xml:space="preserve">0(0.000215201261433991) </t>
  </si>
  <si>
    <t>SMARCE1</t>
  </si>
  <si>
    <t>SWI/SNF-related matrix-associated actin-dependent regulator of chromatin subfamily E member 1 [Homo sapiens]</t>
  </si>
  <si>
    <t xml:space="preserve">0.0927835051546392(6.66644393352616e-05) </t>
  </si>
  <si>
    <t>POLR2B</t>
  </si>
  <si>
    <t>DNA-directed RNA polymerase II subunit RPB2 [Homo sapiens]</t>
  </si>
  <si>
    <t xml:space="preserve">0.0309278350515464(1.4879429787989e-05) </t>
  </si>
  <si>
    <t xml:space="preserve">0.0103092783505155(4.16551503833419e-05) </t>
  </si>
  <si>
    <t xml:space="preserve">0.0206185567010309(0.000184105435910918) </t>
  </si>
  <si>
    <t>ZFR</t>
  </si>
  <si>
    <t>zinc finger RNA-binding protein [Homo sapiens]</t>
  </si>
  <si>
    <t xml:space="preserve">0(1.01823870176137e-05) </t>
  </si>
  <si>
    <t xml:space="preserve">0.0103092783505155(3.07065617554069e-05) </t>
  </si>
  <si>
    <t xml:space="preserve">0.0103092783505155(4.90622629340132e-05) </t>
  </si>
  <si>
    <t xml:space="preserve">0.0618556701030928(0.000102646512020031) </t>
  </si>
  <si>
    <t xml:space="preserve">0.0103092783505155(0.000669095598960267) </t>
  </si>
  <si>
    <t xml:space="preserve">0.0103092783505155(0.000345245911346869) </t>
  </si>
  <si>
    <t xml:space="preserve">0(0.000144126980819461) </t>
  </si>
  <si>
    <t xml:space="preserve">0(0.0070717049077224) </t>
  </si>
  <si>
    <t xml:space="preserve">0.0309278350515464(0.000261585949087579) </t>
  </si>
  <si>
    <t xml:space="preserve">0.0515463917525773(7.12773651766928e-05) </t>
  </si>
  <si>
    <t xml:space="preserve">0(0.000130751354493522) </t>
  </si>
  <si>
    <t>LGALS7</t>
  </si>
  <si>
    <t>galectin-7 [Homo sapiens]</t>
  </si>
  <si>
    <t xml:space="preserve">0.0309278350515464(0.000339579393589272) </t>
  </si>
  <si>
    <t xml:space="preserve">5 11 </t>
  </si>
  <si>
    <t xml:space="preserve">0(0.00010952570519155) </t>
  </si>
  <si>
    <t xml:space="preserve">3  2 4 </t>
  </si>
  <si>
    <t xml:space="preserve">0.0412371134020619(1.59154813810492e-05) 0.0285714285714286(4.53016459297018e-06) </t>
  </si>
  <si>
    <t xml:space="preserve">0.0642857142857143 0.0344827586206897 </t>
  </si>
  <si>
    <t xml:space="preserve">0.0927835051546392(0.000114461575751095) </t>
  </si>
  <si>
    <t>CSN3</t>
  </si>
  <si>
    <t xml:space="preserve">0(5.00049937988784e-06) </t>
  </si>
  <si>
    <t xml:space="preserve">0.0103092783505155(4.69957610263017e-05) </t>
  </si>
  <si>
    <t>BRPF1</t>
  </si>
  <si>
    <t>peregrin isoform 1 [Homo sapiens]</t>
  </si>
  <si>
    <t xml:space="preserve">2 6 </t>
  </si>
  <si>
    <t xml:space="preserve">0(6.87953387750185e-06) </t>
  </si>
  <si>
    <t xml:space="preserve">0.0103092783505155(0.000344037301098341) </t>
  </si>
  <si>
    <t>cyclin-dependent kinase inhibitor 2A isoform 1 [Homo sapiens]</t>
  </si>
  <si>
    <t xml:space="preserve">0(0.000423172391678303) </t>
  </si>
  <si>
    <t>ARCN1</t>
  </si>
  <si>
    <t>coatomer subunit delta isoform 1 [Homo sapiens]</t>
  </si>
  <si>
    <t xml:space="preserve">0(0.00119544877554927) </t>
  </si>
  <si>
    <t>RBBP5</t>
  </si>
  <si>
    <t>retinoblastoma-binding protein 5 isoform 1 [Homo sapiens]</t>
  </si>
  <si>
    <t xml:space="preserve">0(0.000139313885034181) </t>
  </si>
  <si>
    <t>TANC2</t>
  </si>
  <si>
    <t>protein TANC2 [Homo sapiens]</t>
  </si>
  <si>
    <t xml:space="preserve">1 4 4 5  7 9 </t>
  </si>
  <si>
    <t xml:space="preserve">0(1.53297291238706e-08) 0(0.000183883326639585) </t>
  </si>
  <si>
    <t xml:space="preserve">0(0.000402379086603335) </t>
  </si>
  <si>
    <t>MECP2</t>
  </si>
  <si>
    <t>methyl-CpG-binding protein 2 isoform 1 [Homo sapiens]</t>
  </si>
  <si>
    <t xml:space="preserve">0.0824742268041237(0.000105303302039721) </t>
  </si>
  <si>
    <t xml:space="preserve">0.0309278350515464(0.000239460462053172) </t>
  </si>
  <si>
    <t xml:space="preserve">0.0206185567010309(0.00218422398330002) </t>
  </si>
  <si>
    <t xml:space="preserve">10 18 1 </t>
  </si>
  <si>
    <t xml:space="preserve">0.0103092783505155(0.000386937825169825) </t>
  </si>
  <si>
    <t xml:space="preserve">0(0.00200470393687885) </t>
  </si>
  <si>
    <t>RAB1A</t>
  </si>
  <si>
    <t>ras-related protein Rab-1A isoform 1 [Homo sapiens]</t>
  </si>
  <si>
    <t xml:space="preserve">1 10 </t>
  </si>
  <si>
    <t xml:space="preserve">0.0103092783505155(0.00680134401021478) </t>
  </si>
  <si>
    <t>rho GTPase-activating protein 18 [Homo sapiens]</t>
  </si>
  <si>
    <t xml:space="preserve">0.0103092783505155(4.4477243922964e-05) </t>
  </si>
  <si>
    <t>RBM33</t>
  </si>
  <si>
    <t>RNA-binding protein 33 [Homo sapiens]</t>
  </si>
  <si>
    <t xml:space="preserve">0(1.49746459069365e-05) </t>
  </si>
  <si>
    <t xml:space="preserve">0.0309278350515464(1.61550268629961e-05) </t>
  </si>
  <si>
    <t>SLC3A2</t>
  </si>
  <si>
    <t>4F2 cell-surface antigen heavy chain isoform b [Homo sapiens]</t>
  </si>
  <si>
    <t xml:space="preserve">0.0412371134020619(7.36779880003157e-05) </t>
  </si>
  <si>
    <t>son of sevenless homolog 1 [Homo sapiens]</t>
  </si>
  <si>
    <t xml:space="preserve">0(1.21380398529964e-05) </t>
  </si>
  <si>
    <t xml:space="preserve">16 8 7 </t>
  </si>
  <si>
    <t xml:space="preserve">0.0103092783505155(0.000253068238913749) </t>
  </si>
  <si>
    <t>UTRN</t>
  </si>
  <si>
    <t>utrophin [Homo sapiens]</t>
  </si>
  <si>
    <t xml:space="preserve">0.0103092783505155(8.51179233429378e-06) </t>
  </si>
  <si>
    <t xml:space="preserve">0.0721649484536082(9.37750068833652e-05) </t>
  </si>
  <si>
    <t>ARHGAP7</t>
  </si>
  <si>
    <t>rho GTPase-activating protein 7 isoform 2 [Homo sapiens]</t>
  </si>
  <si>
    <t xml:space="preserve">0.0206185567010309(1.13608342443551e-05) </t>
  </si>
  <si>
    <t xml:space="preserve">2 2 11 9 4 </t>
  </si>
  <si>
    <t xml:space="preserve">0(0.000199323807750092) </t>
  </si>
  <si>
    <t xml:space="preserve">0.0206185567010309(4.19238939710624e-05) </t>
  </si>
  <si>
    <t>PTS</t>
  </si>
  <si>
    <t>6-pyruvoyl tetrahydrobiopterin synthase [Homo sapiens]</t>
  </si>
  <si>
    <t xml:space="preserve">0.0309278350515464(0.000234368285508434) </t>
  </si>
  <si>
    <t>ephexin-1 isoform 1 [Homo sapiens]</t>
  </si>
  <si>
    <t xml:space="preserve">0(0.000402218627163678) </t>
  </si>
  <si>
    <t>disks large homolog 1 isoform 1 [Homo sapiens]</t>
  </si>
  <si>
    <t xml:space="preserve">2 13 </t>
  </si>
  <si>
    <t xml:space="preserve">0.0206185567010309(7.23226016014459e-05) </t>
  </si>
  <si>
    <t xml:space="preserve">0.0206185567010309(0.000112194245144963) </t>
  </si>
  <si>
    <t xml:space="preserve">0.0206185567010309(0.000284419852140621) </t>
  </si>
  <si>
    <t>C14orf166</t>
  </si>
  <si>
    <t>UPF0568 protein C14orf166 [Homo sapiens]</t>
  </si>
  <si>
    <t xml:space="preserve">0.0103092783505155(0.000621176905274126) </t>
  </si>
  <si>
    <t xml:space="preserve">0.0103092783505155(0.00085361757930311) </t>
  </si>
  <si>
    <t>NUMA1</t>
  </si>
  <si>
    <t>nuclear mitotic apparatus protein 1 [Homo sapiens]</t>
  </si>
  <si>
    <t xml:space="preserve">0.0769230769230769(0.00180315460664367) </t>
  </si>
  <si>
    <t xml:space="preserve">0.0206185567010309(4.69209741651679e-05) </t>
  </si>
  <si>
    <t>DYRK1B</t>
  </si>
  <si>
    <t>dual specificity tyrosine-phosphorylation-regulated kinase 1B isoform a [Homo sapiens]</t>
  </si>
  <si>
    <t xml:space="preserve">0.0412371134020619(0.000827328692875544) </t>
  </si>
  <si>
    <t xml:space="preserve">0(0.00076344497573) </t>
  </si>
  <si>
    <t>DAZAP1</t>
  </si>
  <si>
    <t>DAZ-associated protein 1 isoform b [Homo sapiens]</t>
  </si>
  <si>
    <t xml:space="preserve">0.0206185567010309(7.37629543453703e-05) </t>
  </si>
  <si>
    <t>ANXA5</t>
  </si>
  <si>
    <t xml:space="preserve">0.0618556701030928(0.000290421872211429) </t>
  </si>
  <si>
    <t>Triple functional domain protein</t>
  </si>
  <si>
    <t xml:space="preserve">0.0103092783505155(2.3166085565959e-05) </t>
  </si>
  <si>
    <t>GANAB</t>
  </si>
  <si>
    <t>neutral alpha-glucosidase AB isoform 2 precursor [Homo sapiens]</t>
  </si>
  <si>
    <t xml:space="preserve">0.0206185567010309(3.01219495007159e-05) </t>
  </si>
  <si>
    <t>JPH1</t>
  </si>
  <si>
    <t>junctophilin-1 [Homo sapiens]</t>
  </si>
  <si>
    <t xml:space="preserve">1 4 6 </t>
  </si>
  <si>
    <t xml:space="preserve">0.0103092783505155(8.41441135871236e-05) </t>
  </si>
  <si>
    <t xml:space="preserve">0.0206185567010309(1.60628504950305e-05) </t>
  </si>
  <si>
    <t>ACLY</t>
  </si>
  <si>
    <t>ATP-citrate synthase isoform 1 [Homo sapiens]</t>
  </si>
  <si>
    <t xml:space="preserve">0.0721649484536082(2.48015103743257e-05) </t>
  </si>
  <si>
    <t>TJP2</t>
  </si>
  <si>
    <t>tight junction protein ZO-2 isoform 1 [Homo sapiens]</t>
  </si>
  <si>
    <t xml:space="preserve">0(1.2634994049161e-05) </t>
  </si>
  <si>
    <t xml:space="preserve">0.0103092783505155(2.45955543364647e-05) </t>
  </si>
  <si>
    <t>FLJ22184</t>
  </si>
  <si>
    <t>hypothetical protein LOC80164 [Homo sapiens]</t>
  </si>
  <si>
    <t xml:space="preserve">4 2 9 11  19 21 </t>
  </si>
  <si>
    <t xml:space="preserve">0(3.5436573800646e-05) 0.037037037037037(0.00105481601067368) </t>
  </si>
  <si>
    <t xml:space="preserve">0.0206185567010309(0.000198694791126326) </t>
  </si>
  <si>
    <t xml:space="preserve">0.0103092783505155(0.000105303302039721) </t>
  </si>
  <si>
    <t>neuroepithelial cell-transforming gene 1 protein isoform 2 [Homo sapiens]</t>
  </si>
  <si>
    <t xml:space="preserve">0(1.87656039881648e-05) </t>
  </si>
  <si>
    <t xml:space="preserve">0.0103092783505155(0.000180004361889085) </t>
  </si>
  <si>
    <t>KIAA1429</t>
  </si>
  <si>
    <t>protein virilizer homolog isoform 1 [Homo sapiens]</t>
  </si>
  <si>
    <t xml:space="preserve">0.0309278350515464(9.27248028967824e-06) </t>
  </si>
  <si>
    <t xml:space="preserve">7 9 </t>
  </si>
  <si>
    <t xml:space="preserve">0.037037037037037(0.00314304565203969) </t>
  </si>
  <si>
    <t>PRRC2A</t>
  </si>
  <si>
    <t>protein PRRC2A [Homo sapiens]</t>
  </si>
  <si>
    <t xml:space="preserve">11 6 4 </t>
  </si>
  <si>
    <t xml:space="preserve">0(3.74641951704409e-05) </t>
  </si>
  <si>
    <t>CAMSAP3</t>
  </si>
  <si>
    <t>calmodulin-regulated spectrin-associated protein 3 isoform 1 [Homo sapiens]</t>
  </si>
  <si>
    <t xml:space="preserve">0.0206185567010309(4.99163974906663e-05) </t>
  </si>
  <si>
    <t xml:space="preserve">0.144329896907216(2.80080422975939e-05) </t>
  </si>
  <si>
    <t>VDAC3</t>
  </si>
  <si>
    <t>voltage-dependent anion-selective channel protein 3 isoform 1 [Homo sapiens]</t>
  </si>
  <si>
    <t xml:space="preserve">0.0721649484536082(0.000153381705337431) </t>
  </si>
  <si>
    <t>CDCA5</t>
  </si>
  <si>
    <t>sororin [Homo sapiens]</t>
  </si>
  <si>
    <t xml:space="preserve">0(3.90754796970299e-06) </t>
  </si>
  <si>
    <t>rho guanine nucleotide exchange factor 12 isoform 1 [Homo sapiens]</t>
  </si>
  <si>
    <t xml:space="preserve">0(1.36440680244389e-05) </t>
  </si>
  <si>
    <t xml:space="preserve">0.0103092783505155(1.9448564325676e-05) </t>
  </si>
  <si>
    <t xml:space="preserve">0.0103092783505155(9.60230956765595e-06) </t>
  </si>
  <si>
    <t>PLEKHA7</t>
  </si>
  <si>
    <t>pleckstrin homology domain-containing family A member 7 [Homo sapiens]</t>
  </si>
  <si>
    <t xml:space="preserve">0(1.51380837593991e-05) </t>
  </si>
  <si>
    <t xml:space="preserve">0.0103092783505155(0.000282942591825333) </t>
  </si>
  <si>
    <t>SFXN1</t>
  </si>
  <si>
    <t>sideroflexin-1 [Homo sapiens]</t>
  </si>
  <si>
    <t xml:space="preserve">0(5.6751747766162e-05) </t>
  </si>
  <si>
    <t>NIPSNAP1</t>
  </si>
  <si>
    <t>protein NipSnap homolog 1 isoform 1 [Homo sapiens]</t>
  </si>
  <si>
    <t xml:space="preserve">0.0206185567010309(2.17210375094546e-05) </t>
  </si>
  <si>
    <t xml:space="preserve">0.0515463917525773(0.000318702786309792) </t>
  </si>
  <si>
    <t>epidermal growth factor receptor substrate 15-like 1 [Homo sapiens]</t>
  </si>
  <si>
    <t xml:space="preserve">21 2 13 8  50 49 </t>
  </si>
  <si>
    <t xml:space="preserve">0(1.77291805583551e-05) 0(0.00258341079002484) </t>
  </si>
  <si>
    <t xml:space="preserve">0.0214285714285714 0.0666666666666667 </t>
  </si>
  <si>
    <t xml:space="preserve">0.0769230769230769(0.00111305095493775) </t>
  </si>
  <si>
    <t xml:space="preserve">0.154639175257732(9.6895755474617e-05) </t>
  </si>
  <si>
    <t xml:space="preserve">0.0412371134020619(0.000189975582765457) </t>
  </si>
  <si>
    <t>HIGD1A</t>
  </si>
  <si>
    <t>HIG1 domain family member 1A; mitochondrial isoform a [Homo sapiens]</t>
  </si>
  <si>
    <t xml:space="preserve">0(0.00011081487868306) </t>
  </si>
  <si>
    <t>PNN</t>
  </si>
  <si>
    <t>pinin [Homo sapiens]</t>
  </si>
  <si>
    <t xml:space="preserve">0(0.000943169599027284) </t>
  </si>
  <si>
    <t xml:space="preserve">0.0618556701030928(0.00023506344063639) </t>
  </si>
  <si>
    <t xml:space="preserve">0(0.00147600579419613) </t>
  </si>
  <si>
    <t xml:space="preserve">0.0515463917525773(0.00083223568592187) </t>
  </si>
  <si>
    <t>dedicator of cytokinesis protein 11 [Homo sapiens]</t>
  </si>
  <si>
    <t xml:space="preserve">4 3 19 </t>
  </si>
  <si>
    <t xml:space="preserve">0(5.98311603841688e-05) </t>
  </si>
  <si>
    <t xml:space="preserve">0.0206185567010309(2.36025297077518e-05) </t>
  </si>
  <si>
    <t>MRPS18B</t>
  </si>
  <si>
    <t>28S ribosomal protein S18b; mitochondrial [Homo sapiens]</t>
  </si>
  <si>
    <t xml:space="preserve">0(0.000810824062800708) </t>
  </si>
  <si>
    <t>SF3A2</t>
  </si>
  <si>
    <t>splicing factor 3A subunit 2 [Homo sapiens]</t>
  </si>
  <si>
    <t xml:space="preserve">0.0309278350515464(5.43181374736037e-05) </t>
  </si>
  <si>
    <t>EIF3D</t>
  </si>
  <si>
    <t>eukaryotic translation initiation factor 3 subunit D [Homo sapiens]</t>
  </si>
  <si>
    <t xml:space="preserve">0(0.000938485015050001) </t>
  </si>
  <si>
    <t xml:space="preserve">0.0927835051546392(6.79981089633885e-05) </t>
  </si>
  <si>
    <t>GATA4</t>
  </si>
  <si>
    <t>transcription factor GATA-4 [Homo sapiens]</t>
  </si>
  <si>
    <t xml:space="preserve">0.0206185567010309(8.49963453706741e-06) </t>
  </si>
  <si>
    <t>LMNB2</t>
  </si>
  <si>
    <t>lamin-B2 [Homo sapiens]</t>
  </si>
  <si>
    <t xml:space="preserve">0(2.93952505313023e-06) </t>
  </si>
  <si>
    <t>PRSS2</t>
  </si>
  <si>
    <t>trypsin-2 preproprotein [Homo sapiens]</t>
  </si>
  <si>
    <t xml:space="preserve">0(4.82061898193223e-05) </t>
  </si>
  <si>
    <t xml:space="preserve">0.0103092783505155(8.33361796888252e-06) </t>
  </si>
  <si>
    <t xml:space="preserve">0(3.3335470747973e-05) </t>
  </si>
  <si>
    <t xml:space="preserve">0(0.000126683645100135) </t>
  </si>
  <si>
    <t>SILVER</t>
  </si>
  <si>
    <t>CIRBP</t>
  </si>
  <si>
    <t>cold-inducible RNA-binding protein [Homo sapiens]</t>
  </si>
  <si>
    <t xml:space="preserve">0.0206185567010309(0.000399380369523563) </t>
  </si>
  <si>
    <t>EEF1E1</t>
  </si>
  <si>
    <t>eukaryotic translation elongation factor 1 epsilon-1 isoform 1 [Homo sapiens]</t>
  </si>
  <si>
    <t xml:space="preserve">0.0206185567010309(0.000449026451652201) </t>
  </si>
  <si>
    <t>SNRPE</t>
  </si>
  <si>
    <t>small nuclear ribonucleoprotein E [Homo sapiens]</t>
  </si>
  <si>
    <t xml:space="preserve">0.0206185567010309(0.0014381471730976) </t>
  </si>
  <si>
    <t>CBX3</t>
  </si>
  <si>
    <t>chromobox protein homolog 3 [Homo sapiens]</t>
  </si>
  <si>
    <t xml:space="preserve">0.0618556701030928(0.000137183719409787) </t>
  </si>
  <si>
    <t xml:space="preserve">0(6.18501188127948e-05) </t>
  </si>
  <si>
    <t xml:space="preserve">0.0103092783505155(7.12773651766928e-05) </t>
  </si>
  <si>
    <t xml:space="preserve">0.0309278350515464(0.000249632909371283) </t>
  </si>
  <si>
    <t xml:space="preserve">0.11340206185567(0.00140316150007619) </t>
  </si>
  <si>
    <t>SNRPF</t>
  </si>
  <si>
    <t>small nuclear ribonucleoprotein F [Homo sapiens]</t>
  </si>
  <si>
    <t xml:space="preserve">0.11340206185567(0.00176775143660862) </t>
  </si>
  <si>
    <t xml:space="preserve">5 6 2 </t>
  </si>
  <si>
    <t xml:space="preserve">0.0206185567010309(0.000314210550587819) </t>
  </si>
  <si>
    <t xml:space="preserve">0.0618556701030928(0.00140316150007619) </t>
  </si>
  <si>
    <t xml:space="preserve">0.0927835051546392(0.000279318763454362) </t>
  </si>
  <si>
    <t xml:space="preserve">0.0206185567010309(0.00176775143660862) </t>
  </si>
  <si>
    <t xml:space="preserve">0.0824742268041237(0.000126115855625186) </t>
  </si>
  <si>
    <t>PSMB6</t>
  </si>
  <si>
    <t>proteasome subunit beta type-6 isoform 1 proprotein [Homo sapiens]</t>
  </si>
  <si>
    <t xml:space="preserve">0.0412371134020619(0.000116940666951433) </t>
  </si>
  <si>
    <t xml:space="preserve">0.0206185567010309(0.000153858356733408) </t>
  </si>
  <si>
    <t xml:space="preserve">0(4.4477243922964e-05) </t>
  </si>
  <si>
    <t xml:space="preserve">0.0515463917525773(2.66774522164706e-05) </t>
  </si>
  <si>
    <t xml:space="preserve">0.0103092783505155(0.000159629485639253) </t>
  </si>
  <si>
    <t xml:space="preserve">0.0309278350515464(0.000102646512020031) </t>
  </si>
  <si>
    <t xml:space="preserve">0(1.98220279665685e-05) </t>
  </si>
  <si>
    <t xml:space="preserve">0(6.22217560125841e-05) </t>
  </si>
  <si>
    <t>EIF3G</t>
  </si>
  <si>
    <t>eukaryotic translation initiation factor 3 subunit G [Homo sapiens]</t>
  </si>
  <si>
    <t xml:space="preserve">0.0824742268041237(7.92747121729923e-05) </t>
  </si>
  <si>
    <t>PNKD</t>
  </si>
  <si>
    <t>probable hydrolase PNKD isoform 3 precursor [Homo sapiens]</t>
  </si>
  <si>
    <t xml:space="preserve">0.0824742268041237(0.00021574113301102) </t>
  </si>
  <si>
    <t xml:space="preserve">0.0206185567010309(0.000189975582765457) </t>
  </si>
  <si>
    <t xml:space="preserve">0.0103092783505155(1.29305066676671e-05) </t>
  </si>
  <si>
    <t xml:space="preserve">0.0103092783505155(0.00140316150007619) </t>
  </si>
  <si>
    <t xml:space="preserve">0.0618556701030928(7.34595426307125e-05) </t>
  </si>
  <si>
    <t xml:space="preserve">0.0515463917525773(0.000159629485639253) </t>
  </si>
  <si>
    <t xml:space="preserve">0.0515463917525773(7.88929628877744e-05) </t>
  </si>
  <si>
    <t xml:space="preserve">0.0103092783505155(3.54820356817986e-05) </t>
  </si>
  <si>
    <t xml:space="preserve">0.0721649484536082(0.00022622166757596) </t>
  </si>
  <si>
    <t xml:space="preserve">0.103092783505155(0.00147179189299075) </t>
  </si>
  <si>
    <t xml:space="preserve">0.103092783505155(0.000122423157073184) </t>
  </si>
  <si>
    <t xml:space="preserve">0.0515463917525773(8.17632161308957e-05) </t>
  </si>
  <si>
    <t xml:space="preserve">0.103092783505155(0.000116940666951433) </t>
  </si>
  <si>
    <t xml:space="preserve">0.103092783505155(7.12773651766928e-05) </t>
  </si>
  <si>
    <t xml:space="preserve">0.0412371134020619(0.000114461575751095) </t>
  </si>
  <si>
    <t xml:space="preserve">0.0618556701030928(0.000279318763454362) </t>
  </si>
  <si>
    <t xml:space="preserve">0.0309278350515464(8.00419235263505e-05) </t>
  </si>
  <si>
    <t xml:space="preserve">0.0103092783505155(0.000432472655413301) </t>
  </si>
  <si>
    <t xml:space="preserve">0.0206185567010309(2.28614577624921e-05) </t>
  </si>
  <si>
    <t xml:space="preserve">0.0206185567010309(0.000669095598960267) </t>
  </si>
  <si>
    <t xml:space="preserve">0.0618556701030928(6.72713907841224e-05) </t>
  </si>
  <si>
    <t xml:space="preserve">0.0309278350515464(8.86606790104669e-05) </t>
  </si>
  <si>
    <t xml:space="preserve">0.11340206185567(0.000126115855625186) </t>
  </si>
  <si>
    <t xml:space="preserve">0.0103092783505155(2.7364197024566e-05) </t>
  </si>
  <si>
    <t xml:space="preserve">0.0824742268041237(0.000728770142016475) </t>
  </si>
  <si>
    <t>RPS29</t>
  </si>
  <si>
    <t>40S ribosomal protein S29 isoform 1 [Homo sapiens]</t>
  </si>
  <si>
    <t xml:space="preserve">0.123711340206186(0.00712366387945606) </t>
  </si>
  <si>
    <t xml:space="preserve">0.0721649484536082(0.000153858356733408) </t>
  </si>
  <si>
    <t xml:space="preserve">0.0309278350515464(0.00135961781405901) </t>
  </si>
  <si>
    <t xml:space="preserve">0.0515463917525773(4.4477243922964e-05) </t>
  </si>
  <si>
    <t xml:space="preserve">0(5.83072469656882e-05) </t>
  </si>
  <si>
    <t xml:space="preserve">0.0515463917525773(0.00176775143660862) </t>
  </si>
  <si>
    <t xml:space="preserve">0.11340206185567(0.000357253988551284) </t>
  </si>
  <si>
    <t xml:space="preserve">0.0515463917525773(3.89845365098495e-05) </t>
  </si>
  <si>
    <t xml:space="preserve">0.0927835051546392(0.00024058337390539) </t>
  </si>
  <si>
    <t xml:space="preserve">0.103092783505155(0.00083223568592187) </t>
  </si>
  <si>
    <t xml:space="preserve">0.0103092783505155(6.72713907841224e-05) </t>
  </si>
  <si>
    <t xml:space="preserve">0.0927835051546392(0.000150063439978241) </t>
  </si>
  <si>
    <t xml:space="preserve">0.0103092783505155(0.000137183719409787) </t>
  </si>
  <si>
    <t xml:space="preserve">0(0.000669095598960267) </t>
  </si>
  <si>
    <t xml:space="preserve">0.0412371134020619(0.000187622126851862) </t>
  </si>
  <si>
    <t xml:space="preserve">0.0206185567010309(0.000206012017570679) </t>
  </si>
  <si>
    <t xml:space="preserve">0.0412371134020619(0.000357253988551284) </t>
  </si>
  <si>
    <t xml:space="preserve">0.0206185567010309(0.000344169427959143) </t>
  </si>
  <si>
    <t xml:space="preserve">0.0721649484536082(0.000144237421326498) </t>
  </si>
  <si>
    <t xml:space="preserve">0.123711340206186(0.000126115855625186) </t>
  </si>
  <si>
    <t>SAP18</t>
  </si>
  <si>
    <t>histone deacetylase complex subunit SAP18 [Homo sapiens]</t>
  </si>
  <si>
    <t xml:space="preserve">0(0.000129514157289679) </t>
  </si>
  <si>
    <t xml:space="preserve">0(7.34595426307125e-05) </t>
  </si>
  <si>
    <t xml:space="preserve">0.0309278350515464(0.000404705793916961) </t>
  </si>
  <si>
    <t>SEC61B</t>
  </si>
  <si>
    <t>protein transport protein Sec61 subunit beta [Homo sapiens]</t>
  </si>
  <si>
    <t xml:space="preserve">0.0309278350515464(0.000405727720045535) </t>
  </si>
  <si>
    <t xml:space="preserve">4 1 4 6 </t>
  </si>
  <si>
    <t xml:space="preserve">0.0103092783505155(3.65322147375528e-05) </t>
  </si>
  <si>
    <t xml:space="preserve">0.0206185567010309(0.000103042035517463) </t>
  </si>
  <si>
    <t xml:space="preserve">0.0103092783505155(0.000475488296712228) </t>
  </si>
  <si>
    <t xml:space="preserve">0.0309278350515464(1.60628504950305e-05) </t>
  </si>
  <si>
    <t xml:space="preserve">0.0309278350515464(0.000150063439978241) </t>
  </si>
  <si>
    <t xml:space="preserve">0.0412371134020619(0.000264222135409801) </t>
  </si>
  <si>
    <t xml:space="preserve">0.0206185567010309(0.000264222135409801) </t>
  </si>
  <si>
    <t xml:space="preserve">0.0515463917525773(0.000249632909371283) </t>
  </si>
  <si>
    <t xml:space="preserve">0.0515463917525773(0.000132963632746663) </t>
  </si>
  <si>
    <t xml:space="preserve">0.0206185567010309(6.85412545145738e-05) </t>
  </si>
  <si>
    <t xml:space="preserve">0.0515463917525773(7.92747121729923e-05) </t>
  </si>
  <si>
    <t xml:space="preserve">0.103092783505155(0.00749170347957278) </t>
  </si>
  <si>
    <t xml:space="preserve">0.0206185567010309(2.7364197024566e-05) </t>
  </si>
  <si>
    <t>MAX gene-associated protein isoform 1 [Homo sapiens]</t>
  </si>
  <si>
    <t xml:space="preserve">0.0309278350515464(2.80080422975939e-05) </t>
  </si>
  <si>
    <t xml:space="preserve">0(4.19238939710624e-05) </t>
  </si>
  <si>
    <t xml:space="preserve">0.0824742268041237(0.00176775143660862) </t>
  </si>
  <si>
    <t xml:space="preserve">0.0618556701030928(3.27325605001127e-05) </t>
  </si>
  <si>
    <t xml:space="preserve">0.0103092783505155(0.0035274745632974) </t>
  </si>
  <si>
    <t>CACYBP</t>
  </si>
  <si>
    <t>calcyclin-binding protein isoform 1 [Homo sapiens]</t>
  </si>
  <si>
    <t xml:space="preserve">0.0103092783505155(0.000101752933617462) </t>
  </si>
  <si>
    <t xml:space="preserve">0.0309278350515464(0.000129514157289679) </t>
  </si>
  <si>
    <t xml:space="preserve">0.0103092783505155(8.91214484608974e-05) </t>
  </si>
  <si>
    <t>ZNF24</t>
  </si>
  <si>
    <t>zinc finger protein 24 [Homo sapiens]</t>
  </si>
  <si>
    <t xml:space="preserve">0.0721649484536082(0.000107994196268213) </t>
  </si>
  <si>
    <t xml:space="preserve">0.0927835051546392(4.58243788635123e-05) </t>
  </si>
  <si>
    <t xml:space="preserve">0.0721649484536082(0.000728770142016475) </t>
  </si>
  <si>
    <t xml:space="preserve">0.0515463917525773(0.000379352094122894) </t>
  </si>
  <si>
    <t xml:space="preserve">0.103092783505155(4.76698538681221e-05) </t>
  </si>
  <si>
    <t>SH3 domain-containing kinase-binding protein 1 isoform b [Homo sapiens]</t>
  </si>
  <si>
    <t xml:space="preserve">0(2.55491790946079e-06) </t>
  </si>
  <si>
    <t xml:space="preserve">0.0309278350515464(0.000208159186062312) </t>
  </si>
  <si>
    <t xml:space="preserve">0.0515463917525773(0.000114461575751095) </t>
  </si>
  <si>
    <t xml:space="preserve">0.0206185567010309(0.000102646512020031) </t>
  </si>
  <si>
    <t xml:space="preserve">0.103092783505155(0.00022622166757596) </t>
  </si>
  <si>
    <t xml:space="preserve">0.0618556701030928(0.000405727720045535) </t>
  </si>
  <si>
    <t xml:space="preserve">0.0412371134020619(6.59330645160723e-05) </t>
  </si>
  <si>
    <t xml:space="preserve">0.0309278350515464(0.00140316150007619) </t>
  </si>
  <si>
    <t xml:space="preserve">0.0721649484536082(0.000252744737092684) </t>
  </si>
  <si>
    <t xml:space="preserve">0.0103092783505155(0.000130751354493522) </t>
  </si>
  <si>
    <t xml:space="preserve">0.0721649484536082(0.000405727720045535) </t>
  </si>
  <si>
    <t>RPS19BP1</t>
  </si>
  <si>
    <t>active regulator of SIRT1 [Homo sapiens]</t>
  </si>
  <si>
    <t xml:space="preserve">0.103092783505155(0.000522822493964363) </t>
  </si>
  <si>
    <t xml:space="preserve">0.0927835051546392(0.00168825770086655) </t>
  </si>
  <si>
    <t xml:space="preserve">0.144329896907216(9.66386875549108e-05) </t>
  </si>
  <si>
    <t>BRONZE</t>
  </si>
  <si>
    <t>COPB2</t>
  </si>
  <si>
    <t>coatomer subunit beta' [Homo sapiens]</t>
  </si>
  <si>
    <t xml:space="preserve">0(0.00111553664067439) </t>
  </si>
  <si>
    <t xml:space="preserve">0.0309278350515464(0.000354625814946836) </t>
  </si>
  <si>
    <t>PDHA1</t>
  </si>
  <si>
    <t>pyruvate dehydrogenase E1 component subunit alpha; somatic form; mitochondrial isoform 1 precursor [Homo sapiens]</t>
  </si>
  <si>
    <t xml:space="preserve">0.0740740740740741(0.00110441747879024) </t>
  </si>
  <si>
    <t xml:space="preserve">0.0618556701030928(9.05261631847665e-05) </t>
  </si>
  <si>
    <t xml:space="preserve">0.0412371134020619(6.82474110692342e-05) </t>
  </si>
  <si>
    <t xml:space="preserve">0.0206185567010309(0.00140316150007619) </t>
  </si>
  <si>
    <t xml:space="preserve">0.0103092783505155(0.000113127744061195) </t>
  </si>
  <si>
    <t xml:space="preserve">0.134020618556701(0.000572745386512212) </t>
  </si>
  <si>
    <t xml:space="preserve">0(0.000107637591392017) </t>
  </si>
  <si>
    <t xml:space="preserve">0.0618556701030928(0.000443216298424434) </t>
  </si>
  <si>
    <t xml:space="preserve">0.0927835051546392(0.000247827037217697) </t>
  </si>
  <si>
    <t>SNRNP70</t>
  </si>
  <si>
    <t>U1 small nuclear ribonucleoprotein 70 kDa [Homo sapiens]</t>
  </si>
  <si>
    <t xml:space="preserve">0.164948453608247(0.000204074804811289) </t>
  </si>
  <si>
    <t>lamin isoform A [Homo sapiens]</t>
  </si>
  <si>
    <t xml:space="preserve">32 34 </t>
  </si>
  <si>
    <t xml:space="preserve">0.0285714285714286(0.0190280288415316) </t>
  </si>
  <si>
    <t xml:space="preserve">0.0206185567010309(0.00147179189299075) </t>
  </si>
  <si>
    <t xml:space="preserve">0.0721649484536082(4.19238939710624e-05) </t>
  </si>
  <si>
    <t>epidermal growth factor receptor substrate 15-like 1 isoform 2 [Homo sapiens]</t>
  </si>
  <si>
    <t xml:space="preserve">10 2 2 </t>
  </si>
  <si>
    <t>SSR3</t>
  </si>
  <si>
    <t>translocon-associated protein subunit gamma [Homo sapiens]</t>
  </si>
  <si>
    <t xml:space="preserve">0.0769230769230769(0.00170947559120298) </t>
  </si>
  <si>
    <t xml:space="preserve">0.0721649484536082(0.000140991889549459) </t>
  </si>
  <si>
    <t xml:space="preserve">0.0103092783505155(0.000109595805522087) </t>
  </si>
  <si>
    <t xml:space="preserve">0.0309278350515464(0.00014392004100636) </t>
  </si>
  <si>
    <t xml:space="preserve">0.175257731958763(0.00083223568592187) </t>
  </si>
  <si>
    <t xml:space="preserve">0.0412371134020619(0.000153858356733408) </t>
  </si>
  <si>
    <t xml:space="preserve">0.0103092783505155(4.55051359421546e-05) </t>
  </si>
  <si>
    <t xml:space="preserve">0.0309278350515464(4.60805790946271e-05) </t>
  </si>
  <si>
    <t xml:space="preserve">0.0309278350515464(0.000329740231038817) </t>
  </si>
  <si>
    <t>ADAR</t>
  </si>
  <si>
    <t>double-stranded RNA-specific adenosine deaminase isoform a [Homo sapiens]</t>
  </si>
  <si>
    <t xml:space="preserve">0.230769230769231(0.000507080951253525) </t>
  </si>
  <si>
    <t xml:space="preserve">0.037037037037037(0.000628542662601266) </t>
  </si>
  <si>
    <t xml:space="preserve">0.0769230769230769(0.000357839847413445) </t>
  </si>
  <si>
    <t xml:space="preserve">0.153846153846154(0.00573814575171125) </t>
  </si>
  <si>
    <t xml:space="preserve">0.0412371134020619(0.000247109908363037) </t>
  </si>
  <si>
    <t xml:space="preserve">0.0740740740740741(0.0125517441643042) </t>
  </si>
  <si>
    <t xml:space="preserve">12 4 </t>
  </si>
  <si>
    <t xml:space="preserve">0.0857142857142857(0.00188397096617111) </t>
  </si>
  <si>
    <t xml:space="preserve">0.0206185567010309(0.00712366387945606) </t>
  </si>
  <si>
    <t>regulation of nuclear pre-mRNA domain-containing protein 1A [Homo sapiens]</t>
  </si>
  <si>
    <t xml:space="preserve">0.153846153846154(0.00227584574768752) </t>
  </si>
  <si>
    <t xml:space="preserve">0.0412371134020619(0.000278494578354203) </t>
  </si>
  <si>
    <t xml:space="preserve">0.0412371134020619(3.10246188922405e-05) </t>
  </si>
  <si>
    <t>putative uncharacterized protein FLJ22184 [Homo sapiens]</t>
  </si>
  <si>
    <t xml:space="preserve">0.0103092783505155(3.5436573800646e-05) </t>
  </si>
  <si>
    <t xml:space="preserve">0.103092783505155(9.04869459112906e-05) </t>
  </si>
  <si>
    <t xml:space="preserve">0.153846153846154(0.00188447181686862) </t>
  </si>
  <si>
    <t xml:space="preserve">0.0412371134020619(0.000367312148475318) </t>
  </si>
  <si>
    <t xml:space="preserve">0.0103092783505155(0.000318702786309792) </t>
  </si>
  <si>
    <t>N-chimaerin isoform 2 [Homo sapiens]</t>
  </si>
  <si>
    <t xml:space="preserve">0.0103092783505155(4.61407765846021e-05) </t>
  </si>
  <si>
    <t xml:space="preserve">0.0412371134020619(0.000247827037217697) </t>
  </si>
  <si>
    <t>rho GTPase-activating protein 6 isoform 4 [Homo sapiens]</t>
  </si>
  <si>
    <t xml:space="preserve">0.0103092783505155(1.35720807913208e-05) </t>
  </si>
  <si>
    <t>SMC1A</t>
  </si>
  <si>
    <t>structural maintenance of chromosomes protein 1A [Homo sapiens]</t>
  </si>
  <si>
    <t xml:space="preserve">0.0769230769230769(0.0008948203225048) </t>
  </si>
  <si>
    <t xml:space="preserve">0.0618556701030928(0.00173693219535626) </t>
  </si>
  <si>
    <t xml:space="preserve">0.111111111111111(0.0024114576441376) </t>
  </si>
  <si>
    <t xml:space="preserve">0.11340206185567(0.000330548253545379) </t>
  </si>
  <si>
    <t xml:space="preserve">0.111111111111111(0.00279262115036439) </t>
  </si>
  <si>
    <t xml:space="preserve">0.103092783505155(0.00712366387945606) </t>
  </si>
  <si>
    <t xml:space="preserve">0.0824742268041237(0.00712366387945606) </t>
  </si>
  <si>
    <t xml:space="preserve">0.0721649484536082(0.000572745386512212) </t>
  </si>
  <si>
    <t xml:space="preserve">8 2 </t>
  </si>
  <si>
    <t xml:space="preserve">0.0740740740740741(0.0202819317177643) </t>
  </si>
  <si>
    <t xml:space="preserve">0.0309278350515464(0.000257307770150081) </t>
  </si>
  <si>
    <t xml:space="preserve">0(0.000376410676567068) </t>
  </si>
  <si>
    <t xml:space="preserve">0.0618556701030928(6.77399360273578e-05) </t>
  </si>
  <si>
    <t xml:space="preserve">0.037037037037037(0.000957456007190776) </t>
  </si>
  <si>
    <t xml:space="preserve">0.0927835051546392(0.000384044004261899) </t>
  </si>
  <si>
    <t xml:space="preserve">0.0515463917525773(8.8965005791922e-05) </t>
  </si>
  <si>
    <t xml:space="preserve">0.185185185185185(0.0229226451810268) </t>
  </si>
  <si>
    <t xml:space="preserve">0.0618556701030928(0.000404705793916961) </t>
  </si>
  <si>
    <t xml:space="preserve">0.0103092783505155(0.000198694791126326) </t>
  </si>
  <si>
    <t xml:space="preserve">0.0103092783505155(0.000119028797224142) </t>
  </si>
  <si>
    <t xml:space="preserve">0.153846153846154(0.00243628673843587) </t>
  </si>
  <si>
    <t xml:space="preserve">0.0571428571428571(0.00140017671728463) </t>
  </si>
  <si>
    <t xml:space="preserve">0.0309278350515464(6.66644393352616e-05) </t>
  </si>
  <si>
    <t xml:space="preserve">0.103092783505155(2.80080422975939e-05) </t>
  </si>
  <si>
    <t>FKBP4</t>
  </si>
  <si>
    <t>peptidyl-prolyl cis-trans isomerase FKBP4 [Homo sapiens]</t>
  </si>
  <si>
    <t xml:space="preserve">0(0.000492789632884203) </t>
  </si>
  <si>
    <t xml:space="preserve">3 7 2 </t>
  </si>
  <si>
    <t xml:space="preserve">0.0309278350515464(0.00143437668818762) </t>
  </si>
  <si>
    <t xml:space="preserve">0.0515463917525773(0.000576626965237245) </t>
  </si>
  <si>
    <t xml:space="preserve">0.0769230769230769(0.0019717828252102) </t>
  </si>
  <si>
    <t xml:space="preserve">0.0309278350515464(0.000344169427959143) </t>
  </si>
  <si>
    <t xml:space="preserve">0.0740740740740741(0.00301476108659699) </t>
  </si>
  <si>
    <t xml:space="preserve">0.0309278350515464(5.88083868218769e-05) </t>
  </si>
  <si>
    <t xml:space="preserve">0(9.6895755474617e-05) </t>
  </si>
  <si>
    <t xml:space="preserve">0.0206185567010309(0.000100869632188892) </t>
  </si>
  <si>
    <t xml:space="preserve">0(0.000735961018948818) </t>
  </si>
  <si>
    <t xml:space="preserve">0.0515463917525773(0.00168825770086655) </t>
  </si>
  <si>
    <t xml:space="preserve">0(0.00203076630874375) </t>
  </si>
  <si>
    <t xml:space="preserve">0.0309278350515464(8.83116974114008e-05) </t>
  </si>
  <si>
    <t xml:space="preserve">0(0.00650459783389807) </t>
  </si>
  <si>
    <t xml:space="preserve">0(0.00183408435801043) </t>
  </si>
  <si>
    <t xml:space="preserve">0.153846153846154(0.00080067452129187) </t>
  </si>
  <si>
    <t xml:space="preserve">0(0.000318702786309792) </t>
  </si>
  <si>
    <t xml:space="preserve">0.037037037037037(0.00301476108659699) </t>
  </si>
  <si>
    <t xml:space="preserve">0.0412371134020619(0.000107843112145341) </t>
  </si>
  <si>
    <t xml:space="preserve">0.0412371134020619(0.000225718219650712) </t>
  </si>
  <si>
    <t xml:space="preserve">0.103092783505155(8.8965005791922e-05) </t>
  </si>
  <si>
    <t xml:space="preserve">0.0618556701030928(0.000126683645100135) </t>
  </si>
  <si>
    <t xml:space="preserve">0.0103092783505155(0.000100149497970326) </t>
  </si>
  <si>
    <t xml:space="preserve">0.0206185567010309(0.000432472655413301) </t>
  </si>
  <si>
    <t xml:space="preserve">6 7 </t>
  </si>
  <si>
    <t xml:space="preserve">0(0.000742578429941682) </t>
  </si>
  <si>
    <t xml:space="preserve">0.144329896907216(0.00712366387945606) </t>
  </si>
  <si>
    <t>LGALS3BP</t>
  </si>
  <si>
    <t>galectin-3-binding protein [Homo sapiens]</t>
  </si>
  <si>
    <t xml:space="preserve">0(0.00164602637014101) </t>
  </si>
  <si>
    <t xml:space="preserve">0.0824742268041237(0.000327353742027719) </t>
  </si>
  <si>
    <t>nuclear pore complex protein Nup93 [Homo sapiens]</t>
  </si>
  <si>
    <t xml:space="preserve">2 1  3 3 </t>
  </si>
  <si>
    <t xml:space="preserve">0.0721649484536082(0.000130751354493522) 0.0571428571428571(0.000566186351176607) </t>
  </si>
  <si>
    <t xml:space="preserve">0.128571428571429 0.206896551724138 </t>
  </si>
  <si>
    <t xml:space="preserve">0.11340206185567(0.000144109617715418) </t>
  </si>
  <si>
    <t xml:space="preserve">0.0515463917525773(3.54820356817986e-05) </t>
  </si>
  <si>
    <t xml:space="preserve">0.307692307692308(0.00692213208988457) </t>
  </si>
  <si>
    <t xml:space="preserve">0.103092783505155(0.00044607832448492) </t>
  </si>
  <si>
    <t xml:space="preserve">0.134020618556701(0.000204074804811289) </t>
  </si>
  <si>
    <t xml:space="preserve">2 14 </t>
  </si>
  <si>
    <t xml:space="preserve">0.123711340206186(0.00115781088493705) </t>
  </si>
  <si>
    <t xml:space="preserve">0.0927835051546392(0.000279025349749356) </t>
  </si>
  <si>
    <t xml:space="preserve">0.0103092783505155(0.00135961781405901) </t>
  </si>
  <si>
    <t>RBBP4</t>
  </si>
  <si>
    <t>histone-binding protein RBBP4 isoform a [Homo sapiens]</t>
  </si>
  <si>
    <t xml:space="preserve">0.0740740740740741(0.00298610143789385) </t>
  </si>
  <si>
    <t xml:space="preserve">0.103092783505155(0.000100869632188892) </t>
  </si>
  <si>
    <t xml:space="preserve">0.0103092783505155(0.00139163613621317) </t>
  </si>
  <si>
    <t xml:space="preserve">0.11340206185567(0.000572745386512212) </t>
  </si>
  <si>
    <t xml:space="preserve">0(0.000107843112145341) </t>
  </si>
  <si>
    <t>CYCS</t>
  </si>
  <si>
    <t xml:space="preserve">0.0412371134020619(0.000125873644665799) </t>
  </si>
  <si>
    <t xml:space="preserve">0(0.0012388509950985) </t>
  </si>
  <si>
    <t xml:space="preserve">0(0.0102529227491217) </t>
  </si>
  <si>
    <t xml:space="preserve">1 3  1 3 1 </t>
  </si>
  <si>
    <t xml:space="preserve">0.0721649484536082(0.000163263565999554) 0.153846153846154(0.00246818804078935) </t>
  </si>
  <si>
    <t xml:space="preserve">0.164285714285714 0.235294117647059 </t>
  </si>
  <si>
    <t xml:space="preserve">0.0769230769230769(0.00359894447170211) </t>
  </si>
  <si>
    <t xml:space="preserve">0.037037037037037(0.00242834248110971) </t>
  </si>
  <si>
    <t xml:space="preserve">0.11340206185567(6.54665022232154e-05) </t>
  </si>
  <si>
    <t xml:space="preserve">0(0.00024058337390539) </t>
  </si>
  <si>
    <t xml:space="preserve">0.0824742268041237(0.000559165738596685) </t>
  </si>
  <si>
    <t xml:space="preserve">0.0824742268041237(0.000200074630068047) </t>
  </si>
  <si>
    <t>ras-related protein Rab-6A isoform a [Homo sapiens]</t>
  </si>
  <si>
    <t xml:space="preserve">1 20 10 </t>
  </si>
  <si>
    <t xml:space="preserve">0(9.4763477259982e-08) </t>
  </si>
  <si>
    <t xml:space="preserve">0.0721649484536082(7.32673499808456e-05) </t>
  </si>
  <si>
    <t xml:space="preserve">0.0103092783505155(0.000702161048678681) </t>
  </si>
  <si>
    <t xml:space="preserve">0.0769230769230769(0.00692213208988457) </t>
  </si>
  <si>
    <t xml:space="preserve">0.103092783505155(0.000310573177826203) </t>
  </si>
  <si>
    <t xml:space="preserve">0.0740740740740741(0.00150526953521545) </t>
  </si>
  <si>
    <t>MRPS17</t>
  </si>
  <si>
    <t>28S ribosomal protein S17; mitochondrial [Homo sapiens]</t>
  </si>
  <si>
    <t xml:space="preserve">0.0309278350515464(0.000414915827806009) </t>
  </si>
  <si>
    <t xml:space="preserve">0.0309278350515464(0.000163263565999554) </t>
  </si>
  <si>
    <t xml:space="preserve">0.0412371134020619(1.36684468019071e-05) </t>
  </si>
  <si>
    <t>RBM15</t>
  </si>
  <si>
    <t>putative RNA-binding protein 15 [Homo sapiens]</t>
  </si>
  <si>
    <t xml:space="preserve">0(0.000459409952420549) </t>
  </si>
  <si>
    <t xml:space="preserve">0.144329896907216(9.6895755474617e-05) </t>
  </si>
  <si>
    <t xml:space="preserve">0.0515463917525773(4.62901558857952e-05) </t>
  </si>
  <si>
    <t xml:space="preserve">4 8 </t>
  </si>
  <si>
    <t xml:space="preserve">0.0740740740740741(0.000632036331827768) </t>
  </si>
  <si>
    <t xml:space="preserve">0.111111111111111(0.0121356392023177) </t>
  </si>
  <si>
    <t xml:space="preserve">0.0103092783505155(2.58368934857601e-05) </t>
  </si>
  <si>
    <t xml:space="preserve">0.0721649484536082(0.000330548253545379) </t>
  </si>
  <si>
    <t xml:space="preserve">0.123711340206186(0.00044607832448492) </t>
  </si>
  <si>
    <t xml:space="preserve">0.0412371134020619(0.000174701219798262) </t>
  </si>
  <si>
    <t xml:space="preserve">0.0824742268041237(0.00139163613621317) </t>
  </si>
  <si>
    <t xml:space="preserve">0.0721649484536082(9.66386875549108e-05) </t>
  </si>
  <si>
    <t xml:space="preserve">0.0618556701030928(0.00191687410813333) </t>
  </si>
  <si>
    <t xml:space="preserve">0.0412371134020619(7.12773651766928e-05) </t>
  </si>
  <si>
    <t>MCM6</t>
  </si>
  <si>
    <t>DNA replication licensing factor MCM6 [Homo sapiens]</t>
  </si>
  <si>
    <t xml:space="preserve">0.0285714285714286(0.000536775731989179) </t>
  </si>
  <si>
    <t xml:space="preserve">0.175257731958763(0.00139163613621317) </t>
  </si>
  <si>
    <t xml:space="preserve">0.0309278350515464(0.000486310869967975) </t>
  </si>
  <si>
    <t xml:space="preserve">0.0721649484536082(2.66774522164706e-05) </t>
  </si>
  <si>
    <t xml:space="preserve">0.123711340206186(0.000399380369523563) </t>
  </si>
  <si>
    <t xml:space="preserve">0.0824742268041237(7.96524325420376e-05) </t>
  </si>
  <si>
    <t xml:space="preserve">0.0515463917525773(0.00128882427936563) </t>
  </si>
  <si>
    <t xml:space="preserve">0.153846153846154(0.00116952691198791) </t>
  </si>
  <si>
    <t xml:space="preserve">0.0618556701030928(0.000140991889549459) </t>
  </si>
  <si>
    <t xml:space="preserve">0.0309278350515464(0.000279025349749356) </t>
  </si>
  <si>
    <t>BRIX1</t>
  </si>
  <si>
    <t>ribosome biogenesis protein BRX1 homolog [Homo sapiens]</t>
  </si>
  <si>
    <t xml:space="preserve">0.0769230769230769(0.00123850161437209) </t>
  </si>
  <si>
    <t>FEN1</t>
  </si>
  <si>
    <t>flap endonuclease 1 [Homo sapiens]</t>
  </si>
  <si>
    <t xml:space="preserve">0.037037037037037(0.000800363229001432) </t>
  </si>
  <si>
    <t xml:space="preserve">0.0721649484536082(0.00044607832448492) </t>
  </si>
  <si>
    <t xml:space="preserve">0.0103092783505155(6.66644393352616e-05) </t>
  </si>
  <si>
    <t xml:space="preserve">0(0.000172641133003594) </t>
  </si>
  <si>
    <t xml:space="preserve">0.0769230769230769(0.000165997444975466) </t>
  </si>
  <si>
    <t xml:space="preserve">0.0103092783505155(1.83680463914241e-05) </t>
  </si>
  <si>
    <t xml:space="preserve">0.0206185567010309(0.000559165738596685) </t>
  </si>
  <si>
    <t xml:space="preserve">0.0721649484536082(0.000559165738596685) </t>
  </si>
  <si>
    <t xml:space="preserve">0.0769230769230769(0.00120027515888768) </t>
  </si>
  <si>
    <t xml:space="preserve">0.0515463917525773(0.0035274745632974) </t>
  </si>
  <si>
    <t xml:space="preserve">0.037037037037037(0.0010319892612679) </t>
  </si>
  <si>
    <t xml:space="preserve">0(0.000324179655550149) </t>
  </si>
  <si>
    <t xml:space="preserve">0.0206185567010309(6.79981089633885e-05) </t>
  </si>
  <si>
    <t xml:space="preserve">0(0.000240176628709836) </t>
  </si>
  <si>
    <t xml:space="preserve">0.0618556701030928(0.000107843112145341) </t>
  </si>
  <si>
    <t xml:space="preserve">0.0515463917525773(0.000163263565999554) </t>
  </si>
  <si>
    <t>SMARCA5</t>
  </si>
  <si>
    <t>SWI/SNF-related matrix-associated actin-dependent regulator of chromatin subfamily A member 5 [Homo sapiens]</t>
  </si>
  <si>
    <t xml:space="preserve">0.0769230769230769(0.000673910537869634) </t>
  </si>
  <si>
    <t xml:space="preserve">0.123711340206186(0.000182219460325114) </t>
  </si>
  <si>
    <t xml:space="preserve">0.154639175257732(0.0035274745632974) </t>
  </si>
  <si>
    <t xml:space="preserve">0.0103092783505155(0.000384044004261899) </t>
  </si>
  <si>
    <t xml:space="preserve">0.0309278350515464(0.000187000742249247) </t>
  </si>
  <si>
    <t xml:space="preserve">0.103092783505155(2.66774522164706e-05) </t>
  </si>
  <si>
    <t xml:space="preserve">0(0.00712366387945606) </t>
  </si>
  <si>
    <t xml:space="preserve">0.0515463917525773(0.000114409850090524) </t>
  </si>
  <si>
    <t xml:space="preserve">0.0412371134020619(0.000627343233597417) </t>
  </si>
  <si>
    <t xml:space="preserve">0.0824742268041237(0.000279025349749356) </t>
  </si>
  <si>
    <t xml:space="preserve">0.0740740740740741(0.00314304565203969) </t>
  </si>
  <si>
    <t xml:space="preserve">0(0.00218422398330002) </t>
  </si>
  <si>
    <t xml:space="preserve">0.0515463917525773(0.00018282760660527) </t>
  </si>
  <si>
    <t xml:space="preserve">0.0618556701030928(0.000247827037217697) </t>
  </si>
  <si>
    <t xml:space="preserve">0.0412371134020619(0.00143778783098141) </t>
  </si>
  <si>
    <t xml:space="preserve">0.0206185567010309(5.83072469656882e-05) </t>
  </si>
  <si>
    <t xml:space="preserve">0.037037037037037(0.0119058625849161) </t>
  </si>
  <si>
    <t xml:space="preserve">0(0.000819291995323016) </t>
  </si>
  <si>
    <t xml:space="preserve">0(4.16923972541007e-05) </t>
  </si>
  <si>
    <t xml:space="preserve">0.0824742268041237(0.000344169427959143) </t>
  </si>
  <si>
    <t xml:space="preserve">0.0927835051546392(0.0035274745632974) </t>
  </si>
  <si>
    <t xml:space="preserve">0.037037037037037(0.00347222349601628) </t>
  </si>
  <si>
    <t xml:space="preserve">0.037037037037037(0.0059947552109209) </t>
  </si>
  <si>
    <t xml:space="preserve">0(2.80080422975939e-05) </t>
  </si>
  <si>
    <t xml:space="preserve">0.0206185567010309(0.00143437668818762) </t>
  </si>
  <si>
    <t xml:space="preserve">0.0206185567010309(5.10466045838995e-05) </t>
  </si>
  <si>
    <t xml:space="preserve">0.0515463917525773(0.000354625814946836) </t>
  </si>
  <si>
    <t xml:space="preserve">0(0.00227584574768752) </t>
  </si>
  <si>
    <t xml:space="preserve">0.0515463917525773(0.000200074630068047) </t>
  </si>
  <si>
    <t xml:space="preserve">0.0857142857142857(0.0138371857062742) </t>
  </si>
  <si>
    <t xml:space="preserve">0.0103092783505155(4.19238939710624e-05) </t>
  </si>
  <si>
    <t xml:space="preserve">0.0515463917525773(0.000796058357820977) </t>
  </si>
  <si>
    <t xml:space="preserve">0.0103092783505155(1.36684468019071e-05) </t>
  </si>
  <si>
    <t xml:space="preserve">0.0206185567010309(0.000247827037217697) </t>
  </si>
  <si>
    <t xml:space="preserve">0.0412371134020619(0.000621176905274126) </t>
  </si>
  <si>
    <t xml:space="preserve">0.0206185567010309(0.000587410690180838) </t>
  </si>
  <si>
    <t>PAK4</t>
  </si>
  <si>
    <t>serine/threonine-protein kinase PAK 4 isoform 1 [Homo sapiens]</t>
  </si>
  <si>
    <t xml:space="preserve">0.0103092783505155(0.000699886096430893) </t>
  </si>
  <si>
    <t xml:space="preserve">0(0.00176775143660862) </t>
  </si>
  <si>
    <t xml:space="preserve">0.114285714285714(0.00505673641831349) </t>
  </si>
  <si>
    <t>plectin isoform 1e [Homo sapiens]</t>
  </si>
  <si>
    <t xml:space="preserve">3  11 </t>
  </si>
  <si>
    <t xml:space="preserve">0.0515463917525773(3.54820356817986e-05) 0.0769230769230769(0.0010104208497385) </t>
  </si>
  <si>
    <t xml:space="preserve">0.0714285714285714 0.176470588235294 </t>
  </si>
  <si>
    <t xml:space="preserve">0.0309278350515464(1.88470309272839e-05) </t>
  </si>
  <si>
    <t xml:space="preserve">0.0103092783505155(8.11708550352793e-05) </t>
  </si>
  <si>
    <t xml:space="preserve">0(0.0010268787453816) </t>
  </si>
  <si>
    <t xml:space="preserve">0.0412371134020619(0.000572745386512212) </t>
  </si>
  <si>
    <t xml:space="preserve">0.0618556701030928(0.0035274745632974) </t>
  </si>
  <si>
    <t xml:space="preserve">0.0515463917525773(0.000367312148475318) </t>
  </si>
  <si>
    <t xml:space="preserve">0.0103092783505155(0.000976610590307932) </t>
  </si>
  <si>
    <t xml:space="preserve">0.0824742268041237(0.00191687410813333) </t>
  </si>
  <si>
    <t xml:space="preserve">0.0824742268041237(3.01219495007159e-05) </t>
  </si>
  <si>
    <t xml:space="preserve">0.0824742268041237(0.000974459840561397) </t>
  </si>
  <si>
    <t xml:space="preserve">0.0927835051546392(8.11708550352793e-05) </t>
  </si>
  <si>
    <t xml:space="preserve">0.037037037037037(0.00204276575456334) </t>
  </si>
  <si>
    <t xml:space="preserve">0.0740740740740741(0.000700265639297553) </t>
  </si>
  <si>
    <t xml:space="preserve">0.0309278350515464(6.79981089633885e-05) </t>
  </si>
  <si>
    <t xml:space="preserve">0.0309278350515464(4.99163974906663e-05) </t>
  </si>
  <si>
    <t xml:space="preserve">0.037037037037037(0.00052361481336437) </t>
  </si>
  <si>
    <t>ZNF326</t>
  </si>
  <si>
    <t>zinc finger protein 326 isoform 1 [Homo sapiens]</t>
  </si>
  <si>
    <t xml:space="preserve">0.0285714285714286(0.00133316770096639) </t>
  </si>
  <si>
    <t>COPG1</t>
  </si>
  <si>
    <t>coatomer subunit gamma-1 [Homo sapiens]</t>
  </si>
  <si>
    <t xml:space="preserve">0.0769230769230769(0.0015524816013195) </t>
  </si>
  <si>
    <t xml:space="preserve">0.0721649484536082(0.000344037301098341) </t>
  </si>
  <si>
    <t xml:space="preserve">0.0412371134020619(1.83158127375963e-05) </t>
  </si>
  <si>
    <t>CSE1L</t>
  </si>
  <si>
    <t>exportin-2 isoform 1 [Homo sapiens]</t>
  </si>
  <si>
    <t xml:space="preserve">0.0769230769230769(0.00208600277074388) </t>
  </si>
  <si>
    <t xml:space="preserve">0.0206185567010309(0.00016043168019584) </t>
  </si>
  <si>
    <t xml:space="preserve">0.0857142857142857(0.000936111718664968) </t>
  </si>
  <si>
    <t>C19orf70</t>
  </si>
  <si>
    <t>protein QIL1 precursor [Homo sapiens]</t>
  </si>
  <si>
    <t xml:space="preserve">0(0.00169176167512678) </t>
  </si>
  <si>
    <t xml:space="preserve">0.0412371134020619(0.000404705793916961) </t>
  </si>
  <si>
    <t xml:space="preserve">0.154639175257732(0.000232465926521036) </t>
  </si>
  <si>
    <t xml:space="preserve">17 14 </t>
  </si>
  <si>
    <t xml:space="preserve">0(0.0164519673536047) </t>
  </si>
  <si>
    <t xml:space="preserve">0.0206185567010309(0.000327195141136598) </t>
  </si>
  <si>
    <t xml:space="preserve">0.0515463917525773(0.00152998555562969) </t>
  </si>
  <si>
    <t xml:space="preserve">0.0309278350515464(4.61407765846021e-05) </t>
  </si>
  <si>
    <t xml:space="preserve">0.0412371134020619(5.70606345358766e-05) </t>
  </si>
  <si>
    <t xml:space="preserve">0.0515463917525773(6.6908700691175e-05) </t>
  </si>
  <si>
    <t xml:space="preserve">0.0309278350515464(0.00085361757930311) </t>
  </si>
  <si>
    <t xml:space="preserve">0.0515463917525773(5.88083868218769e-05) </t>
  </si>
  <si>
    <t xml:space="preserve">0.111111111111111(0.0119058625849161) </t>
  </si>
  <si>
    <t xml:space="preserve">0.0618556701030928(0.00143437668818762) </t>
  </si>
  <si>
    <t xml:space="preserve">0.123711340206186(9.66386875549108e-05) </t>
  </si>
  <si>
    <t xml:space="preserve">0.0206185567010309(8.51179233429378e-06) </t>
  </si>
  <si>
    <t xml:space="preserve">0.0618556701030928(0.000384044004261899) </t>
  </si>
  <si>
    <t xml:space="preserve">0(0.00283019134894172) </t>
  </si>
  <si>
    <t xml:space="preserve">0.0206185567010309(0.000384146051442996) </t>
  </si>
  <si>
    <t xml:space="preserve">0.0721649484536082(0.00099014381712763) </t>
  </si>
  <si>
    <t xml:space="preserve">9 4 </t>
  </si>
  <si>
    <t xml:space="preserve">0(0.00136550800624609) </t>
  </si>
  <si>
    <t xml:space="preserve">0.154639175257732(0.0014381471730976) </t>
  </si>
  <si>
    <t xml:space="preserve">0.153846153846154(0.00205309553026882) </t>
  </si>
  <si>
    <t>NASP</t>
  </si>
  <si>
    <t>nuclear autoantigenic sperm protein isoform 2 [Homo sapiens]</t>
  </si>
  <si>
    <t xml:space="preserve">0.037037037037037(0.000832515183654703) </t>
  </si>
  <si>
    <t xml:space="preserve">0.0309278350515464(3.99099769107668e-05) </t>
  </si>
  <si>
    <t xml:space="preserve">9 8 </t>
  </si>
  <si>
    <t xml:space="preserve">0.037037037037037(0.00140199274996468) </t>
  </si>
  <si>
    <t>drebrin-like protein isoform a [Homo sapiens]</t>
  </si>
  <si>
    <t xml:space="preserve">0.0206185567010309(0.00010473603073153) </t>
  </si>
  <si>
    <t xml:space="preserve">0.0285714285714286(0.00117781610780692) </t>
  </si>
  <si>
    <t>catenin delta-1 isoform 1A [Homo sapiens]</t>
  </si>
  <si>
    <t xml:space="preserve">0.153846153846154(0.000475545791726029) </t>
  </si>
  <si>
    <t xml:space="preserve">0.0721649484536082(0.00218422398330002) </t>
  </si>
  <si>
    <t xml:space="preserve">0.037037037037037(0.00516890053021956) </t>
  </si>
  <si>
    <t xml:space="preserve">0.0721649484536082(0.000773779638131638) </t>
  </si>
  <si>
    <t xml:space="preserve">0.0412371134020619(0.000476994199496342) </t>
  </si>
  <si>
    <t xml:space="preserve">0.0824742268041237(0.000827328692875544) </t>
  </si>
  <si>
    <t xml:space="preserve">0(0.00186008021085488) </t>
  </si>
  <si>
    <t>EPPK1</t>
  </si>
  <si>
    <t>epiplakin [Homo sapiens]</t>
  </si>
  <si>
    <t xml:space="preserve">0(2.70418757125038e-05) </t>
  </si>
  <si>
    <t xml:space="preserve">0(0.0011488916438041) </t>
  </si>
  <si>
    <t xml:space="preserve">0.134020618556701(0.000414915827806009) </t>
  </si>
  <si>
    <t xml:space="preserve">0.164948453608247(0.00115781088493705) </t>
  </si>
  <si>
    <t>SRA stem-loop-interacting RNA-binding protein; mitochondrial precursor [Homo sapiens]</t>
  </si>
  <si>
    <t xml:space="preserve">0.0740740740740741(0.000693542074965964) </t>
  </si>
  <si>
    <t xml:space="preserve">0.0515463917525773(0.000187000742249247) </t>
  </si>
  <si>
    <t xml:space="preserve">0.230769230769231(0.00544752354869725) </t>
  </si>
  <si>
    <t xml:space="preserve">0.0927835051546392(7.5333819208733e-05) </t>
  </si>
  <si>
    <t xml:space="preserve">0.134020618556701(5.83072469656882e-05) </t>
  </si>
  <si>
    <t xml:space="preserve">0.0927835051546392(0.000702161048678681) </t>
  </si>
  <si>
    <t xml:space="preserve">0.153846153846154(0.00139269670298892) </t>
  </si>
  <si>
    <t xml:space="preserve">0(0.00120027515888768) </t>
  </si>
  <si>
    <t xml:space="preserve">0(5.88083868218769e-05) </t>
  </si>
  <si>
    <t>SURF6</t>
  </si>
  <si>
    <t>surfeit locus protein 6 [Homo sapiens]</t>
  </si>
  <si>
    <t xml:space="preserve">17 16 </t>
  </si>
  <si>
    <t xml:space="preserve">0.0285714285714286(0.0264747719511052) </t>
  </si>
  <si>
    <t xml:space="preserve">1 2  5 4 </t>
  </si>
  <si>
    <t xml:space="preserve">0.0824742268041237(0.000502496235711927) 0.111111111111111(0.0130511240428332) </t>
  </si>
  <si>
    <t xml:space="preserve">0.2 0.333333333333333 </t>
  </si>
  <si>
    <t xml:space="preserve">0(0.00243628673843587) </t>
  </si>
  <si>
    <t xml:space="preserve">0.103092783505155(0.000182219460325114) </t>
  </si>
  <si>
    <t xml:space="preserve">0(0.000144109617715418) </t>
  </si>
  <si>
    <t xml:space="preserve">0.0824742268041237(8.03760610565509e-05) </t>
  </si>
  <si>
    <t xml:space="preserve">0.0571428571428571(0.000400374592167764) </t>
  </si>
  <si>
    <t xml:space="preserve">0.0103092783505155(0.000443216298424434) </t>
  </si>
  <si>
    <t>nuclear speckle splicing regulatory protein 1 isoform 2 [Homo sapiens]</t>
  </si>
  <si>
    <t xml:space="preserve">0.148148148148148(0.00164602637014101) </t>
  </si>
  <si>
    <t xml:space="preserve">7 1 </t>
  </si>
  <si>
    <t xml:space="preserve">0.0206185567010309(0.00541285170281425) </t>
  </si>
  <si>
    <t xml:space="preserve">0.0740740740740741(0.00451435017854376) </t>
  </si>
  <si>
    <t xml:space="preserve">0.0412371134020619(2.07616891352271e-05) </t>
  </si>
  <si>
    <t xml:space="preserve">0.0769230769230769(0.00171705479103774) </t>
  </si>
  <si>
    <t xml:space="preserve">0.0206185567010309(0.000414915827806009) </t>
  </si>
  <si>
    <t xml:space="preserve">0.0412371134020619(6.54665022232154e-05) </t>
  </si>
  <si>
    <t xml:space="preserve">16 10 </t>
  </si>
  <si>
    <t xml:space="preserve">0.2(0.0264747719511052) </t>
  </si>
  <si>
    <t xml:space="preserve">0.0721649484536082(0.000976610590307932) </t>
  </si>
  <si>
    <t xml:space="preserve">0.0618556701030928(0.000357253988551284) </t>
  </si>
  <si>
    <t xml:space="preserve">0.103092783505155(0.000559165738596685) </t>
  </si>
  <si>
    <t>exportin-2 [Homo sapiens]</t>
  </si>
  <si>
    <t xml:space="preserve">3 8 </t>
  </si>
  <si>
    <t xml:space="preserve">0.037037037037037(0.0070272277400581) </t>
  </si>
  <si>
    <t>plectin isoform 1c [Homo sapiens]</t>
  </si>
  <si>
    <t xml:space="preserve">0(0.0010104208497385) </t>
  </si>
  <si>
    <t xml:space="preserve">0.0309278350515464(0.000159629485639253) </t>
  </si>
  <si>
    <t xml:space="preserve">0.0103092783505155(0.000207492682486072) </t>
  </si>
  <si>
    <t xml:space="preserve">0.0412371134020619(0.00099014381712763) </t>
  </si>
  <si>
    <t xml:space="preserve">0.0309278350515464(0.00115781088493705) </t>
  </si>
  <si>
    <t xml:space="preserve">0.0412371134020619(3.54820356817986e-05) </t>
  </si>
  <si>
    <t xml:space="preserve">0.0103092783505155(1.96500036082856e-05) </t>
  </si>
  <si>
    <t xml:space="preserve">0.0309278350515464(0.000206012017570679) </t>
  </si>
  <si>
    <t xml:space="preserve">0.0206185567010309(1.12365537338379e-05) </t>
  </si>
  <si>
    <t xml:space="preserve">0.0309278350515464(0.000627343233597417) </t>
  </si>
  <si>
    <t xml:space="preserve">0.0309278350515464(8.11708550352793e-05) </t>
  </si>
  <si>
    <t xml:space="preserve">0.0769230769230769(0.000819291995323016) </t>
  </si>
  <si>
    <t xml:space="preserve">0.0412371134020619(0.000130751354493522) </t>
  </si>
  <si>
    <t xml:space="preserve">0.0740740740740741(0.00220297419342903) </t>
  </si>
  <si>
    <t xml:space="preserve">8 20 </t>
  </si>
  <si>
    <t xml:space="preserve">0.171428571428571(0.0164519673536047) </t>
  </si>
  <si>
    <t xml:space="preserve">0.0927835051546392(4.99163974906663e-05) </t>
  </si>
  <si>
    <t xml:space="preserve">0.144329896907216(0.000432472655413301) </t>
  </si>
  <si>
    <t xml:space="preserve">0.0103092783505155(0.000204074804811289) </t>
  </si>
  <si>
    <t xml:space="preserve">0(0.000384044004261899) </t>
  </si>
  <si>
    <t xml:space="preserve">0.0206185567010309(0.000232465926521036) </t>
  </si>
  <si>
    <t xml:space="preserve">0.0515463917525773(2.7364197024566e-05) </t>
  </si>
  <si>
    <t xml:space="preserve">0.153846153846154(0.00310559395609361) </t>
  </si>
  <si>
    <t xml:space="preserve">0.0103092783505155(0.000247827037217697) </t>
  </si>
  <si>
    <t xml:space="preserve">0.0309278350515464(4.33087946324811e-05) </t>
  </si>
  <si>
    <t>AGK</t>
  </si>
  <si>
    <t>acylglycerol kinase; mitochondrial precursor [Homo sapiens]</t>
  </si>
  <si>
    <t xml:space="preserve">0.0103092783505155(4.27058862392122e-05) </t>
  </si>
  <si>
    <t xml:space="preserve">0.0618556701030928(9.28285860989853e-05) </t>
  </si>
  <si>
    <t xml:space="preserve">0.0206185567010309(0.000310573177826203) </t>
  </si>
  <si>
    <t xml:space="preserve">0.0571428571428571(0.0138371857062742) </t>
  </si>
  <si>
    <t xml:space="preserve">0(0.00216614352138907) </t>
  </si>
  <si>
    <t xml:space="preserve">7 22 </t>
  </si>
  <si>
    <t>NHP2</t>
  </si>
  <si>
    <t>H/ACA ribonucleoprotein complex subunit 2 isoform a [Homo sapiens]</t>
  </si>
  <si>
    <t xml:space="preserve">0.153846153846154(0.00473522485956642) </t>
  </si>
  <si>
    <t xml:space="preserve">0.0412371134020619(0.00173693219535626) </t>
  </si>
  <si>
    <t xml:space="preserve">0.0927835051546392(0.000225718219650712) </t>
  </si>
  <si>
    <t xml:space="preserve">0(0.00505673641831349) </t>
  </si>
  <si>
    <t xml:space="preserve">0.0927835051546392(0.000404705793916961) </t>
  </si>
  <si>
    <t xml:space="preserve">0.154639175257732(0.000204074804811289) </t>
  </si>
  <si>
    <t xml:space="preserve">0(0.000790506058678491) </t>
  </si>
  <si>
    <t xml:space="preserve">0.0618556701030928(0.000627343233597417) </t>
  </si>
  <si>
    <t xml:space="preserve">0.0412371134020619(0.000173881749594419) </t>
  </si>
  <si>
    <t>HDAC2</t>
  </si>
  <si>
    <t>histone deacetylase 2 [Homo sapiens]</t>
  </si>
  <si>
    <t xml:space="preserve">0.0412371134020619(9.78551871680469e-05) </t>
  </si>
  <si>
    <t xml:space="preserve">0.0412371134020619(0.000379352094122894) </t>
  </si>
  <si>
    <t xml:space="preserve">0.0769230769230769(0.00183408435801043) </t>
  </si>
  <si>
    <t xml:space="preserve">0.0206185567010309(0.000172641133003594) </t>
  </si>
  <si>
    <t xml:space="preserve">0.0740740740740741(0.000722306412216602) </t>
  </si>
  <si>
    <t xml:space="preserve">0.0285714285714286(0.000522065770398886) </t>
  </si>
  <si>
    <t xml:space="preserve">0.0769230769230769(0.00717178783700439) </t>
  </si>
  <si>
    <t xml:space="preserve">0.0769230769230769(0.000380815094461502) </t>
  </si>
  <si>
    <t xml:space="preserve">0.0769230769230769(0.00132888120187092) </t>
  </si>
  <si>
    <t>rho GTPase-activating protein 24 isoform 3 [Homo sapiens]</t>
  </si>
  <si>
    <t xml:space="preserve">0.0206185567010309(5.04249243552401e-05) </t>
  </si>
  <si>
    <t xml:space="preserve">0.0515463917525773(0.000976610590307932) </t>
  </si>
  <si>
    <t>CAND1</t>
  </si>
  <si>
    <t>cullin-associated NEDD8-dissociated protein 1 [Homo sapiens]</t>
  </si>
  <si>
    <t xml:space="preserve">0.037037037037037(0.000894000026085316) </t>
  </si>
  <si>
    <t xml:space="preserve">0.0309278350515464(0.000100149497970326) </t>
  </si>
  <si>
    <t xml:space="preserve">0(0.000627343233597417) </t>
  </si>
  <si>
    <t xml:space="preserve">0(0.000149637238695841) </t>
  </si>
  <si>
    <t xml:space="preserve">0.103092783505155(0.000327195141136598) </t>
  </si>
  <si>
    <t xml:space="preserve">0.0103092783505155(0.00083223568592187) </t>
  </si>
  <si>
    <t xml:space="preserve">0.0769230769230769(0.00159056618469248) </t>
  </si>
  <si>
    <t>LONP1</t>
  </si>
  <si>
    <t>lon protease homolog; mitochondrial [Homo sapiens]</t>
  </si>
  <si>
    <t xml:space="preserve">0(0.000717258721794388) </t>
  </si>
  <si>
    <t xml:space="preserve">0.142857142857143(0.00322295572161229) </t>
  </si>
  <si>
    <t xml:space="preserve">0.0721649484536082(0.000100869632188892) </t>
  </si>
  <si>
    <t xml:space="preserve">0.111111111111111(0.0029029564561461) </t>
  </si>
  <si>
    <t xml:space="preserve">0.0206185567010309(0.000187000742249247) </t>
  </si>
  <si>
    <t xml:space="preserve">0.153846153846154(0.0008948203225048) </t>
  </si>
  <si>
    <t>pyrroline-5-carboxylate reductase 1; mitochondrial isoform 2 [Homo sapiens]</t>
  </si>
  <si>
    <t xml:space="preserve">0(0.000717313813456068) </t>
  </si>
  <si>
    <t xml:space="preserve">0.134020618556701(0.000232465926521036) </t>
  </si>
  <si>
    <t xml:space="preserve">0.0721649484536082(0.0035274745632974) </t>
  </si>
  <si>
    <t xml:space="preserve">0.175257731958763(0.000432472655413301) </t>
  </si>
  <si>
    <t>DBIRD complex subunit ZNF326 isoform 1 [Homo sapiens]</t>
  </si>
  <si>
    <t xml:space="preserve">0.153846153846154(0.00144941955846764) </t>
  </si>
  <si>
    <t xml:space="preserve">0.0515463917525773(7.43763817133508e-05) </t>
  </si>
  <si>
    <t xml:space="preserve">0.0721649484536082(3.10246188922405e-05) </t>
  </si>
  <si>
    <t xml:space="preserve">0.0103092783505155(0.00024058337390539) </t>
  </si>
  <si>
    <t xml:space="preserve">0.0721649484536082(5.43181374736037e-05) </t>
  </si>
  <si>
    <t xml:space="preserve">0(0.0072623455613506) </t>
  </si>
  <si>
    <t xml:space="preserve">0.0824742268041237(0.000486310869967975) </t>
  </si>
  <si>
    <t>BTF3</t>
  </si>
  <si>
    <t>transcription factor BTF3 isoform B [Homo sapiens]</t>
  </si>
  <si>
    <t xml:space="preserve">0.037037037037037(0.000164559987518359) </t>
  </si>
  <si>
    <t xml:space="preserve">0.0721649484536082(0.000107935301704747) </t>
  </si>
  <si>
    <t>KIAA0368</t>
  </si>
  <si>
    <t>proteasome-associated protein ECM29 homolog [Homo sapiens]</t>
  </si>
  <si>
    <t xml:space="preserve">0.0571428571428571(6.54350930096821e-05) </t>
  </si>
  <si>
    <t xml:space="preserve">0.0515463917525773(0.000278494578354203) </t>
  </si>
  <si>
    <t xml:space="preserve">0.0515463917525773(0.00712366387945606) </t>
  </si>
  <si>
    <t xml:space="preserve">3  3 3 </t>
  </si>
  <si>
    <t xml:space="preserve">0.0103092783505155(0.000113869348764567) 0(0.00108116576244512) </t>
  </si>
  <si>
    <t xml:space="preserve">0.1 0.344827586206897 </t>
  </si>
  <si>
    <t xml:space="preserve">0.0412371134020619(0.00168825770086655) </t>
  </si>
  <si>
    <t xml:space="preserve">0.0515463917525773(0.00115781088493705) </t>
  </si>
  <si>
    <t xml:space="preserve">0.0515463917525773(0.000174701219798262) </t>
  </si>
  <si>
    <t xml:space="preserve">0.0927835051546392(0.000182219460325114) </t>
  </si>
  <si>
    <t xml:space="preserve">0.0740740740740741(0.000773943416186899) </t>
  </si>
  <si>
    <t xml:space="preserve">0.134020618556701(6.98198289910402e-05) </t>
  </si>
  <si>
    <t xml:space="preserve">0.11340206185567(4.58243788635123e-05) </t>
  </si>
  <si>
    <t xml:space="preserve">0.185567010309278(0.00115781088493705) </t>
  </si>
  <si>
    <t xml:space="preserve">0.0927835051546392(0.00115781088493705) </t>
  </si>
  <si>
    <t xml:space="preserve">0.0927835051546392(0.000773779638131638) </t>
  </si>
  <si>
    <t xml:space="preserve">0.0927835051546392(0.00749170347957278) </t>
  </si>
  <si>
    <t>rho guanine nucleotide exchange factor 7 isoform b [Homo sapiens]</t>
  </si>
  <si>
    <t xml:space="preserve">0.0206185567010309(0.000123195193204167) </t>
  </si>
  <si>
    <t xml:space="preserve">0.0206185567010309(0.000109595805522087) </t>
  </si>
  <si>
    <t xml:space="preserve">0.0309278350515464(9.78551871680469e-05) </t>
  </si>
  <si>
    <t>EPB41L2</t>
  </si>
  <si>
    <t>band 4.1-like protein 2 isoform a [Homo sapiens]</t>
  </si>
  <si>
    <t xml:space="preserve">0(0.000206957424023875) </t>
  </si>
  <si>
    <t xml:space="preserve">0.037037037037037(0.00279262115036439) </t>
  </si>
  <si>
    <t xml:space="preserve">0.142857142857143(0.000322179978244491) </t>
  </si>
  <si>
    <t xml:space="preserve">0.0824742268041237(0.000621176905274126) </t>
  </si>
  <si>
    <t xml:space="preserve">0.0721649484536082(0.00152998555562969) </t>
  </si>
  <si>
    <t xml:space="preserve">0.0103092783505155(5.98311603841688e-05) </t>
  </si>
  <si>
    <t>calmodulin-regulated spectrin-associated protein 3 isoform 2 [Homo sapiens]</t>
  </si>
  <si>
    <t xml:space="preserve">0.0103092783505155(4.99163974906663e-05) </t>
  </si>
  <si>
    <t xml:space="preserve">0.0927835051546392(0.0014381471730976) </t>
  </si>
  <si>
    <t xml:space="preserve">7 8 </t>
  </si>
  <si>
    <t xml:space="preserve">0(0.000502496235711927) </t>
  </si>
  <si>
    <t xml:space="preserve">0.0927835051546392(0.000108818030216946) </t>
  </si>
  <si>
    <t xml:space="preserve">0.0769230769230769(0.00161694124834663) </t>
  </si>
  <si>
    <t xml:space="preserve">0.0721649484536082(5.83072469656882e-05) </t>
  </si>
  <si>
    <t xml:space="preserve">0.153846153846154(0.00599158887704395) </t>
  </si>
  <si>
    <t xml:space="preserve">0.0206185567010309(1.96500036082856e-05) </t>
  </si>
  <si>
    <t xml:space="preserve">0.0309278350515464(0.000114461575751095) </t>
  </si>
  <si>
    <t>S-phase kinase-associated protein 1 isoform a [Homo sapiens]</t>
  </si>
  <si>
    <t xml:space="preserve">0.0103092783505155(0.000117564916809236) </t>
  </si>
  <si>
    <t xml:space="preserve">0.134020618556701(0.00018282760660527) </t>
  </si>
  <si>
    <t xml:space="preserve">0(0.000700265639297553) </t>
  </si>
  <si>
    <t xml:space="preserve">0.123711340206186(0.00083223568592187) </t>
  </si>
  <si>
    <t>peroxiredoxin-4 [Homo sapiens]</t>
  </si>
  <si>
    <t xml:space="preserve">1 1  5 8 </t>
  </si>
  <si>
    <t xml:space="preserve">0.103092783505155(0.000702161048678681) 0.037037037037037(0.0125394870939157) </t>
  </si>
  <si>
    <t xml:space="preserve">0.178571428571429 0.6 </t>
  </si>
  <si>
    <t xml:space="preserve">0.0769230769230769(0.00205309553026882) </t>
  </si>
  <si>
    <t xml:space="preserve">0(0.00123850161437209) </t>
  </si>
  <si>
    <t xml:space="preserve">0.103092783505155(0.000193215502169819) </t>
  </si>
  <si>
    <t xml:space="preserve">0.206185567010309(0.000502496235711927) </t>
  </si>
  <si>
    <t xml:space="preserve">0.0515463917525773(0.000399380369523563) </t>
  </si>
  <si>
    <t>cellular tumor antigen p53 isoform a [Homo sapiens]</t>
  </si>
  <si>
    <t xml:space="preserve">0.0824742268041237(5.42383280552117e-05) </t>
  </si>
  <si>
    <t xml:space="preserve">0.154639175257732(0.000432472655413301) </t>
  </si>
  <si>
    <t xml:space="preserve">0.0769230769230769(0.00573814575171125) </t>
  </si>
  <si>
    <t xml:space="preserve">0.0103092783505155(6.20037914133487e-06) </t>
  </si>
  <si>
    <t xml:space="preserve">0.134020618556701(0.000345245911346869) </t>
  </si>
  <si>
    <t xml:space="preserve">0.0515463917525773(9.04869459112906e-05) </t>
  </si>
  <si>
    <t>proteasome subunit beta type-6 precursor [Homo sapiens]</t>
  </si>
  <si>
    <t xml:space="preserve">0.111111111111111(0.00440253815197954) </t>
  </si>
  <si>
    <t xml:space="preserve">0.0206185567010309(8.83116974114008e-05) </t>
  </si>
  <si>
    <t>TCEB2</t>
  </si>
  <si>
    <t>transcription elongation factor B polypeptide 2 isoform a [Homo sapiens]</t>
  </si>
  <si>
    <t xml:space="preserve">0.0740740740740741(0.00286781665474209) </t>
  </si>
  <si>
    <t xml:space="preserve">0.037037037037037(0.00165023873508356) </t>
  </si>
  <si>
    <t xml:space="preserve">0.0618556701030928(0.000105303302039721) </t>
  </si>
  <si>
    <t xml:space="preserve">0.0927835051546392(0.000502496235711927) </t>
  </si>
  <si>
    <t xml:space="preserve">0.0769230769230769(0.00999175832188972) </t>
  </si>
  <si>
    <t xml:space="preserve">0.0927835051546392(5.33210246022589e-05) </t>
  </si>
  <si>
    <t xml:space="preserve">0.148148148148148(0.0130511240428332) </t>
  </si>
  <si>
    <t xml:space="preserve">0.0740740740740741(0.00480975086661653) </t>
  </si>
  <si>
    <t xml:space="preserve">0.0618556701030928(0.00143778783098141) </t>
  </si>
  <si>
    <t xml:space="preserve">0.0618556701030928(0.000310573177826203) </t>
  </si>
  <si>
    <t>CDC42BPA</t>
  </si>
  <si>
    <t>serine/threonine-protein kinase MRCK alpha isoform B [Homo sapiens]</t>
  </si>
  <si>
    <t xml:space="preserve">0(4.25093198077162e-06) </t>
  </si>
  <si>
    <t xml:space="preserve">0(0.000526470234401582) </t>
  </si>
  <si>
    <t xml:space="preserve">0(0.000521787575316924) </t>
  </si>
  <si>
    <t xml:space="preserve">0(2.31283858823043e-05) </t>
  </si>
  <si>
    <t xml:space="preserve">0.0927835051546392(0.000105303302039721) </t>
  </si>
  <si>
    <t xml:space="preserve">0.0309278350515464(0.0188095947773287) </t>
  </si>
  <si>
    <t>NDUFA4</t>
  </si>
  <si>
    <t>NADH dehydrogenase [ubiquinone] 1 alpha subcomplex subunit 4 [Homo sapiens]</t>
  </si>
  <si>
    <t xml:space="preserve">0(0.00808480767436922) </t>
  </si>
  <si>
    <t xml:space="preserve">0(0.000487499590526842) </t>
  </si>
  <si>
    <t xml:space="preserve">0.11340206185567(0.000233944087541483) </t>
  </si>
  <si>
    <t xml:space="preserve">0.0103092783505155(0.000200074630068047) </t>
  </si>
  <si>
    <t xml:space="preserve">0.0618556701030928(6.98198289910402e-05) </t>
  </si>
  <si>
    <t>putative RNA-binding protein 15 isoform 1 [Homo sapiens]</t>
  </si>
  <si>
    <t xml:space="preserve">0.0769230769230769(0.00128083415533861) </t>
  </si>
  <si>
    <t xml:space="preserve">0.0412371134020619(0.000141206367772336) </t>
  </si>
  <si>
    <t xml:space="preserve">0.0824742268041237(0.000404705793916961) </t>
  </si>
  <si>
    <t xml:space="preserve">0.11340206185567(2.66774522164706e-05) </t>
  </si>
  <si>
    <t xml:space="preserve">0.11340206185567(0.000153858356733408) </t>
  </si>
  <si>
    <t xml:space="preserve">0.0103092783505155(6.98198289910402e-05) </t>
  </si>
  <si>
    <t xml:space="preserve">0(0.00119226258102634) </t>
  </si>
  <si>
    <t xml:space="preserve">0.0769230769230769(0.00144941955846764) </t>
  </si>
  <si>
    <t xml:space="preserve">0.103092783505155(8.11708550352793e-05) </t>
  </si>
  <si>
    <t xml:space="preserve">7 11 </t>
  </si>
  <si>
    <t xml:space="preserve">0.0515463917525773(0.000129514157289679) </t>
  </si>
  <si>
    <t xml:space="preserve">0.154639175257732(0.000393155455091642) </t>
  </si>
  <si>
    <t xml:space="preserve">0.0618556701030928(2.66774522164706e-05) </t>
  </si>
  <si>
    <t xml:space="preserve">0.0927835051546392(0.000130751354493522) </t>
  </si>
  <si>
    <t>DNA replication licensing factor MCM3 [Homo sapiens]</t>
  </si>
  <si>
    <t xml:space="preserve">0.037037037037037(0.000312428899468557) </t>
  </si>
  <si>
    <t xml:space="preserve">6 16 </t>
  </si>
  <si>
    <t xml:space="preserve">0(0.000894000026085316) </t>
  </si>
  <si>
    <t xml:space="preserve">0.0103092783505155(0.00176775143660862) </t>
  </si>
  <si>
    <t xml:space="preserve">0.0309278350515464(7.34595426307125e-05) </t>
  </si>
  <si>
    <t xml:space="preserve">0.0721649484536082(0.000421764400711801) </t>
  </si>
  <si>
    <t xml:space="preserve">0.0857142857142857(0.00322295572161229) </t>
  </si>
  <si>
    <t xml:space="preserve">0.144329896907216(0.0035274745632974) </t>
  </si>
  <si>
    <t xml:space="preserve">0.0515463917525773(0.00025028856804405) </t>
  </si>
  <si>
    <t xml:space="preserve">0(0.000475488296712228) </t>
  </si>
  <si>
    <t xml:space="preserve">0.0769230769230769(0.00111553664067439) </t>
  </si>
  <si>
    <t>COPA</t>
  </si>
  <si>
    <t>coatomer subunit alpha isoform 2 [Homo sapiens]</t>
  </si>
  <si>
    <t xml:space="preserve">0.153846153846154(0.00102144495560001) </t>
  </si>
  <si>
    <t xml:space="preserve">0.11340206185567(0.00139163613621317) </t>
  </si>
  <si>
    <t xml:space="preserve">0.0412371134020619(4.83846295144821e-05) </t>
  </si>
  <si>
    <t xml:space="preserve">0.0721649484536082(8.75652372269587e-05) </t>
  </si>
  <si>
    <t xml:space="preserve">0.164948453608247(0.000399380369523563) </t>
  </si>
  <si>
    <t xml:space="preserve">0.0824742268041237(0.000572745386512212) </t>
  </si>
  <si>
    <t xml:space="preserve">0.153846153846154(0.00113508289152366) </t>
  </si>
  <si>
    <t xml:space="preserve">0.037037037037037(0.000688729340324171) </t>
  </si>
  <si>
    <t xml:space="preserve">0.0206185567010309(0.000140991889549459) </t>
  </si>
  <si>
    <t>ATP synthase subunit gamma; mitochondrial isoform L (liver) precursor [Homo sapiens]</t>
  </si>
  <si>
    <t xml:space="preserve">0.0309278350515464(0.000468656120442278) </t>
  </si>
  <si>
    <t xml:space="preserve">0.134020618556701(0.00025028856804405) </t>
  </si>
  <si>
    <t xml:space="preserve">0.0309278350515464(0.000141206367772336) </t>
  </si>
  <si>
    <t xml:space="preserve">0.0309278350515464(5.83072469656882e-05) </t>
  </si>
  <si>
    <t xml:space="preserve">0.0285714285714286(0.00093471216579551) </t>
  </si>
  <si>
    <t xml:space="preserve">0.11340206185567(0.0014381471730976) </t>
  </si>
  <si>
    <t xml:space="preserve">0.0412371134020619(4.99163974906663e-05) </t>
  </si>
  <si>
    <t xml:space="preserve">0.0618556701030928(0.000621176905274126) </t>
  </si>
  <si>
    <t>ST13</t>
  </si>
  <si>
    <t>hsc70-interacting protein [Homo sapiens]</t>
  </si>
  <si>
    <t xml:space="preserve">0.0740740740740741(0.00244785473666834) </t>
  </si>
  <si>
    <t xml:space="preserve">0.0721649484536082(0.000278494578354203) </t>
  </si>
  <si>
    <t xml:space="preserve">0.0309278350515464(4.83846295144821e-05) </t>
  </si>
  <si>
    <t xml:space="preserve">3  7 3 </t>
  </si>
  <si>
    <t xml:space="preserve">0.0206185567010309(1.93738164036278e-05) 0.037037037037037(0.000484735602499322) </t>
  </si>
  <si>
    <t xml:space="preserve">0.05 0.266666666666667 </t>
  </si>
  <si>
    <t xml:space="preserve">0.0618556701030928(0.000363911527679974) </t>
  </si>
  <si>
    <t xml:space="preserve">0.0309278350515464(5.10466045838995e-05) </t>
  </si>
  <si>
    <t xml:space="preserve">0.0618556701030928(8.75652372269587e-05) </t>
  </si>
  <si>
    <t xml:space="preserve">7 1 2 </t>
  </si>
  <si>
    <t xml:space="preserve">0(0.00171705479103774) </t>
  </si>
  <si>
    <t xml:space="preserve">0.0206185567010309(0.000126683645100135) </t>
  </si>
  <si>
    <t xml:space="preserve">0.0206185567010309(0.00680134401021478) </t>
  </si>
  <si>
    <t xml:space="preserve">0.0103092783505155(1.60628504950305e-05) </t>
  </si>
  <si>
    <t xml:space="preserve">0(0.00150389728399756) </t>
  </si>
  <si>
    <t xml:space="preserve">0.0412371134020619(0.000327353742027719) </t>
  </si>
  <si>
    <t xml:space="preserve">0.0824742268041237(0.000502496235711927) </t>
  </si>
  <si>
    <t xml:space="preserve">0.037037037037037(0.000840414791247364) </t>
  </si>
  <si>
    <t xml:space="preserve">0.0103092783505155(0.000252744737092684) </t>
  </si>
  <si>
    <t xml:space="preserve">0.153846153846154(0.00717178783700439) </t>
  </si>
  <si>
    <t xml:space="preserve">0.144329896907216(0.000393155455091642) </t>
  </si>
  <si>
    <t xml:space="preserve">0.0721649484536082(0.000163263565999554) </t>
  </si>
  <si>
    <t xml:space="preserve">0.0412371134020619(0.00152998555562969) </t>
  </si>
  <si>
    <t xml:space="preserve">0.0769230769230769(0.000790506058678491) </t>
  </si>
  <si>
    <t xml:space="preserve">0.0412371134020619(0.000119028797224142) </t>
  </si>
  <si>
    <t xml:space="preserve">0.0618556701030928(0.000198694791126326) </t>
  </si>
  <si>
    <t>MCM2</t>
  </si>
  <si>
    <t>DNA replication licensing factor MCM2 [Homo sapiens]</t>
  </si>
  <si>
    <t xml:space="preserve">0.0740740740740741(0.000298069738165616) </t>
  </si>
  <si>
    <t xml:space="preserve">0.111111111111111(0.00204276575456334) </t>
  </si>
  <si>
    <t xml:space="preserve">0.0412371134020619(0.00044607832448492) </t>
  </si>
  <si>
    <t xml:space="preserve">0.0206185567010309(0.000974459840561397) </t>
  </si>
  <si>
    <t xml:space="preserve">0.0515463917525773(0.000261585949087579) </t>
  </si>
  <si>
    <t xml:space="preserve">0.0927835051546392(0.000320010495463632) </t>
  </si>
  <si>
    <t>telomere-associated protein RIF1 isoform 2 [Homo sapiens]</t>
  </si>
  <si>
    <t xml:space="preserve">0.175257731958763(0.00203076630874375) </t>
  </si>
  <si>
    <t xml:space="preserve">0.0721649484536082(0.000198694791126326) </t>
  </si>
  <si>
    <t xml:space="preserve">0(1.2610108465699e-05) </t>
  </si>
  <si>
    <t xml:space="preserve">0(0.000278494578354203) </t>
  </si>
  <si>
    <t xml:space="preserve">0.0309278350515464(0.00203076630874375) </t>
  </si>
  <si>
    <t xml:space="preserve">0.0515463917525773(0.000184898615257227) </t>
  </si>
  <si>
    <t xml:space="preserve">0.0206185567010309(0.000330548253545379) </t>
  </si>
  <si>
    <t xml:space="preserve">0.0769230769230769(0.00110913831072127) </t>
  </si>
  <si>
    <t xml:space="preserve">0.0927835051546392(0.00152998555562969) </t>
  </si>
  <si>
    <t xml:space="preserve">0.0857142857142857(0.00186008021085488) </t>
  </si>
  <si>
    <t xml:space="preserve">0.0721649484536082(0.000126683645100135) </t>
  </si>
  <si>
    <t xml:space="preserve">0.0824742268041237(0.00044607832448492) </t>
  </si>
  <si>
    <t xml:space="preserve">0.0206185567010309(0.000207492682486072) </t>
  </si>
  <si>
    <t xml:space="preserve">0.134020618556701(0.000432472655413301) </t>
  </si>
  <si>
    <t xml:space="preserve">0.0412371134020619(0.00083223568592187) </t>
  </si>
  <si>
    <t xml:space="preserve">0.0285714285714286(0.000322179978244491) </t>
  </si>
  <si>
    <t xml:space="preserve">0.0309278350515464(4.9374176394058e-05) </t>
  </si>
  <si>
    <t xml:space="preserve">0.0206185567010309(0.000200074630068047) </t>
  </si>
  <si>
    <t xml:space="preserve">0.153846153846154(0.00692213208988457) </t>
  </si>
  <si>
    <t xml:space="preserve">0.0103092783505155(0.00023506344063639) </t>
  </si>
  <si>
    <t xml:space="preserve">0.0857142857142857(0.000989341831651225) </t>
  </si>
  <si>
    <t xml:space="preserve">0.103092783505155(0.00016043168019584) </t>
  </si>
  <si>
    <t xml:space="preserve">0.144329896907216(0.000204074804811289) </t>
  </si>
  <si>
    <t>vesicle-associated membrane protein-associated protein A isoform 1 [Homo sapiens]</t>
  </si>
  <si>
    <t xml:space="preserve">0.0103092783505155(6.23749563004864e-05) </t>
  </si>
  <si>
    <t xml:space="preserve">0.0206185567010309(0.000976610590307932) </t>
  </si>
  <si>
    <t xml:space="preserve">0.0206185567010309(0.000225718219650712) </t>
  </si>
  <si>
    <t xml:space="preserve">0.11340206185567(8.11708550352793e-05) </t>
  </si>
  <si>
    <t xml:space="preserve">0.134020618556701(0.00140316150007619) </t>
  </si>
  <si>
    <t xml:space="preserve">0.0927835051546392(9.6895755474617e-05) </t>
  </si>
  <si>
    <t xml:space="preserve">0.0824742268041237(0.00022622166757596) </t>
  </si>
  <si>
    <t xml:space="preserve">0.154639175257732(0.000102646512020031) </t>
  </si>
  <si>
    <t xml:space="preserve">0.0412371134020619(0.000279025349749356) </t>
  </si>
  <si>
    <t xml:space="preserve">0.0769230769230769(0.0022863870156007) </t>
  </si>
  <si>
    <t xml:space="preserve">0.185567010309278(0.000225718219650712) </t>
  </si>
  <si>
    <t>protein-L-isoaspartate(D-aspartate) O-methyltransferase [Homo sapiens]</t>
  </si>
  <si>
    <t xml:space="preserve">0.037037037037037(0.00113809636281063) </t>
  </si>
  <si>
    <t xml:space="preserve">0.103092783505155(0.000200074630068047) </t>
  </si>
  <si>
    <t xml:space="preserve">0.0618556701030928(7.96524325420376e-05) </t>
  </si>
  <si>
    <t xml:space="preserve">0.230769230769231(0.00208600277074388) </t>
  </si>
  <si>
    <t xml:space="preserve">0.0206185567010309(2.80080422975939e-05) </t>
  </si>
  <si>
    <t xml:space="preserve">0.0309278350515464(0.000976610590307932) </t>
  </si>
  <si>
    <t xml:space="preserve">0.0824742268041237(0.00168825770086655) </t>
  </si>
  <si>
    <t xml:space="preserve">0(0.00246818804078935) </t>
  </si>
  <si>
    <t xml:space="preserve">0.0740740740740741(0.000831049033732095) </t>
  </si>
  <si>
    <t>neutral alpha-glucosidase AB isoform 2 [Homo sapiens]</t>
  </si>
  <si>
    <t xml:space="preserve">0.0740740740740741(0.000843658451707874) </t>
  </si>
  <si>
    <t xml:space="preserve">0.0515463917525773(0.000427126246148084) </t>
  </si>
  <si>
    <t xml:space="preserve">0.134020618556701(0.000404705793916961) </t>
  </si>
  <si>
    <t xml:space="preserve">0.0515463917525773(4.19238939710624e-05) </t>
  </si>
  <si>
    <t xml:space="preserve">0(0.00116952691198791) </t>
  </si>
  <si>
    <t xml:space="preserve">0.0824742268041237(0.000107843112145341) </t>
  </si>
  <si>
    <t xml:space="preserve">0.0515463917525773(2.80080422975939e-05) </t>
  </si>
  <si>
    <t xml:space="preserve">0.164948453608247(4.99163974906663e-05) </t>
  </si>
  <si>
    <t xml:space="preserve">0(6.20037914133487e-06) </t>
  </si>
  <si>
    <t xml:space="preserve">5 4 2 </t>
  </si>
  <si>
    <t xml:space="preserve">0.0769230769230769(0.00310559395609361) </t>
  </si>
  <si>
    <t xml:space="preserve">0.0103092783505155(3.01219495007159e-05) </t>
  </si>
  <si>
    <t xml:space="preserve">0.0769230769230769(0.00521796523602771) </t>
  </si>
  <si>
    <t xml:space="preserve">0.0824742268041237(0.000627343233597417) </t>
  </si>
  <si>
    <t xml:space="preserve">0.0309278350515464(0.000119028797224142) </t>
  </si>
  <si>
    <t xml:space="preserve">0.0412371134020619(0.000974459840561397) </t>
  </si>
  <si>
    <t xml:space="preserve">0(0.00044607832448492) </t>
  </si>
  <si>
    <t xml:space="preserve">0(0.000126115855625186) </t>
  </si>
  <si>
    <t xml:space="preserve">0.0206185567010309(7.96524325420376e-05) </t>
  </si>
  <si>
    <t xml:space="preserve">0.0206185567010309(0.000852425280715392) </t>
  </si>
  <si>
    <t xml:space="preserve">0.0206185567010309(9.6895755474617e-05) </t>
  </si>
  <si>
    <t xml:space="preserve">0.0927835051546392(0.000339729934355517) </t>
  </si>
  <si>
    <t xml:space="preserve">0.0769230769230769(0.00544752354869725) </t>
  </si>
  <si>
    <t xml:space="preserve">0.0927835051546392(0.000312969007446567) </t>
  </si>
  <si>
    <t xml:space="preserve">0.0769230769230769(0.00123846753235134) </t>
  </si>
  <si>
    <t>glucosidase 2 subunit beta isoform 1 [Homo sapiens]</t>
  </si>
  <si>
    <t xml:space="preserve">0.037037037037037(0.001422947513487) </t>
  </si>
  <si>
    <t xml:space="preserve">0.0618556701030928(3.10246188922405e-05) </t>
  </si>
  <si>
    <t xml:space="preserve">0.0824742268041237(0.000144109617715418) </t>
  </si>
  <si>
    <t xml:space="preserve">0.0769230769230769(0.000611241639532981) </t>
  </si>
  <si>
    <t xml:space="preserve">0.148148148148148(0.00204276575456334) </t>
  </si>
  <si>
    <t xml:space="preserve">0.144329896907216(0.000399380369523563) </t>
  </si>
  <si>
    <t xml:space="preserve">0.0206185567010309(6.54665022232154e-05) </t>
  </si>
  <si>
    <t xml:space="preserve">0.0412371134020619(0.0188095947773287) </t>
  </si>
  <si>
    <t xml:space="preserve">8 6 </t>
  </si>
  <si>
    <t xml:space="preserve">0.0740740740740741(0.0125394870939157) </t>
  </si>
  <si>
    <t xml:space="preserve">0(0.00140316150007619) </t>
  </si>
  <si>
    <t xml:space="preserve">10 16 </t>
  </si>
  <si>
    <t xml:space="preserve">0.0571428571428571(0.0264747719511052) </t>
  </si>
  <si>
    <t xml:space="preserve">0.134020618556701(0.00099014381712763) </t>
  </si>
  <si>
    <t xml:space="preserve">0.0927835051546392(0.00037715746439304) </t>
  </si>
  <si>
    <t xml:space="preserve">0(0.000367312148475318) </t>
  </si>
  <si>
    <t xml:space="preserve">0(0.000378646017748832) </t>
  </si>
  <si>
    <t xml:space="preserve">10 6 </t>
  </si>
  <si>
    <t xml:space="preserve">0.0206185567010309(0.0188095947773287) </t>
  </si>
  <si>
    <t xml:space="preserve">0(0.000196096158255514) </t>
  </si>
  <si>
    <t xml:space="preserve">0.0206185567010309(0.000182219460325114) </t>
  </si>
  <si>
    <t xml:space="preserve">0.103092783505155(0.0014381471730976) </t>
  </si>
  <si>
    <t xml:space="preserve">0.0927835051546392(0.00044607832448492) </t>
  </si>
  <si>
    <t xml:space="preserve">0.0618556701030928(7.32673499808456e-05) </t>
  </si>
  <si>
    <t xml:space="preserve">0.0769230769230769(0.000487499590526842) </t>
  </si>
  <si>
    <t xml:space="preserve">0(0.00279262115036439) </t>
  </si>
  <si>
    <t xml:space="preserve">0.0309278350515464(0.000320010495463632) </t>
  </si>
  <si>
    <t xml:space="preserve">0.154639175257732(0.00044607832448492) </t>
  </si>
  <si>
    <t xml:space="preserve">0.103092783505155(9.6895755474617e-05) </t>
  </si>
  <si>
    <t xml:space="preserve">0.0103092783505155(8.83116974114008e-05) </t>
  </si>
  <si>
    <t xml:space="preserve">0.0769230769230769(0.00130100269301214) </t>
  </si>
  <si>
    <t xml:space="preserve">0.0103092783505155(3.74641951704409e-05) </t>
  </si>
  <si>
    <t xml:space="preserve">0.0721649484536082(0.000852425280715392) </t>
  </si>
  <si>
    <t xml:space="preserve">8 3 </t>
  </si>
  <si>
    <t xml:space="preserve">0.0618556701030928(0.000702161048678681) </t>
  </si>
  <si>
    <t xml:space="preserve">0.0515463917525773(0.000247827037217697) </t>
  </si>
  <si>
    <t xml:space="preserve">0.123711340206186(0.000109595805522087) </t>
  </si>
  <si>
    <t xml:space="preserve">0.103092783505155(0.000339729934355517) </t>
  </si>
  <si>
    <t xml:space="preserve">0.0206185567010309(0.00085361757930311) </t>
  </si>
  <si>
    <t xml:space="preserve">0.0206185567010309(0.000107843112145341) </t>
  </si>
  <si>
    <t xml:space="preserve">0.103092783505155(5.83072469656882e-05) </t>
  </si>
  <si>
    <t xml:space="preserve">0.0206185567010309(0.000404705793916961) </t>
  </si>
  <si>
    <t xml:space="preserve">0.0412371134020619(0.000140991889549459) </t>
  </si>
  <si>
    <t xml:space="preserve">0.114285714285714(0.0138371857062742) </t>
  </si>
  <si>
    <t xml:space="preserve">0.0824742268041237(0.000100149497970326) </t>
  </si>
  <si>
    <t xml:space="preserve">0.153846153846154(0.00544752354869725) </t>
  </si>
  <si>
    <t xml:space="preserve">0.307692307692308(0.00095014596320526) </t>
  </si>
  <si>
    <t xml:space="preserve">0.123711340206186(0.00203076630874375) </t>
  </si>
  <si>
    <t xml:space="preserve">0.0515463917525773(4.19394215829892e-05) </t>
  </si>
  <si>
    <t xml:space="preserve">0.0309278350515464(0.000259450348755333) </t>
  </si>
  <si>
    <t xml:space="preserve">0(0.000191993241177209) </t>
  </si>
  <si>
    <t xml:space="preserve">0.0309278350515464(0.000310573177826203) </t>
  </si>
  <si>
    <t xml:space="preserve">0.0927835051546392(0.000144109617715418) </t>
  </si>
  <si>
    <t xml:space="preserve">0.0618556701030928(8.83116974114008e-05) </t>
  </si>
  <si>
    <t xml:space="preserve">0.0412371134020619(0.00143437668818762) </t>
  </si>
  <si>
    <t xml:space="preserve">0.185567010309278(0.00147179189299075) </t>
  </si>
  <si>
    <t xml:space="preserve">13 8 </t>
  </si>
  <si>
    <t xml:space="preserve">0(0.00240956375411986) </t>
  </si>
  <si>
    <t xml:space="preserve">0.0412371134020619(0.000194072962480581) </t>
  </si>
  <si>
    <t xml:space="preserve">0.0103092783505155(2.76421585413952e-05) </t>
  </si>
  <si>
    <t xml:space="preserve">0.230769230769231(0.00243628673843587) </t>
  </si>
  <si>
    <t xml:space="preserve">0(0.000165997444975466) </t>
  </si>
  <si>
    <t>28S ribosomal protein S31; mitochondrial precursor [Homo sapiens]</t>
  </si>
  <si>
    <t xml:space="preserve">0.037037037037037(0.000413919814223534) </t>
  </si>
  <si>
    <t xml:space="preserve">0.0515463917525773(0.000279025349749356) </t>
  </si>
  <si>
    <t xml:space="preserve">0.0309278350515464(7.32673499808456e-05) </t>
  </si>
  <si>
    <t xml:space="preserve">0.123711340206186(0.000225718219650712) </t>
  </si>
  <si>
    <t xml:space="preserve">0(0.00080067452129187) </t>
  </si>
  <si>
    <t xml:space="preserve">0.0515463917525773(5.83072469656882e-05) </t>
  </si>
  <si>
    <t xml:space="preserve">0.0309278350515464(0.000329763306220864) </t>
  </si>
  <si>
    <t xml:space="preserve">0.0103092783505155(0.000399380369523563) </t>
  </si>
  <si>
    <t>CTDSPL2</t>
  </si>
  <si>
    <t>CTD small phosphatase-like protein 2 [Homo sapiens]</t>
  </si>
  <si>
    <t xml:space="preserve">0.0769230769230769(0.000472951519170432) </t>
  </si>
  <si>
    <t xml:space="preserve">0(0.000327353742027719) </t>
  </si>
  <si>
    <t xml:space="preserve">0.134020618556701(0.000457896415316783) </t>
  </si>
  <si>
    <t xml:space="preserve">0.153846153846154(0.00150389728399756) </t>
  </si>
  <si>
    <t xml:space="preserve">0.0103092783505155(0.000327195141136598) </t>
  </si>
  <si>
    <t xml:space="preserve">8 10 </t>
  </si>
  <si>
    <t xml:space="preserve">0.037037037037037(0.00161451171724047) </t>
  </si>
  <si>
    <t xml:space="preserve">0.0927835051546392(0.000290421872211429) </t>
  </si>
  <si>
    <t xml:space="preserve">0.0309278350515464(3.74641951704409e-05) </t>
  </si>
  <si>
    <t xml:space="preserve">0.123711340206186(0.000100869632188892) </t>
  </si>
  <si>
    <t xml:space="preserve">0(0.000831049033732095) </t>
  </si>
  <si>
    <t xml:space="preserve">0.0309278350515464(0.00037715746439304) </t>
  </si>
  <si>
    <t xml:space="preserve">0.103092783505155(0.000204074804811289) </t>
  </si>
  <si>
    <t xml:space="preserve">0.11340206185567(0.000432472655413301) </t>
  </si>
  <si>
    <t xml:space="preserve">0(3.01219495007159e-05) </t>
  </si>
  <si>
    <t xml:space="preserve">0.037037037037037(0.00160081126094915) </t>
  </si>
  <si>
    <t xml:space="preserve">0.103092783505155(0.000279025349749356) </t>
  </si>
  <si>
    <t xml:space="preserve">0.0103092783505155(9.6895755474617e-05) </t>
  </si>
  <si>
    <t xml:space="preserve">0.11340206185567(0.000404705793916961) </t>
  </si>
  <si>
    <t xml:space="preserve">0(0.000238133578705849) </t>
  </si>
  <si>
    <t xml:space="preserve">0(0.00102144495560001) </t>
  </si>
  <si>
    <t xml:space="preserve">0.0618556701030928(2.80080422975939e-05) </t>
  </si>
  <si>
    <t xml:space="preserve">0.0309278350515464(2.31283858823043e-05) </t>
  </si>
  <si>
    <t xml:space="preserve">0.0206185567010309(8.8965005791922e-05) </t>
  </si>
  <si>
    <t xml:space="preserve">0.230769230769231(0.00999175832188972) </t>
  </si>
  <si>
    <t xml:space="preserve">0.0740740740740741(0.000688729340324171) </t>
  </si>
  <si>
    <t xml:space="preserve">1 2 4 </t>
  </si>
  <si>
    <t xml:space="preserve">0.0769230769230769(0.00097401518988323) </t>
  </si>
  <si>
    <t xml:space="preserve">0.11340206185567(0.000621176905274126) </t>
  </si>
  <si>
    <t xml:space="preserve">0.11340206185567(7.12773651766928e-05) </t>
  </si>
  <si>
    <t xml:space="preserve">0.0412371134020619(0.00203076630874375) </t>
  </si>
  <si>
    <t xml:space="preserve">0.0721649484536082(4.27058862392122e-05) </t>
  </si>
  <si>
    <t xml:space="preserve">0.0927835051546392(0.000457896415316783) </t>
  </si>
  <si>
    <t xml:space="preserve">0.0721649484536082(6.79981089633885e-05) </t>
  </si>
  <si>
    <t xml:space="preserve">0.0721649484536082(0.000114461575751095) </t>
  </si>
  <si>
    <t xml:space="preserve">0.0927835051546392(0.000119028797224142) </t>
  </si>
  <si>
    <t xml:space="preserve">2 11 </t>
  </si>
  <si>
    <t xml:space="preserve">0.0309278350515464(0.00128882427936563) </t>
  </si>
  <si>
    <t xml:space="preserve">0.0309278350515464(0.000327195141136598) </t>
  </si>
  <si>
    <t xml:space="preserve">0.0309278350515464(0.000309121818818237) </t>
  </si>
  <si>
    <t xml:space="preserve">0.230769230769231(0.00171000165299033) </t>
  </si>
  <si>
    <t xml:space="preserve">0.0515463917525773(0.00139163613621317) </t>
  </si>
  <si>
    <t xml:space="preserve">0.103092783505155(0.000249632909371283) </t>
  </si>
  <si>
    <t xml:space="preserve">0.175257731958763(0.00037715746439304) </t>
  </si>
  <si>
    <t xml:space="preserve">0.0618556701030928(0.00203076630874375) </t>
  </si>
  <si>
    <t xml:space="preserve">0.123711340206186(0.00191687410813333) </t>
  </si>
  <si>
    <t xml:space="preserve">0.0740740740740741(0.000419340459198305) </t>
  </si>
  <si>
    <t xml:space="preserve">0.037037037037037(0.00510507530902412) </t>
  </si>
  <si>
    <t xml:space="preserve">0.0769230769230769(0.00119226258102634) </t>
  </si>
  <si>
    <t xml:space="preserve">0.0721649484536082(0.00712366387945606) </t>
  </si>
  <si>
    <t xml:space="preserve">0.154639175257732(0.000184898615257227) </t>
  </si>
  <si>
    <t xml:space="preserve">0.144329896907216(0.00191687410813333) </t>
  </si>
  <si>
    <t xml:space="preserve">0.037037037037037(0.0330892888046548) </t>
  </si>
  <si>
    <t xml:space="preserve">6 11 </t>
  </si>
  <si>
    <t xml:space="preserve">0.037037037037037(0.0125394870939157) </t>
  </si>
  <si>
    <t xml:space="preserve">0.0769230769230769(0.00116952691198791) </t>
  </si>
  <si>
    <t xml:space="preserve">0.154639175257732(0.00037715746439304) </t>
  </si>
  <si>
    <t xml:space="preserve">0.0515463917525773(0.000404705793916961) </t>
  </si>
  <si>
    <t xml:space="preserve">0.103092783505155(0.000126683645100135) </t>
  </si>
  <si>
    <t xml:space="preserve">0.0309278350515464(0.00191687410813333) </t>
  </si>
  <si>
    <t>RPS27L</t>
  </si>
  <si>
    <t>40S ribosomal protein S27-like [Homo sapiens]</t>
  </si>
  <si>
    <t xml:space="preserve">0.0285714285714286(0.00550429279190587) </t>
  </si>
  <si>
    <t xml:space="preserve">16 15 </t>
  </si>
  <si>
    <t xml:space="preserve">0.0857142857142857(0.0264747719511052) </t>
  </si>
  <si>
    <t xml:space="preserve">0.0618556701030928(0.000182219460325114) </t>
  </si>
  <si>
    <t>HMGN3</t>
  </si>
  <si>
    <t>high mobility group nucleosome-binding domain-containing protein 3 isoform HMGN3a [Homo sapiens]</t>
  </si>
  <si>
    <t xml:space="preserve">0(0.00113127805939492) </t>
  </si>
  <si>
    <t xml:space="preserve">0(5.70606345358766e-05) </t>
  </si>
  <si>
    <t xml:space="preserve">0.0769230769230769(0.000735961018948818) </t>
  </si>
  <si>
    <t xml:space="preserve">0.0721649484536082(0.000239460462053172) </t>
  </si>
  <si>
    <t xml:space="preserve">0.0571428571428571(0.000936111718664968) </t>
  </si>
  <si>
    <t xml:space="preserve">0.0309278350515464(0.000105303302039721) </t>
  </si>
  <si>
    <t xml:space="preserve">0.0103092783505155(0.00115781088493705) </t>
  </si>
  <si>
    <t xml:space="preserve">0(0.0015524816013195) </t>
  </si>
  <si>
    <t xml:space="preserve">0.0769230769230769(0.00394264847192696) </t>
  </si>
  <si>
    <t xml:space="preserve">0.153846153846154(0.00170947559120298) </t>
  </si>
  <si>
    <t xml:space="preserve">16 3 </t>
  </si>
  <si>
    <t xml:space="preserve">0.0206185567010309(0.000278494578354203) </t>
  </si>
  <si>
    <t xml:space="preserve">0.0206185567010309(0.000193215502169819) </t>
  </si>
  <si>
    <t xml:space="preserve">0.0515463917525773(0.000439704741167356) </t>
  </si>
  <si>
    <t xml:space="preserve">0.123711340206186(9.6895755474617e-05) </t>
  </si>
  <si>
    <t xml:space="preserve">0.0769230769230769(0.00188447181686862) </t>
  </si>
  <si>
    <t xml:space="preserve">0.0309278350515464(0.00018282760660527) </t>
  </si>
  <si>
    <t xml:space="preserve">0.0206185567010309(0.000476994199496342) </t>
  </si>
  <si>
    <t xml:space="preserve">0.0824742268041237(0.00203076630874375) </t>
  </si>
  <si>
    <t>FLOT2</t>
  </si>
  <si>
    <t>flotillin-2 [Homo sapiens]</t>
  </si>
  <si>
    <t xml:space="preserve">4 9 </t>
  </si>
  <si>
    <t xml:space="preserve">0.0857142857142857(0.00306080737737103) </t>
  </si>
  <si>
    <t xml:space="preserve">0.0740740740740741(0.0016976868602254) </t>
  </si>
  <si>
    <t xml:space="preserve">0.134020618556701(0.00037715746439304) </t>
  </si>
  <si>
    <t xml:space="preserve">0.11340206185567(0.00218422398330002) </t>
  </si>
  <si>
    <t xml:space="preserve">0.0206185567010309(5.08633886570068e-05) </t>
  </si>
  <si>
    <t xml:space="preserve">0.123711340206186(4.19394215829892e-05) </t>
  </si>
  <si>
    <t xml:space="preserve">0.0103092783505155(1.2610108465699e-05) </t>
  </si>
  <si>
    <t xml:space="preserve">0(0.000344169427959143) </t>
  </si>
  <si>
    <t xml:space="preserve">0.0618556701030928(4.58243788635123e-05) </t>
  </si>
  <si>
    <t xml:space="preserve">0.0309278350515464(3.01219495007159e-05) </t>
  </si>
  <si>
    <t xml:space="preserve">0.0103092783505155(1.83158127375963e-05) </t>
  </si>
  <si>
    <t xml:space="preserve">0.11340206185567(0.000100869632188892) </t>
  </si>
  <si>
    <t xml:space="preserve">0.0618556701030928(0.000974459840561397) </t>
  </si>
  <si>
    <t xml:space="preserve">0.11340206185567(4.99163974906663e-05) </t>
  </si>
  <si>
    <t xml:space="preserve">0(0.00310559395609361) </t>
  </si>
  <si>
    <t xml:space="preserve">0(0.00159056618469248) </t>
  </si>
  <si>
    <t xml:space="preserve">0.037037037037037(0.00125509143499587) </t>
  </si>
  <si>
    <t>SRPR</t>
  </si>
  <si>
    <t>signal recognition particle receptor subunit alpha isoform 1 [Homo sapiens]</t>
  </si>
  <si>
    <t xml:space="preserve">0.153846153846154(0.000868315614937652) </t>
  </si>
  <si>
    <t xml:space="preserve">0.0309278350515464(0.000621176905274126) </t>
  </si>
  <si>
    <t xml:space="preserve">25 17 </t>
  </si>
  <si>
    <t xml:space="preserve">0.0571428571428571(0.0190280288415316) </t>
  </si>
  <si>
    <t xml:space="preserve">0.123711340206186(0.000559165738596685) </t>
  </si>
  <si>
    <t xml:space="preserve">0.0721649484536082(7.12773651766928e-05) </t>
  </si>
  <si>
    <t xml:space="preserve">24 23 </t>
  </si>
  <si>
    <t xml:space="preserve">0.0857142857142857(0.0190280288415316) </t>
  </si>
  <si>
    <t xml:space="preserve">0.175257731958763(0.000974459840561397) </t>
  </si>
  <si>
    <t xml:space="preserve">0.0515463917525773(9.6895755474617e-05) </t>
  </si>
  <si>
    <t xml:space="preserve">0.0309278350515464(0.00101155880071711) </t>
  </si>
  <si>
    <t xml:space="preserve">0.0515463917525773(0.00113127805939492) </t>
  </si>
  <si>
    <t xml:space="preserve">0.0515463917525773(0.00085361757930311) </t>
  </si>
  <si>
    <t xml:space="preserve">0.0309278350515464(7.96524325420376e-05) </t>
  </si>
  <si>
    <t xml:space="preserve">0.153846153846154(0.00487019326611121) </t>
  </si>
  <si>
    <t xml:space="preserve">0.0285714285714286(0.00297827632727959) </t>
  </si>
  <si>
    <t xml:space="preserve">0.0103092783505155(3.78229179377513e-05) </t>
  </si>
  <si>
    <t xml:space="preserve">0.154639175257732(0.00203076630874375) </t>
  </si>
  <si>
    <t>WASL</t>
  </si>
  <si>
    <t>neural Wiskott-Aldrich syndrome protein [Homo sapiens]</t>
  </si>
  <si>
    <t xml:space="preserve">0.0103092783505155(0.000121987275248602) </t>
  </si>
  <si>
    <t xml:space="preserve">0.0515463917525773(0.000475488296712228) </t>
  </si>
  <si>
    <t xml:space="preserve">0.037037037037037(0.00150526953521545) </t>
  </si>
  <si>
    <t xml:space="preserve">0(0.000323816015718786) </t>
  </si>
  <si>
    <t xml:space="preserve">0.0927835051546392(0.00140316150007619) </t>
  </si>
  <si>
    <t xml:space="preserve">0.0721649484536082(0.00135961781405901) </t>
  </si>
  <si>
    <t xml:space="preserve">0.0412371134020619(0.000399380369523563) </t>
  </si>
  <si>
    <t xml:space="preserve">0.103092783505155(6.6908700691175e-05) </t>
  </si>
  <si>
    <t xml:space="preserve">0.0769230769230769(0.00171000165299033) </t>
  </si>
  <si>
    <t xml:space="preserve">0.037037037037037(0.000514895636344128) </t>
  </si>
  <si>
    <t xml:space="preserve">0.0515463917525773(0.000160595709978263) </t>
  </si>
  <si>
    <t xml:space="preserve">0.0206185567010309(0.000174701219798262) </t>
  </si>
  <si>
    <t xml:space="preserve">0.0206185567010309(0.000279025349749356) </t>
  </si>
  <si>
    <t xml:space="preserve">0.0103092783505155(0.000354625814946836) </t>
  </si>
  <si>
    <t xml:space="preserve">0.0769230769230769(0.00232914452948509) </t>
  </si>
  <si>
    <t xml:space="preserve">0.0206185567010309(1.36440680244389e-05) </t>
  </si>
  <si>
    <t xml:space="preserve">0.11340206185567(0.000105303302039721) </t>
  </si>
  <si>
    <t xml:space="preserve">0.0927835051546392(0.000194572180897272) </t>
  </si>
  <si>
    <t xml:space="preserve">0.0927835051546392(2.66774522164706e-05) </t>
  </si>
  <si>
    <t xml:space="preserve">0.0412371134020619(0.000198694791126326) </t>
  </si>
  <si>
    <t xml:space="preserve">0.0618556701030928(5.83072469656882e-05) </t>
  </si>
  <si>
    <t xml:space="preserve">0.0721649484536082(0.00113127805939492) </t>
  </si>
  <si>
    <t xml:space="preserve">0.0824742268041237(9.6895755474617e-05) </t>
  </si>
  <si>
    <t xml:space="preserve">0.0824742268041237(2.80080422975939e-05) </t>
  </si>
  <si>
    <t xml:space="preserve">0.0515463917525773(0.00044607832448492) </t>
  </si>
  <si>
    <t xml:space="preserve">0.0309278350515464(0.000367312148475318) </t>
  </si>
  <si>
    <t xml:space="preserve">0.0769230769230769(0.00599158887704395) </t>
  </si>
  <si>
    <t xml:space="preserve">0.123711340206186(0.000393155455091642) </t>
  </si>
  <si>
    <t>EIF4A3</t>
  </si>
  <si>
    <t>eukaryotic initiation factor 4A-III [Homo sapiens]</t>
  </si>
  <si>
    <t xml:space="preserve">0.0769230769230769(0.000547479634716603) </t>
  </si>
  <si>
    <t xml:space="preserve">0.0769230769230769(0.00150389728399756) </t>
  </si>
  <si>
    <t xml:space="preserve">0.0824742268041237(0.000327195141136598) </t>
  </si>
  <si>
    <t xml:space="preserve">0(5.24498042900194e-05) </t>
  </si>
  <si>
    <t xml:space="preserve">0(0.000840414791247364) </t>
  </si>
  <si>
    <t xml:space="preserve">0.0103092783505155(0.000249632909371283) </t>
  </si>
  <si>
    <t xml:space="preserve">0.134020618556701(9.66386875549108e-05) </t>
  </si>
  <si>
    <t xml:space="preserve">8 4 </t>
  </si>
  <si>
    <t xml:space="preserve">0(0.00144941955846764) </t>
  </si>
  <si>
    <t xml:space="preserve">0(0.000702161048678681) </t>
  </si>
  <si>
    <t>RAC3</t>
  </si>
  <si>
    <t>ras-related C3 botulinum toxin substrate 3 [Homo sapiens]</t>
  </si>
  <si>
    <t xml:space="preserve">0(0.00325217375180244) </t>
  </si>
  <si>
    <t xml:space="preserve">0.0618556701030928(3.54820356817986e-05) </t>
  </si>
  <si>
    <t xml:space="preserve">0.103092783505155(0.00135961781405901) </t>
  </si>
  <si>
    <t xml:space="preserve">0.0309278350515464(7.6403951193385e-05) </t>
  </si>
  <si>
    <t xml:space="preserve">0.0740740740740741(0.000742578429941682) </t>
  </si>
  <si>
    <t xml:space="preserve">0.0412371134020619(0.000633970218693304) </t>
  </si>
  <si>
    <t xml:space="preserve">0.0103092783505155(0.000728770142016475) </t>
  </si>
  <si>
    <t xml:space="preserve">3  4 </t>
  </si>
  <si>
    <t xml:space="preserve">0.0515463917525773(0.000393155455091642) 0.0769230769230769(0.00478250302211355) </t>
  </si>
  <si>
    <t xml:space="preserve">0.207142857142857 0.176470588235294 </t>
  </si>
  <si>
    <t xml:space="preserve">0.0103092783505155(0.000225718219650712) </t>
  </si>
  <si>
    <t xml:space="preserve">0.307692307692308(0.00999175832188972) </t>
  </si>
  <si>
    <t xml:space="preserve">0.0103092783505155(0.000107935301704747) </t>
  </si>
  <si>
    <t xml:space="preserve">0.11340206185567(0.000559165738596685) </t>
  </si>
  <si>
    <t xml:space="preserve">0.0618556701030928(0.000171394417687413) </t>
  </si>
  <si>
    <t xml:space="preserve">0.175257731958763(0.00176775143660862) </t>
  </si>
  <si>
    <t xml:space="preserve">0.0103092783505155(0.000344169427959143) </t>
  </si>
  <si>
    <t xml:space="preserve">0(0.00544752354869725) </t>
  </si>
  <si>
    <t xml:space="preserve">0(0.000957456007190776) </t>
  </si>
  <si>
    <t xml:space="preserve">0(0.000576626965237245) </t>
  </si>
  <si>
    <t xml:space="preserve">0.0515463917525773(8.11708550352793e-05) </t>
  </si>
  <si>
    <t xml:space="preserve">0.0769230769230769(0.000717258721794388) </t>
  </si>
  <si>
    <t xml:space="preserve">0.0515463917525773(0.000144109617715418) </t>
  </si>
  <si>
    <t xml:space="preserve">0.0309278350515464(0.000204074804811289) </t>
  </si>
  <si>
    <t xml:space="preserve">0.206185567010309(0.000572745386512212) </t>
  </si>
  <si>
    <t xml:space="preserve">0(0.000551675987461876) </t>
  </si>
  <si>
    <t xml:space="preserve">0.0103092783505155(6.6908700691175e-05) </t>
  </si>
  <si>
    <t xml:space="preserve">0.11340206185567(0.00168825770086655) </t>
  </si>
  <si>
    <t>MTA1</t>
  </si>
  <si>
    <t>metastasis-associated protein MTA1 isoform MTA1 [Homo sapiens]</t>
  </si>
  <si>
    <t xml:space="preserve">0.153846153846154(0.00202817356879816) </t>
  </si>
  <si>
    <t>lamin-A/C isoform 1 precursor [Homo sapiens]</t>
  </si>
  <si>
    <t xml:space="preserve">9 29 </t>
  </si>
  <si>
    <t xml:space="preserve">0.114285714285714(0.0190280288415316) </t>
  </si>
  <si>
    <t xml:space="preserve">0.230769230769231(0.00159056618469248) </t>
  </si>
  <si>
    <t xml:space="preserve">0.0412371134020619(4.62901558857952e-05) </t>
  </si>
  <si>
    <t xml:space="preserve">0.0103092783505155(0.00099014381712763) </t>
  </si>
  <si>
    <t xml:space="preserve">0.0515463917525773(0.000103042035517463) </t>
  </si>
  <si>
    <t>RG9MTD1</t>
  </si>
  <si>
    <t>mitochondrial ribonuclease P protein 1 precursor [Homo sapiens]</t>
  </si>
  <si>
    <t xml:space="preserve">0(0.00144793377455257) </t>
  </si>
  <si>
    <t xml:space="preserve">0.0618556701030928(0.000476994199496342) </t>
  </si>
  <si>
    <t xml:space="preserve">0.0824742268041237(4.62901558857952e-05) </t>
  </si>
  <si>
    <t>ACOT9</t>
  </si>
  <si>
    <t>acyl-coenzyme A thioesterase 9; mitochondrial isoform b precursor [Homo sapiens]</t>
  </si>
  <si>
    <t xml:space="preserve">3 9 </t>
  </si>
  <si>
    <t xml:space="preserve">0(0.0108016750217324) </t>
  </si>
  <si>
    <t xml:space="preserve">0.0618556701030928(4.16923972541007e-05) </t>
  </si>
  <si>
    <t xml:space="preserve">0.0769230769230769(0.000507080951253525) </t>
  </si>
  <si>
    <t xml:space="preserve">0.123711340206186(6.98198289910402e-05) </t>
  </si>
  <si>
    <t xml:space="preserve">0.0927835051546392(0.00139163613621317) </t>
  </si>
  <si>
    <t xml:space="preserve">0.134020618556701(0.000184898615257227) </t>
  </si>
  <si>
    <t xml:space="preserve">0.0412371134020619(0.000559165738596685) </t>
  </si>
  <si>
    <t xml:space="preserve">0.11340206185567(0.000187000742249247) </t>
  </si>
  <si>
    <t xml:space="preserve">0.0309278350515464(0.000107220565426034) </t>
  </si>
  <si>
    <t xml:space="preserve">0.134020618556701(0.000309121818818237) </t>
  </si>
  <si>
    <t xml:space="preserve">0.103092783505155(0.000669095598960267) </t>
  </si>
  <si>
    <t xml:space="preserve">0.195876288659794(0.000432472655413301) </t>
  </si>
  <si>
    <t xml:space="preserve">0(0.0010447199600026) </t>
  </si>
  <si>
    <t xml:space="preserve">0.0412371134020619(5.42383280552117e-05) </t>
  </si>
  <si>
    <t xml:space="preserve">0.0309278350515464(0.00022622166757596) </t>
  </si>
  <si>
    <t xml:space="preserve">0.0515463917525773(0.000414915827806009) </t>
  </si>
  <si>
    <t xml:space="preserve">0.0103092783505155(6.79981089633885e-05) </t>
  </si>
  <si>
    <t xml:space="preserve">0.0309278350515464(5.24498042900194e-05) </t>
  </si>
  <si>
    <t xml:space="preserve">0.153846153846154(0.00171705479103774) </t>
  </si>
  <si>
    <t xml:space="preserve">0.0206185567010309(0.000125873644665799) </t>
  </si>
  <si>
    <t xml:space="preserve">0.0824742268041237(6.77399360273578e-05) </t>
  </si>
  <si>
    <t xml:space="preserve">0.0618556701030928(0.000119028797224142) </t>
  </si>
  <si>
    <t xml:space="preserve">0(0.00139163613621317) </t>
  </si>
  <si>
    <t xml:space="preserve">0.037037037037037(0.000976071185547666) </t>
  </si>
  <si>
    <t xml:space="preserve">0.0721649484536082(0.000468656120442278) </t>
  </si>
  <si>
    <t>TOR1AIP1</t>
  </si>
  <si>
    <t>torsin-1A-interacting protein 1 isoform 2 [Homo sapiens]</t>
  </si>
  <si>
    <t xml:space="preserve">0(0.00029205209080267) </t>
  </si>
  <si>
    <t xml:space="preserve">0(0.000472951519170432) </t>
  </si>
  <si>
    <t xml:space="preserve">11 9 </t>
  </si>
  <si>
    <t xml:space="preserve">0.0103092783505155(4.9374176394058e-05) </t>
  </si>
  <si>
    <t xml:space="preserve">0.0412371134020619(9.28285860989853e-05) </t>
  </si>
  <si>
    <t xml:space="preserve">0.0412371134020619(4.19394215829892e-05) </t>
  </si>
  <si>
    <t>hypothetical protein LOC90488 [Homo sapiens]</t>
  </si>
  <si>
    <t xml:space="preserve">0.171428571428571(0.0138371857062742) </t>
  </si>
  <si>
    <t xml:space="preserve">0.0206185567010309(0.00115781088493705) </t>
  </si>
  <si>
    <t xml:space="preserve">0.103092783505155(0.00140316150007619) </t>
  </si>
  <si>
    <t xml:space="preserve">0.0618556701030928(2.45955543364647e-05) </t>
  </si>
  <si>
    <t xml:space="preserve">0(0.0017957284770058) </t>
  </si>
  <si>
    <t xml:space="preserve">0.0721649484536082(0.000443216298424434) </t>
  </si>
  <si>
    <t xml:space="preserve">0.0309278350515464(0.000199323807750092) </t>
  </si>
  <si>
    <t>RBM6</t>
  </si>
  <si>
    <t>RNA-binding protein 6 isoform 1 [Homo sapiens]</t>
  </si>
  <si>
    <t xml:space="preserve">0.0103092783505155(7.12251190264317e-05) </t>
  </si>
  <si>
    <t xml:space="preserve">0.154639175257732(0.00191687410813333) </t>
  </si>
  <si>
    <t xml:space="preserve">0.103092783505155(0.000432472655413301) </t>
  </si>
  <si>
    <t xml:space="preserve">0.144329896907216(0.000200074630068047) </t>
  </si>
  <si>
    <t xml:space="preserve">0.0618556701030928(0.000399380369523563) </t>
  </si>
  <si>
    <t xml:space="preserve">0.164948453608247(0.0014381471730976) </t>
  </si>
  <si>
    <t xml:space="preserve">0.142857142857143(0.00188397096617111) </t>
  </si>
  <si>
    <t xml:space="preserve">0.0927835051546392(2.80080422975939e-05) </t>
  </si>
  <si>
    <t xml:space="preserve">0.0618556701030928(0.000249632909371283) </t>
  </si>
  <si>
    <t xml:space="preserve">0.153846153846154(0.00216614352138907) </t>
  </si>
  <si>
    <t xml:space="preserve">0.0206185567010309(4.27553196981768e-05) </t>
  </si>
  <si>
    <t xml:space="preserve">0.0740740740740741(0.00259826422229297) </t>
  </si>
  <si>
    <t xml:space="preserve">0.144329896907216(0.000621176905274126) </t>
  </si>
  <si>
    <t xml:space="preserve">0.0206185567010309(0.000117564916809236) </t>
  </si>
  <si>
    <t xml:space="preserve">0(0.000317448479052504) </t>
  </si>
  <si>
    <t xml:space="preserve">0.0309278350515464(0.00168825770086655) </t>
  </si>
  <si>
    <t>MARCKS</t>
  </si>
  <si>
    <t>myristoylated alanine-rich C-kinase substrate [Homo sapiens]</t>
  </si>
  <si>
    <t xml:space="preserve">0(0.00210336641614896) </t>
  </si>
  <si>
    <t xml:space="preserve">0.0309278350515464(5.42383280552117e-05) </t>
  </si>
  <si>
    <t xml:space="preserve">0.0721649484536082(0.000130751354493522) </t>
  </si>
  <si>
    <t xml:space="preserve">0.0927835051546392(0.000107843112145341) </t>
  </si>
  <si>
    <t xml:space="preserve">2 3 2 </t>
  </si>
  <si>
    <t xml:space="preserve">0.0309278350515464(0.000140991889549459) </t>
  </si>
  <si>
    <t xml:space="preserve">0.153846153846154(0.0010104208497385) </t>
  </si>
  <si>
    <t xml:space="preserve">0.144329896907216(0.00203076630874375) </t>
  </si>
  <si>
    <t>ARF GTPase-activating protein GIT2 isoform 3 [Homo sapiens]</t>
  </si>
  <si>
    <t xml:space="preserve">24 24 </t>
  </si>
  <si>
    <t xml:space="preserve">0.0285714285714286(0.0164519673536047) </t>
  </si>
  <si>
    <t>CALR</t>
  </si>
  <si>
    <t>calreticulin precursor [Homo sapiens]</t>
  </si>
  <si>
    <t xml:space="preserve">0.037037037037037(0.0038340288548363) </t>
  </si>
  <si>
    <t xml:space="preserve">0.0103092783505155(4.84733507071201e-05) </t>
  </si>
  <si>
    <t xml:space="preserve">14 8 </t>
  </si>
  <si>
    <t xml:space="preserve">0.0571428571428571(0.0164519673536047) </t>
  </si>
  <si>
    <t xml:space="preserve">0.103092783505155(0.000502496235711927) </t>
  </si>
  <si>
    <t>RNA binding protein fox-1 homolog 2 isoform 1 [Homo sapiens]</t>
  </si>
  <si>
    <t xml:space="preserve">0(0.000339729934355517) </t>
  </si>
  <si>
    <t xml:space="preserve">0.0309278350515464(0.00712366387945606) </t>
  </si>
  <si>
    <t xml:space="preserve">0.0618556701030928(6.20037914133487e-06) </t>
  </si>
  <si>
    <t xml:space="preserve">0.111111111111111(0.0229226451810268) </t>
  </si>
  <si>
    <t xml:space="preserve">0.103092783505155(6.66644393352616e-05) </t>
  </si>
  <si>
    <t xml:space="preserve">0.0618556701030928(0.000669095598960267) </t>
  </si>
  <si>
    <t xml:space="preserve">0.0309278350515464(8.34642968268732e-05) </t>
  </si>
  <si>
    <t xml:space="preserve">0.185567010309278(0.00099014381712763) </t>
  </si>
  <si>
    <t xml:space="preserve">0.0515463917525773(0.00143778783098141) </t>
  </si>
  <si>
    <t>AdhesomeBait</t>
  </si>
  <si>
    <t>AdhesomePrey</t>
  </si>
  <si>
    <t>ActinbindingBait</t>
  </si>
  <si>
    <t>ActinbindingPrey</t>
  </si>
  <si>
    <t>Associated</t>
  </si>
  <si>
    <t>Intrinsic</t>
  </si>
  <si>
    <t>ACTIN</t>
  </si>
  <si>
    <t>Supplementary Table 4. RhoGEF/RhoGAP localization reported in the literature and determined in this study</t>
  </si>
  <si>
    <t>Literature Localization 1</t>
  </si>
  <si>
    <t>PMID 1</t>
  </si>
  <si>
    <t>Literature Localization 2</t>
  </si>
  <si>
    <t>PMID 2</t>
  </si>
  <si>
    <t>Literature Localization 3</t>
  </si>
  <si>
    <t>PMID 3</t>
  </si>
  <si>
    <t>Localization summary (Literature)</t>
  </si>
  <si>
    <t>Agreement literature with this study?</t>
  </si>
  <si>
    <t>Uniprot localisation</t>
  </si>
  <si>
    <t>Agreement  Uniprot with this study?</t>
  </si>
  <si>
    <t>Cell Atlas confidence</t>
  </si>
  <si>
    <t>Cell Atlas localisation</t>
  </si>
  <si>
    <t>Agreement  Cell Atlas with this study?</t>
  </si>
  <si>
    <t>listed in Adhesome?</t>
  </si>
  <si>
    <t>PDZ binding motif?</t>
  </si>
  <si>
    <t>Localization (this study)
* indicated localization only detected by TIRF or cytoD assay
^ see notes</t>
  </si>
  <si>
    <t>C-terminal tag agrees with N-terminal tag?</t>
  </si>
  <si>
    <t>GRB2 dependent translocation upon EGF stimulus?</t>
  </si>
  <si>
    <t>Localization Notes (this study)</t>
  </si>
  <si>
    <t>cytosolic</t>
  </si>
  <si>
    <t>y</t>
  </si>
  <si>
    <t>NO_LOC_IN_UNIPROT</t>
  </si>
  <si>
    <t>x</t>
  </si>
  <si>
    <t>Approved</t>
  </si>
  <si>
    <t>Cytosol;Nucleoplasm;</t>
  </si>
  <si>
    <t>p</t>
  </si>
  <si>
    <t>PDZclassI</t>
  </si>
  <si>
    <t>plasma membrane</t>
  </si>
  <si>
    <t>cytosolic, plasma membrane</t>
  </si>
  <si>
    <t>Cytoplasm, cytosol {ECO:0000269|PubMed:11546812, ECO:0000269|PubMed:9891067}. Cytoplasm {ECO:0000269|PubMed:9627117}. Cytoplasm, cell cortex {ECO:0000269|PubMed:11546812}. Nucleus {ECO:0000269|PubMed:9627117}. Membrane {ECO:0000269|PubMed:11696353, ECO:0000269|PubMed:9891067}; Peripheral membrane protein {ECO:0000269|PubMed:11696353, ECO:0000305|PubMed:9891067}. Note=Colocalizes with the actin cytoskeleton at the cell cortex. {ECO:0000269|PubMed:11546812}.</t>
  </si>
  <si>
    <t>Supported</t>
  </si>
  <si>
    <t>Cytosol;</t>
  </si>
  <si>
    <t>PDZclassII</t>
  </si>
  <si>
    <t>yes</t>
  </si>
  <si>
    <t>vesicles</t>
  </si>
  <si>
    <t>centrosomes</t>
  </si>
  <si>
    <t>vesicles, centrosomes</t>
  </si>
  <si>
    <t>Cytosol;Intermediate filaments;</t>
  </si>
  <si>
    <t>n</t>
  </si>
  <si>
    <t>vesicles^</t>
  </si>
  <si>
    <t xml:space="preserve">Vesicles: Rab5 pos., not in all cells detectable. </t>
  </si>
  <si>
    <t>Golgi</t>
  </si>
  <si>
    <t>actin</t>
  </si>
  <si>
    <t>Golgi, vesicles, actin</t>
  </si>
  <si>
    <t>Cytoplasm. Golgi apparatus, Golgi stack membrane; Peripheral membrane protein. Cell membrane. Note=Associated with Golgi stacks in resting cells. Throughout the cytoplasm and in surface protrusion in cells that are in the process of attaching to a surface and spreading.</t>
  </si>
  <si>
    <t>Cytosol;Nucleoplasm;Plasma membrane;Vesicles;</t>
  </si>
  <si>
    <t>no</t>
  </si>
  <si>
    <t>Weak actin score in Cytochalasin D assay.</t>
  </si>
  <si>
    <t>V7523</t>
  </si>
  <si>
    <t>focal adhesions</t>
  </si>
  <si>
    <t>focal adhesions, vesicles</t>
  </si>
  <si>
    <t>Cytoplasm {ECO:0000250}.</t>
  </si>
  <si>
    <t>Actin filaments;Focal adhesion sites;</t>
  </si>
  <si>
    <t>focal adhesions, actin*</t>
  </si>
  <si>
    <t xml:space="preserve">Focal adhesion localization confirmed by TIRF imaging, pericentric. Cytochalasin D assay pos. (actin association not visible in live cells). </t>
  </si>
  <si>
    <t>Cytoplasm {ECO:0000250}. Cytoplasm, cytoskeleton {ECO:0000250}. Cell membrane {ECO:0000250}; Peripheral membrane protein {ECO:0000250}. Cell projection, lamellipodium {ECO:0000250}. Cell projection, ruffle {ECO:0000250}. Note=Cytoplasmic, and associated with F-actin-rich membrane ruffles and lamellipodia. {ECO:0000250}.</t>
  </si>
  <si>
    <t>NOTFOUND</t>
  </si>
  <si>
    <t>actin*</t>
  </si>
  <si>
    <t>Cytochalasin D assay pos. (actin association not visible in live cells).  Slight enrichment on focal adhesions detected by TIRF imaging.</t>
  </si>
  <si>
    <t>Cytoplasm.</t>
  </si>
  <si>
    <t>Vesicles;</t>
  </si>
  <si>
    <t xml:space="preserve">Large circular vesicles (partially Rab5 pos.). </t>
  </si>
  <si>
    <t xml:space="preserve"> Golgi, tubulin</t>
  </si>
  <si>
    <t>Cytoplasm. Note=Just below the plasma membrane.</t>
  </si>
  <si>
    <t>Focal adhesion sites;Nucleoplasm;</t>
  </si>
  <si>
    <t>plasma membrane (junctions)</t>
  </si>
  <si>
    <t>Cytoplasm {ECO:0000269|PubMed:8537347}. Cell membrane {ECO:0000269|PubMed:8537347}; Peripheral membrane protein {ECO:0000269|PubMed:8537347}. Note=Also membrane-associated in a fibrillar pattern that colocalizes with the alpha5-beta1 integrin receptor (ITGA5/ITGB1) for fibronectin. {ECO:0000269|PubMed:8537347}.</t>
  </si>
  <si>
    <t>Cytosol;Endoplasmic reticulum;</t>
  </si>
  <si>
    <t>associated</t>
  </si>
  <si>
    <t>Cytochalasin D assay pos. (actin association not visible in live cells).</t>
  </si>
  <si>
    <t>Cytoplasm {ECO:0000269|PubMed:10699171}.</t>
  </si>
  <si>
    <t>Nucleus;</t>
  </si>
  <si>
    <t>cytosolic^</t>
  </si>
  <si>
    <t>Filamentous structures in a very small fraction of cells, phalloidin negative. Actinin-like structures that partitially colocalize with paxillin found by TIRF imaging. Weak actin score in Cytochalasin D assay.</t>
  </si>
  <si>
    <t>n.a.</t>
  </si>
  <si>
    <t xml:space="preserve"> plasma membrane (junctions)^, actin*, focal adhesions*, mitochondria^</t>
  </si>
  <si>
    <t>N-terminal construct (YFP-ARHGAP9): plasma membrane (junctions). Cytochalasin D assay pos. (actin association not visible in live cells). Focal adhesion localization found by TIRF imaging (confirmed in REF52 cells).  C-terminal construct (ARHGAP9-YFP): Mitochondria. No actin association in Cytochalasin D. Weak focal adhesion localization found by TIRF imaging. shorter C-terminal construct (ARHGAP9-YFP_isoform3): does not localize on mitochondria.</t>
  </si>
  <si>
    <t>Cytoplasm {ECO:0000250}. Cytoplasm, perinuclear region {ECO:0000250}. Cell membrane {ECO:0000250}. Note=Association to cell membrane is dependent on PH domain. {ECO:0000250}.</t>
  </si>
  <si>
    <t>Cytosol;Nuclear membrane;Nucleoplasm;</t>
  </si>
  <si>
    <t>Tends to form aggregates at higher expression levels.</t>
  </si>
  <si>
    <t>Cytosol;Nucleoli;</t>
  </si>
  <si>
    <t>nucleus, actin*</t>
  </si>
  <si>
    <t>PDZclassIII</t>
  </si>
  <si>
    <t>mitochondria^</t>
  </si>
  <si>
    <t>YFP-ARHGAP11B: cytosolic, ARHGAP11B-YFP: mitochondria</t>
  </si>
  <si>
    <t>plasma membrane (junctions), focal adhesions*</t>
  </si>
  <si>
    <t>Focal adhesion localization found by TIRF imaging (confirmed in REF52 cells). Tends to form large perinuclear aggregates.</t>
  </si>
  <si>
    <t>Cytoplasm {ECO:0000269|PubMed:12650940}. Membrane {ECO:0000269|PubMed:12650940}; Peripheral membrane protein {ECO:0000269|PubMed:12650940}.</t>
  </si>
  <si>
    <t>Uncertain</t>
  </si>
  <si>
    <t>Golgi apparatus;Nucleoplasm;Vesicles;</t>
  </si>
  <si>
    <t>endoplasmic reticulum</t>
  </si>
  <si>
    <t>plasma membrane, endoplasmic reticulum</t>
  </si>
  <si>
    <t>Membrane; Peripheral membrane protein. Cytoplasm. Cell junction, tight junction. Note=Associates with membranes and concentrates at sites of cell-cell contact.</t>
  </si>
  <si>
    <t>Cytosol;Nucleus;</t>
  </si>
  <si>
    <t>plasma membrane (junctions)^</t>
  </si>
  <si>
    <t>Enrichment at plasma membrane (junctions) only detectable in fixed cells. Weak actin score in Cytochalasin D assay.</t>
  </si>
  <si>
    <t>tubulin</t>
  </si>
  <si>
    <t>Cytoplasm {ECO:0000269|PubMed:21865595}.</t>
  </si>
  <si>
    <t>Cytosol;Nuclear speckles;Plasma membrane;</t>
  </si>
  <si>
    <t>nucleus</t>
  </si>
  <si>
    <t>Nucleus {ECO:0000269|PubMed:17454002}.</t>
  </si>
  <si>
    <t>Plasma membrane;</t>
  </si>
  <si>
    <t>Mitochondria;</t>
  </si>
  <si>
    <t>Golgi, plasma membane</t>
  </si>
  <si>
    <t>Golgi apparatus membrane; Peripheral membrane protein. Cell junction. Cytoplasmic vesicle membrane; Peripheral membrane protein. Cytoplasm, cytoskeleton. Note=Localization to the Golgi is dependent on interaction with GTP-bound ARF1.</t>
  </si>
  <si>
    <t>Cell Junctions;Plasma membrane;Actin filaments;</t>
  </si>
  <si>
    <t>plasma membrane (junctions), Golgi^</t>
  </si>
  <si>
    <t>Faint Golgi signal detectable only in very few cells. Weak actin score in Cytochalasin D assay.</t>
  </si>
  <si>
    <t>vesicles, cytosolic</t>
  </si>
  <si>
    <t>Cytoplasm {ECO:0000250}. Nucleus {ECO:0000250}. Note=Mainly cytoplasmic. Some fraction is nuclear (By similarity). {ECO:0000250}.</t>
  </si>
  <si>
    <t>Cytosol;Nucleoplasm;Plasma membrane;</t>
  </si>
  <si>
    <t xml:space="preserve">plasma membrane, focal adhesions* </t>
  </si>
  <si>
    <t>Focal adhesion localization found by TIRF imaging  (both N- and C-terminal fusion; confirmed in REF52 cells), pericentric. Weak actin score in Cytochalasin D assay.</t>
  </si>
  <si>
    <t xml:space="preserve">Focal adhesion localization found by TIRF imaging (GAP-deficient arginine finger mutant), pericentric. Weak actin score in Cytochalasin D assay. </t>
  </si>
  <si>
    <t>actin, focal adhesions</t>
  </si>
  <si>
    <t>actin, focal adhesions, plasma membrane (junctions)</t>
  </si>
  <si>
    <t>Cytoplasm, cytoskeleton. Cell junction, adherens junction. Cell junction, focal adhesion. Cell projection. Note=Localizes to actin stress fibers. In migrating cells, localizes to membrane lamellae and protusions.</t>
  </si>
  <si>
    <t>Cytosol;Plasma membrane;</t>
  </si>
  <si>
    <t>intrinsic</t>
  </si>
  <si>
    <t>Actin association confirmed by Cytochalasin D assay (both N- and C-terminal fusion). Actin/Actinin-like structures that partially colocalize with paxillin found by TIRF imaging (both N- and C-terminal fusion).</t>
  </si>
  <si>
    <t>Nucleoplasm;Vesicles;</t>
  </si>
  <si>
    <t>lipid droplets</t>
  </si>
  <si>
    <t>focal adhesions, actin</t>
  </si>
  <si>
    <t>lipid droplets, focal adhesions, actin</t>
  </si>
  <si>
    <t>Cell junction, focal adhesion {ECO:0000250}. Cytoplasm, cytoskeleton {ECO:0000250}. Note=Colocalizes with actin stress fibers and cortical actin structures. {ECO:0000250}.</t>
  </si>
  <si>
    <t xml:space="preserve"> Tends to form perinuclear aggregates. Isoform 2: cytosolic</t>
  </si>
  <si>
    <t>MG27</t>
  </si>
  <si>
    <t>Cytoplasm {ECO:0000250}. Membrane {ECO:0000250}; Peripheral membrane protein {ECO:0000250}.</t>
  </si>
  <si>
    <t xml:space="preserve"> In a fraction of cells enriched in nuclear speckles (SF2/ASF pos., PML neg.). Isoform 2: cytosolic</t>
  </si>
  <si>
    <t>Cell Junctions;</t>
  </si>
  <si>
    <t>Cytochalasin D assay pos. (actin association not visible in live cells). Actin/Actinin-like structures that partitially colocalize with paxillin found by TIRF imaging.</t>
  </si>
  <si>
    <t>plasma membrane, cytosolic</t>
  </si>
  <si>
    <t>Centrosome;Cytosol;Nucleus;Plasma membrane;</t>
  </si>
  <si>
    <t>plasma membrane (junctions), actin*</t>
  </si>
  <si>
    <t>Cytoplasmic vesicle {ECO:0000269|PubMed:21565175}.</t>
  </si>
  <si>
    <t>Cell projection, lamellipodium. Cell junction, focal adhesion {ECO:0000250}.</t>
  </si>
  <si>
    <t>focal adhesions*, nucleus^</t>
  </si>
  <si>
    <t>Nuclear enrichment detectable only in a fraction of cells. In few cells faint plasma membrane enrichment. Focal adhesion localization found by TIRF imaging (both N- and C-terminal fusion; confirmed in REF52 cells).  Weak actin score in Cytochalasin D assay.</t>
  </si>
  <si>
    <t>vesicles, Golgi, endoplasmic reticulum</t>
  </si>
  <si>
    <t>Cell junction, synapse, postsynaptic cell membrane, postsynaptic density {ECO:0000250|UniProtKB:Q811P8}. Cell projection, dendritic spine {ECO:0000250|UniProtKB:Q811P8}. Cytoplasm, cell cortex {ECO:0000269|PubMed:12446789}. Endosome membrane {ECO:0000269|PubMed:17663722}. Golgi apparatus membrane {ECO:0000269|PubMed:17663722}. Endoplasmic reticulum membrane {ECO:0000250|UniProtKB:Q811P8}. Membrane {ECO:0000269|PubMed:17663722}. Note=Association to membrane via PX domain (PubMed:17663722). Associated with cortical actin in undifferentiated neuroblastoma cells, but localized to dendritic spine and postsynaptic density after differentiation (By similarity). Colocalizes with EGFR at the cell membrane upon EGF treatment (PubMed:12446789). Colocalizes with GAB2 at the cell membrane (PubMed:12819203). {ECO:0000250|UniProtKB:Q811P8, ECO:0000269|PubMed:12446789, ECO:0000269|PubMed:12819203, ECO:0000269|PubMed:17663722}.</t>
  </si>
  <si>
    <t>Golgi apparatus;Nucleoli fibrillar center;Nucleoplasm;</t>
  </si>
  <si>
    <t>plasma membrane (junctions), puncta^</t>
  </si>
  <si>
    <t xml:space="preserve">Localization on membrane-associated puncta found by confocal microscopy. Localization on basal membrane puncta found by TIRF imaging, but no colocalization with focal adhesion marker.   </t>
  </si>
  <si>
    <t>Actin filaments;Cytosol;Plasma membrane;</t>
  </si>
  <si>
    <t>plasma membrane, actin*, basal membrane filaments^</t>
  </si>
  <si>
    <t>Cytochalasin D assay pos. (actin association not visible in live cells). Localization on basal membrane filamentous structures found by confocal microscopy. Localization on basal membrane puncta found by TIRF imaging, but no colocalization with focal adhesion marker. Tends to form aggregates.</t>
  </si>
  <si>
    <t>invadopodia</t>
  </si>
  <si>
    <t>focal adhesions, cytosolic, invadopodia</t>
  </si>
  <si>
    <t>Cytoplasm, cytoskeleton, cilium basal body {ECO:0000250|UniProtKB:Q91YM2}. Cytoplasm {ECO:0000250|UniProtKB:Q91YM2}. Nucleus {ECO:0000305|PubMed:1894621}. Cell membrane {ECO:0000250|UniProtKB:Q91YM2}. Note=In response to integrins and SDC4 and upon phosphorylation by PKC, relocalizes from the cytoplasm to regions of plasma membrane ruffling where it colocalizes with polymerized actin. {ECO:0000250|UniProtKB:Q91YM2}.</t>
  </si>
  <si>
    <t>Nuclear bodies;Aggresome;</t>
  </si>
  <si>
    <t>actin*, focal adhesions*</t>
  </si>
  <si>
    <t>Cytochalasin D assay pos. (actin association not visible in live cells). Focal adhesion localization found by TIRF imaging: colocalization with Paxillin only at lamellopodia front in COS-7 cells, broad distribution on adhesions in REF52 cells.</t>
  </si>
  <si>
    <t>plasma membrane, vesicles</t>
  </si>
  <si>
    <t>Nucleus;Plasma membrane;Vesicles;</t>
  </si>
  <si>
    <t>lysosomes. Isoform 2: lysosomes, plasma membrane, vesicles</t>
  </si>
  <si>
    <t>Nucleus {ECO:0000305}.</t>
  </si>
  <si>
    <t>Cytokinetic bridge;Cytosol;Microtubules;Nucleoplasm;</t>
  </si>
  <si>
    <t>plasma membrane^, focal adhesions*, nucleus^</t>
  </si>
  <si>
    <t xml:space="preserve">Plasma membrane or nuclear enrichment only in a fraction of cells. Focal adhesion localization found by TIRF imaging (both N- and C-terminal fusion; confirmed in REF52 cells). </t>
  </si>
  <si>
    <t>Cytosol;Plasma membrane;Centrosome;Nucleoplasm;</t>
  </si>
  <si>
    <t>Cytosol;Nuclear speckles;</t>
  </si>
  <si>
    <t>Actin association confirmed by Cytochalasin D assay. Actin/Actinin-like structures that partitially colocalize with paxillin found by TIRF imaging.</t>
  </si>
  <si>
    <t>Cell projection, dendritic spine {ECO:0000250}. Recycling endosome {ECO:0000250}. Cell junction, synapse {ECO:0000250}. Note=In CA1 hippocampal synapses, detected at both presynaptic and postsynaptic sites. {ECO:0000250}.</t>
  </si>
  <si>
    <t>Cytoplasm {ECO:0000269|PubMed:24086303}. Cell projection, ruffle membrane {ECO:0000269|PubMed:24086303}.</t>
  </si>
  <si>
    <t>cytosolic, focal adhesions</t>
  </si>
  <si>
    <t>Cytoplasm {ECO:0000269|PubMed:10747909}. Membrane {ECO:0000269|PubMed:10747909}. Note=Translocated to the membrane by activated GNA13 or LPA stimulation.</t>
  </si>
  <si>
    <t>Enhanced</t>
  </si>
  <si>
    <t>Previously claimed focal adhesion localization not detected by TIRF imaging (COS-7 (both N- and C-terminal fusion) and REF52 cells).</t>
  </si>
  <si>
    <t>tubulin, plasma membrane (junctions), focal adhesions</t>
  </si>
  <si>
    <t>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</si>
  <si>
    <t>Previously claimed focal adhesion localization not detected by TIRF imaging (COS-7 and REF52 cells).</t>
  </si>
  <si>
    <t>nucleus, plasma membrane^</t>
  </si>
  <si>
    <t xml:space="preserve">Plasma membrane enrichment only in a fraction of cells. </t>
  </si>
  <si>
    <t>Isoform 3: Cytoplasm. Cell projection, ruffle membrane {ECO:0000305}; Peripheral membrane protein {ECO:0000305}; Cytoplasmic side {ECO:0000305}. Note=Associated with membrane ruffles. {ECO:0000305}.</t>
  </si>
  <si>
    <t>cytosolic, nucleus</t>
  </si>
  <si>
    <t>podosomes</t>
  </si>
  <si>
    <t>cytosolic, nucleus, podosomes</t>
  </si>
  <si>
    <t>Cytoplasm {ECO:0000269|PubMed:14662653, ECO:0000269|PubMed:25911094}. Nucleus {ECO:0000269|PubMed:14662653}. Cell projection, podosome {ECO:0000250|UniProtKB:E9Q7D5}.</t>
  </si>
  <si>
    <t xml:space="preserve">EGF-induced membrane translocation in presence of cotransfected GRB2 and EGFR. </t>
  </si>
  <si>
    <t>focal adhesions, cytosolic</t>
  </si>
  <si>
    <t>Cell projection, lamellipodium {ECO:0000250}.</t>
  </si>
  <si>
    <t>focal adhesions*</t>
  </si>
  <si>
    <t xml:space="preserve">Focal adhesion localization found by TIRF imaging (confirmed in REF52 cells). </t>
  </si>
  <si>
    <t>vesicles, focal adhesions</t>
  </si>
  <si>
    <t>Cell junction, focal adhesion {ECO:0000250}. Cell projection, ruffle {ECO:0000250}. Cytoplasm, cell cortex {ECO:0000250}. Cell projection, lamellipodium {ECO:0000250}. Note=Detected at cell adhesions. A small proportion is detected at focal adhesions.</t>
  </si>
  <si>
    <t>Cytoplasm {ECO:0000269|PubMed:10559246}. Cell junction, synapse, postsynaptic cell membrane, postsynaptic density {ECO:0000250|UniProtKB:Q3UTH8}.</t>
  </si>
  <si>
    <t>cytosolic, centrosomes, nucleus</t>
  </si>
  <si>
    <t>Nucleoplasm;</t>
  </si>
  <si>
    <t>Cytoplasm {ECO:0000269|PubMed:16112081}.</t>
  </si>
  <si>
    <t>Cytosol;Golgi apparatus;Vesicles;</t>
  </si>
  <si>
    <t>Cytoplasm {ECO:0000269|PubMed:10900204}. Membrane {ECO:0000269|PubMed:10900204}. Note=Translocated to the membrane upon stimulation.</t>
  </si>
  <si>
    <t>Golgi apparatus;Plasma membrane;</t>
  </si>
  <si>
    <t xml:space="preserve"> vesicles, actin*, plasma membrane^</t>
  </si>
  <si>
    <t>Circular vesicles (Rab7 pos.). Cytochalasin D assay pos. (actin association not visible in live cells, confirmed for N- and C-terminal fusion). Faint plasma membrane localization detectable only in few cells. Previously claimed focal adhesion localization not detected by TIRF imaging (COS-7 (both N- and C-terminal fusion) and REF52 cells).</t>
  </si>
  <si>
    <t>Cytoplasm {ECO:0000305}. Membrane {ECO:0000305}. Note=Translocated to the membrane upon stimulation. {ECO:0000305}.</t>
  </si>
  <si>
    <t>Cell projection, dendrite {ECO:0000250}. Note=Expressed exclusively in dendrites of the developing hippocampus. {ECO:0000250}.</t>
  </si>
  <si>
    <t>Enrichment on membrane ruffles, likely peripheral actin. Actin association confirmed by Cytochalasin D assay. Plasma membrane localization in addition to peripheral actin cannot be ruled out.</t>
  </si>
  <si>
    <t>Cytoplasm {ECO:0000305}.</t>
  </si>
  <si>
    <t>cytosolic, isoform 2: vesicles</t>
  </si>
  <si>
    <t>Weak actin score in Cytochalasin D assay. Isoform 2: HRS coexpression shifts localization to circular vesicles</t>
  </si>
  <si>
    <t>actin, plasma membrane (junctions)</t>
  </si>
  <si>
    <t>actin, vesicles, plasma membrane (junctions)</t>
  </si>
  <si>
    <t xml:space="preserve">Large circular vesicles. Actin association found in Cytochalasin D assay. Plasma membrane localization in addition to peripheral actin cannot be ruled out. </t>
  </si>
  <si>
    <t>Cytoplasm {ECO:0000269|PubMed:15558029}. Cytoplasm, cytoskeleton {ECO:0000269|PubMed:15558029}. Cell membrane {ECO:0000269|PubMed:29601110}. Apical cell membrane {ECO:0000269|PubMed:22006950}. Note=In unactivated eosinophils, distributed around the cell periphery in the perimembranous region (PubMed:29601110). In activated eosinophils, relocates to the tip of the nucleopod, a membrane structure formed during activation when the nucleus moves to one end of the cell, and is also concentrated in membrane protrusions at the opposite end of the cell (PubMed:29601110). Localizes to the apical cell membrane in epithelial cells (PubMed:22006950). {ECO:0000269|PubMed:22006950, ECO:0000269|PubMed:29601110}.</t>
  </si>
  <si>
    <t>Actin association confirmed by Cytochalasin D assay. Enrichment on membrane ruffles/cell periphery, additional plasma membrane localization cannot be ruled out.</t>
  </si>
  <si>
    <t>Nuclear bodies;</t>
  </si>
  <si>
    <t>plasma membrane^, focal adhesions*</t>
  </si>
  <si>
    <t xml:space="preserve">Plasma membrane in patches. Focal adhesion localization found by TIRF imaging (weak focal adhesion localization confirmed in REF52 cells). </t>
  </si>
  <si>
    <t>Cell membrane {ECO:0000250}. Cytoplasm, myofibril, sarcomere {ECO:0000269|PubMed:11861769}. Note=Highly colocalizes with actin regions.</t>
  </si>
  <si>
    <t xml:space="preserve"> plasma membrane</t>
  </si>
  <si>
    <t xml:space="preserve"> Isoform 2: cytosolic.</t>
  </si>
  <si>
    <t>Cell projection, ruffle {ECO:0000269|PubMed:15133129, ECO:0000269|PubMed:17875742}.</t>
  </si>
  <si>
    <t>Plasma membrane;Cytosol;Nucleoplasm;</t>
  </si>
  <si>
    <t>Enrichment on membrane ruffles. Actin association confirmed by Cytochalasin D assay.</t>
  </si>
  <si>
    <t>microtubules</t>
  </si>
  <si>
    <t>focal adhesions, invadopodia, microtubules</t>
  </si>
  <si>
    <t>Cytoplasm {ECO:0000250}. Cell membrane {ECO:0000250}. Note=Colocalizes with the microtubule radial and cortical systems. {ECO:0000250}.</t>
  </si>
  <si>
    <t>Cytosol;Microtubules;Plasma membrane;</t>
  </si>
  <si>
    <t>Cell membrane {ECO:0000269|PubMed:22327280}.</t>
  </si>
  <si>
    <t>plasma membrane, focal adhesions*</t>
  </si>
  <si>
    <t xml:space="preserve">Focal adhesion localization found by TIRF imaging (C-terminal fusion shows only weak focal adheasion enrichment). </t>
  </si>
  <si>
    <t>keratin</t>
  </si>
  <si>
    <t>keratin, cytosolic, plasma membrane</t>
  </si>
  <si>
    <t>Cytoplasm {ECO:0000269|PubMed:16143467}. Note=Concentrated in the perinuclear region.</t>
  </si>
  <si>
    <t>basal membrane filaments^, isoform 2: vesicles^</t>
  </si>
  <si>
    <t>Localization on basal membrane filamentous structures found by confocal microscopy. Localization on basal membrane puncta found by TIRF imaging, diffuse pericentric focal adhesion localization.  Isoform 2: localizes on large circular vesicles in a fraction of cells. Weak focal adhesion association found by TIRF imaging.</t>
  </si>
  <si>
    <t>plasma membrane, Golgi, cytosolic</t>
  </si>
  <si>
    <t>Cell junction, synapse, postsynaptic cell membrane, postsynaptic density {ECO:0000250|UniProtKB:Q6PAJ1}.</t>
  </si>
  <si>
    <t>plasma membrane^, actin*</t>
  </si>
  <si>
    <t xml:space="preserve">Plasma membrane localization not uniform, it may instead be peripheral actin. Cytochalasin D assay pos. (actin association not visible in live cells). </t>
  </si>
  <si>
    <t>cytosolic, alpha1 isoform: endomembranes^</t>
  </si>
  <si>
    <t xml:space="preserve"> CHN1 alpha1, the shorter isoform, is enriched on endomembranes.</t>
  </si>
  <si>
    <t>cytosolic, Golgi</t>
  </si>
  <si>
    <t>Membrane {ECO:0000305}; Peripheral membrane protein {ECO:0000305}.</t>
  </si>
  <si>
    <t>Nucleus {ECO:0000269|PubMed:17452976, ECO:0000269|PubMed:20587513}. Note=Colocalizes with ZNF224 at the nucleus.</t>
  </si>
  <si>
    <t>Nucleoli fibrillar center;Nucleus;</t>
  </si>
  <si>
    <t>Cytosol;Golgi apparatus;Nucleoplasm;</t>
  </si>
  <si>
    <t>focal adhesions, plasma membrane (junctions)</t>
  </si>
  <si>
    <t>Cytoplasm, cytoskeleton, microtubule organizing center, centrosome {ECO:0000269|PubMed:14654843}. Cytoplasm, cytoskeleton. Nucleus. Mitochondrion. Note=Upon induction of apoptosis translocates together with BCL2L11 to mitochondria.</t>
  </si>
  <si>
    <t>Cytoplasm {ECO:0000269|PubMed:17015620}. Golgi apparatus, Golgi stack {ECO:0000250|UniProtKB:Q6TXD4}. Cytoplasm, cytoskeleton {ECO:0000250|UniProtKB:Q6TXD4}. Cell junction, synapse {ECO:0000250|UniProtKB:M0R4F8}. Cell junction {ECO:0000269|PubMed:17015620}. Note=Localizes to the apical junction, colocalizes with TJP1. {ECO:0000269|PubMed:17015620}.</t>
  </si>
  <si>
    <t>Cytosol;Golgi apparatus;Nuclear bodies;Nucleoli;</t>
  </si>
  <si>
    <t>cytosolic, isoform 2: plasma membrane (junctions)</t>
  </si>
  <si>
    <t>Tends to form large puncta, likely protein aggregates. Weak actin score in Cytochalasin D assay. Isoform 2: plasma membrane (junctions).</t>
  </si>
  <si>
    <t>nucleus, cytosolic, focal adhesions</t>
  </si>
  <si>
    <t>Cytoplasm {ECO:0000305}. Membrane {ECO:0000305}. Note=Recruited to membranes via its interaction with phosphatidylinositol 3,4,5-trisphosphate. {ECO:0000305}.</t>
  </si>
  <si>
    <t>plasma membrane^, actin*, focal adhesions*</t>
  </si>
  <si>
    <t>Plasma membrane localization not uniform and only in a fraction of cells. Cytochalasin D assay pos. (actin association not visible in live cells). Focal adhesion localization found by TIRF imaging (confirmed in REF52 cells).</t>
  </si>
  <si>
    <t>Endomembrane system {ECO:0000269|PubMed:12393632}; Peripheral membrane protein {ECO:0000269|PubMed:12393632}. Cytoplasm, cytoskeleton {ECO:0000269|PubMed:12393632}. Note=Colocalizes with F-actin.</t>
  </si>
  <si>
    <t xml:space="preserve">Tends to form aggregates. </t>
  </si>
  <si>
    <t>focal adhesions*, plasma membrane (junctions)</t>
  </si>
  <si>
    <t>Focal adhesion localization found by TIRF imaging (confirmed in REF52 cells). Tends to form aggregates. Enrichment at junctions.</t>
  </si>
  <si>
    <t>Cell membrane {ECO:0000269|PubMed:12628187}. Cell projection {ECO:0000269|PubMed:20679435}. Cytoplasm, cytosol {ECO:0000305|PubMed:20679435}. Note=Colocalizes with EPHA2, RhoG and CTTN/cortactin at the tip of protrusions in migrating cells. {ECO:0000269|PubMed:20679435}.</t>
  </si>
  <si>
    <t>Plasma membrane;Cytosol;Golgi apparatus;Nucleoli;</t>
  </si>
  <si>
    <t>plasma membrane, focal adhesions</t>
  </si>
  <si>
    <t>Cytoplasm {ECO:0000269|PubMed:19004829}. Cell membrane {ECO:0000269|PubMed:19004829}. Note=Associated with the edge of the plasma membrane in Caco-2 intestinal epithelial cells spreading on type IV collagen. {ECO:0000269|PubMed:19004829}.</t>
  </si>
  <si>
    <t>very weak</t>
  </si>
  <si>
    <t>Cytoplasm {ECO:0000269|PubMed:17196961}. Cytoplasm, perinuclear region {ECO:0000269|PubMed:17196961}. Note=Mainly located near the cell surface.</t>
  </si>
  <si>
    <t>Recruitment by LRCH proteins to peripheral actin or endoplasmic reticulum. Weak actin score in Cytochalasin D assay.</t>
  </si>
  <si>
    <t>V5919</t>
  </si>
  <si>
    <t>Cell projection, axon {ECO:0000269|PubMed:16982419}. Note=Enriched in the developing axons of hippocampal neurons.</t>
  </si>
  <si>
    <t>Cytoplasm {ECO:0000269|PubMed:28028151}. Cell membrane {ECO:0000269|PubMed:28028151}; Peripheral membrane protein {ECO:0000305|PubMed:28028151}; Cytoplasmic side {ECO:0000305}. Cell projection, lamellipodium membrane {ECO:0000269|PubMed:28028151}; Peripheral membrane protein {ECO:0000305|PubMed:28028151}; Cytoplasmic side {ECO:0000305}. Note=Enriched and co-localizes with GTPase CDC42 at the immunological synapse formed during T cell/antigen presenting cell cognate interaction. Translocates from the cytoplasm to the plasma membrane in response to chemokine CXCL12/SDF-1-alpha stimulation. {ECO:0000269|PubMed:28028151}.</t>
  </si>
  <si>
    <t>Centrosome;Cytosol;Mitochondria;Nucleoplasm;</t>
  </si>
  <si>
    <t>Recruitment by LRCH proteins to peripheral actin or endoplasmic reticulum.</t>
  </si>
  <si>
    <t>Endomembrane system {ECO:0000305}. Note=Associated with membranes. {ECO:0000305}.</t>
  </si>
  <si>
    <t>Nucleus {ECO:0000269|PubMed:18499258}. Cytoplasm {ECO:0000269|PubMed:18499258}. Cell projection, dendritic spine {ECO:0000250|UniProtKB:Q8BZN6}.</t>
  </si>
  <si>
    <t>plasma membrane^</t>
  </si>
  <si>
    <t xml:space="preserve">Plasma membrane localization not uniform and only in a fraction of cells. </t>
  </si>
  <si>
    <t>Nuclear membrane;Nucleoli;</t>
  </si>
  <si>
    <t>nucleus, plasma membrane (junctions)</t>
  </si>
  <si>
    <t>Nucleus. Cytoplasm. Cytoplasm, cytoskeleton, spindle. Cleavage furrow. Midbody. Cell junction. Cell junction, tight junction. Note=Sequestered within the nucleus during interphase. Dispersed throughout the cytoplasm upon breakdown of the nuclear envelope during mitosis. Colocalizes with the centralspindlin complex to the mitotic spindles during anaphase/metaphase, the cleavage furrow during telophase and at the midbody at the end of cytokinesis. Colocalized with RhoA at the midbody. Its subcellular localization to tight junction is increased by calcium. Localized predominantly in the cytoplasm of numerous carcinoma cells.</t>
  </si>
  <si>
    <t xml:space="preserve">Plasma membrane localization only in a fraction of cells. Varying extent of nuclear enrichment. </t>
  </si>
  <si>
    <t xml:space="preserve">Focal adhesion localization found by TIRF imaging, pericentric. Tends to form aggregates. </t>
  </si>
  <si>
    <t>JB568 / V4372</t>
  </si>
  <si>
    <t>Cell Junctions;Cytosol;Nucleoli;</t>
  </si>
  <si>
    <t xml:space="preserve">Tends to form perinuclear aggregates. </t>
  </si>
  <si>
    <t>Cell membrane; Peripheral membrane protein; Cytoplasmic side. Cell junction, synapse. Cell junction, synapse, synaptosome {ECO:0000250}. Cytoplasm, cytosol {ECO:0000250}. Cell projection, filopodium {ECO:0000250}. Cell projection, dendrite {ECO:0000250}. Cell projection, dendritic spine {ECO:0000250}. Note=Recruited to the cell membrane via interaction with CADM1. {ECO:0000250}.</t>
  </si>
  <si>
    <t xml:space="preserve">Strong enrichment at the plasma membrane, in some cells in patches. </t>
  </si>
  <si>
    <t>Strong enrichment at the plasma membrane, in some cells in patches. Focal adhesion localization found by TIRF imaging in COS-7 cells, pericentric. Focal adhesion localization could not be confirmed in REF52 cells.</t>
  </si>
  <si>
    <t>Golgi, actin</t>
  </si>
  <si>
    <t>Cytoplasm {ECO:0000250}. Cell projection, lamellipodium {ECO:0000250}. Cell projection, ruffle {ECO:0000250}. Cytoplasm, cytoskeleton {ECO:0000250}. Note=Associated with membrane ruffles and lamellipodia. {ECO:0000250}.</t>
  </si>
  <si>
    <t>Enrichment on peripheral membrane ruffles. Actin association confirmed by Cytochalasin D assay.</t>
  </si>
  <si>
    <t>vesicles, plasma membrane</t>
  </si>
  <si>
    <t>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</si>
  <si>
    <t>Actin filaments not in all cells detectable. Actin association confirmed by Cytochalasin D assay (both for N- and C-terminal fusion). Actin/Actinin-like structures that partitially colocalize with paxillin found by TIRF imaging.</t>
  </si>
  <si>
    <t>Cytoplasm {ECO:0000305}. Cytoplasm, cytoskeleton {ECO:0000305}.</t>
  </si>
  <si>
    <t>Cytoplasm, cytoskeleton {ECO:0000250}. Cell projection, filopodium {ECO:0000250}. Note=Concentrated in filopodia and poorly detected at lamellipodia. Binds along the sides of actin fibers (By similarity). {ECO:0000250}.</t>
  </si>
  <si>
    <t>Actin filaments;</t>
  </si>
  <si>
    <t>actin, vesicles</t>
  </si>
  <si>
    <t>Actin association confirmed by Cytochalasin D assay (both for N- and C-terminal fusion). Actin/Actinin-like structures that partitially colocalize with paxillin found by TIRF imaging. Large circular vesicles.</t>
  </si>
  <si>
    <t>actin, vesicles, endoplasmic reticulum, Golgi, plasma membrane (junctions)</t>
  </si>
  <si>
    <t>Cytoplasm, cytoskeleton {ECO:0000269|PubMed:22328776}. Cell projection, ruffle membrane {ECO:0000269|PubMed:22328776}. Endoplasmic reticulum {ECO:0000269|PubMed:22328776}. Golgi apparatus {ECO:0000269|PubMed:22328776}. Early endosome {ECO:0000269|PubMed:22328776}. Note=In peripheral membrane ruffles, colocolizes with F-actin. In confluent HUVECs, detected at cell-cell-contact sites where it colocalizes with vascular endothelial cadherin/CDH5.</t>
  </si>
  <si>
    <t>podosomes, vesicles</t>
  </si>
  <si>
    <t>puncta^</t>
  </si>
  <si>
    <t xml:space="preserve">Enrichment in plasma membrane associated puncta. </t>
  </si>
  <si>
    <t>Cytoplasm, cytosol {ECO:0000269|PubMed:7721860}. Endoplasmic reticulum-Golgi intermediate compartment {ECO:0000269|PubMed:17956944}. Early endosome membrane {ECO:0000269|PubMed:17956944}. Membrane {ECO:0000269|PubMed:7721860}; Peripheral membrane protein {ECO:0000305|PubMed:7721860}; Cytoplasmic side {ECO:0000305|PubMed:7721860}. Cytoplasmic vesicle, phagosome membrane {ECO:0000250|UniProtKB:Q8K337}. Golgi apparatus {ECO:0000269|PubMed:17956944}.</t>
  </si>
  <si>
    <t xml:space="preserve">Fast moving vesicles (along tubular structures), with comet tails (Rab5 pos). </t>
  </si>
  <si>
    <t>Endomembrane system {ECO:0000269|PubMed:11744688}. Cell junction, synapse, synaptosome {ECO:0000250|UniProtKB:Q9WVE9}. Cell projection, lamellipodium {ECO:0000269|PubMed:11744688}. Cell membrane {ECO:0000269|PubMed:11744688, ECO:0000269|PubMed:20946875}. Membrane, clathrin-coated pit {ECO:0000269|PubMed:20946875, ECO:0000269|PubMed:29887380}. Recycling endosome {ECO:0000269|PubMed:29030480}. Endosome {ECO:0000250|UniProtKB:Q9Z0R4}. Cytoplasmic vesicle {ECO:0000250|UniProtKB:Q9Z0R4}. Note=Colocalizes with SGIP1 at the plasma membrane in structures corresponding most probably to clathrin-coated pits (PubMed:20946875). Colocalizes with RAB13 on cytoplasmic vesicles that are most likely recycling endosomes (PubMed:29030480). {ECO:0000269|PubMed:20946875, ECO:0000269|PubMed:29030480}.Isoform 2: Cytoplasm {ECO:0000269|PubMed:29599122}. Endomembrane system {ECO:0000269|PubMed:21712076}. Nucleus envelope {ECO:0000269|PubMed:29599122}. Note=Shuttles between the cytoplasm and nucleus in an XPO1/CRM1-dependent manner. {ECO:0000269|PubMed:29599122}.Isoform 5: Endomembrane system {ECO:0000269|PubMed:21712076}.</t>
  </si>
  <si>
    <t>vesicles, focal adhesions*</t>
  </si>
  <si>
    <t xml:space="preserve">Focal adhesion localization found by TIRF imaging. </t>
  </si>
  <si>
    <t>Plasma membrane;Vesicles;</t>
  </si>
  <si>
    <t>vesicles, focal adhesions*, actin*</t>
  </si>
  <si>
    <t>Focal adhesion localization found by TIRF imaging. Actin association found in Cytochalasin D assay  (not visible in live cells).</t>
  </si>
  <si>
    <t>actin, Golgi, vesicles</t>
  </si>
  <si>
    <t>Cytoplasm {ECO:0000269|PubMed:10023074}. Cytoplasm, cytoskeleton {ECO:0000269|PubMed:10023074}. Note=Associated with the cytoskeleton.</t>
  </si>
  <si>
    <t>plasma membrane,  focal adhesions*</t>
  </si>
  <si>
    <t>endomembranes</t>
  </si>
  <si>
    <t>plasma membrane, endomembranes</t>
  </si>
  <si>
    <t>Cytoplasm {ECO:0000269|PubMed:15157669}.Isoform 1: Membrane.Isoform 3: Membrane. Note=Colocalizes with CDC42 to plasma membrane.</t>
  </si>
  <si>
    <t>plasma membrane^, vesicles, basal membrane filaments^</t>
  </si>
  <si>
    <t>Large circular vesicles. Plasma membrane enrichment not uniform and not in all cells. Localization on basal membrane filamentous structures found by confocal microscopy. Localization on basemement membrane puncta found by TIRF imaging,  diffuse pericentric focal adhesion localization. Weak actin score in Cytochalasin D assay.</t>
  </si>
  <si>
    <t>Isoform 5: Cytoplasm {ECO:0000269|PubMed:15157669}. Cell membrane {ECO:0000269|PubMed:15157669}; Peripheral membrane protein {ECO:0000269|PubMed:15157669}; Cytoplasmic side {ECO:0000269|PubMed:15157669}.Isoform 3: Cytoplasm {ECO:0000269|PubMed:15157669}. Endomembrane system {ECO:0000269|PubMed:15157669}. Note=Interaction with membranes enriched in phosphoinositides is mediated by the CRAL-TRIO domain. {ECO:0000269|PubMed:15157669}.Cytoplasm {ECO:0000250|UniProtKB:Q64096}. Cell membrane {ECO:0000250|UniProtKB:Q64096}; Peripheral membrane protein {ECO:0000250|UniProtKB:Q64096}; Cytoplasmic side {ECO:0000250|UniProtKB:Q64096}.</t>
  </si>
  <si>
    <t>vesicles^, plasma membrane (junctions)</t>
  </si>
  <si>
    <t xml:space="preserve">Large circular vesicles that are interconnected with filaments. Enrichment at cell junctions only in a fraction of cells.  </t>
  </si>
  <si>
    <t xml:space="preserve">Large circular vesicles (Rab7 pos). YFP-MCF2L2 faint vesicular localization, MCF2L2-YFP pronounced vesicular localization.  </t>
  </si>
  <si>
    <t>Membrane {ECO:0000255}; Single-pass membrane protein {ECO:0000255}. Cytoplasm {ECO:0000250|UniProtKB:Q9Z1N3}. Cell junction, synapse {ECO:0000250|UniProtKB:Q8C170}. Cell projection, growth cone {ECO:0000250|UniProtKB:Q8C170}. Note=Localized in the cytoplasm of cell bodies, dendrites and axons with occasional hints of an enrichment near the plasma membrane. Localized at the neuromuscular junction (By similarity). {ECO:0000250|UniProtKB:Q8C170, ECO:0000250|UniProtKB:Q9Z1N3}.</t>
  </si>
  <si>
    <t>Actin association found in Cytochalasin D assay  (not visible in live cells). Actin/Actinin-like structures that partitially colocalize with paxillin found by TIRF imaging.</t>
  </si>
  <si>
    <t>Cytoplasm, cell cortex {ECO:0000269|PubMed:8907710}. Cytoplasm, perinuclear region {ECO:0000269|PubMed:8907710}. Cytoplasm, cytoskeleton {ECO:0000269|PubMed:8907710, ECO:0000269|PubMed:9490638}. Note=In undifferentiated cells colocalizes with F-actin in the cell periphery while in differentiated cells its localization is cytoplasmic with the highest levels in the perinuclear region. {ECO:0000269|PubMed:8907710}.</t>
  </si>
  <si>
    <t>Cell membrane {ECO:0000269|PubMed:10381548, ECO:0000269|PubMed:10606742, ECO:0000269|PubMed:9845349}; Multi- pass membrane protein {ECO:0000250|UniProtKB:Q7K4Y6}.</t>
  </si>
  <si>
    <t>Nucleus;Vesicles;</t>
  </si>
  <si>
    <t xml:space="preserve">Plasma membrane localization only in a fraction of cells. </t>
  </si>
  <si>
    <t>Cytoplasm {ECO:0000250}. Membrane {ECO:0000250}. Cell projection, growth cone {ECO:0000250}. Note=Associated with membranes. Localizes to axonal growth cones (By similarity). {ECO:0000250}.</t>
  </si>
  <si>
    <t>vesicles, Golgi</t>
  </si>
  <si>
    <t>Cytoplasmic vesicle, phagosome membrane {ECO:0000250|UniProtKB:D3ZGS3}. Early endosome membrane {ECO:0000269|PubMed:25869668}. Membrane, clathrin-coated pit {ECO:0000269|PubMed:25869668}. Cell projection, cilium, photoreceptor outer segment {ECO:0000269|PubMed:22543976}. Cell projection, cilium {ECO:0000269|PubMed:22543976}. Cytoplasmic vesicle {ECO:0000250|UniProtKB:D3ZGS3}. Endosome {ECO:0000269|PubMed:25869668}. Golgi apparatus, trans-Golgi network {ECO:0000250|UniProtKB:D3ZGS3}. Note=Also found on macropinosomes. {ECO:0000269|PubMed:25869668}.</t>
  </si>
  <si>
    <t>Cytosol;Microtubules;</t>
  </si>
  <si>
    <t xml:space="preserve">Focal adhesion localization found by TIRF imaging. Large circular vesicles (Rab5 pos.). </t>
  </si>
  <si>
    <t>Cell junction, synapse. Cell projection, axon. Cell projection, dendritic spine. Cell projection, dendrite {ECO:0000250}. Cytoplasm {ECO:0000250}. Note=Present in both presynaptic and postsynaptic sites. {ECO:0000250}.</t>
  </si>
  <si>
    <t>Nucleus;Plasma membrane;</t>
  </si>
  <si>
    <t>Actin association confirmed by Cytochalasin D assay. Plasma membrane localization in addition to peripheral actin cannot be ruled out.</t>
  </si>
  <si>
    <t>Focal adhesion localization confirmed by TIRF imaging. Weak actin score in Cytochalasin D assay.</t>
  </si>
  <si>
    <t>Golgi apparatus;</t>
  </si>
  <si>
    <t>focal adhesions^</t>
  </si>
  <si>
    <t xml:space="preserve">Focal adhesion localization confirmed by TIRF imaging. EGF-induced membrane translocation in presence of cotransfected GRB2 and EGFR. </t>
  </si>
  <si>
    <t>actin, focal adhesions*</t>
  </si>
  <si>
    <t>Actin association confirmed by Cytochalasin D assay (both for N- and C-terminal fusion). Focal adhesion localization found by TIRF imaging (both N- and C-terminal fusion; confirmed in REF52 cells).</t>
  </si>
  <si>
    <t>Actin association confirmed by Cytochalasin D assay. Actin/Actinin-like structures that partitially colocalize with paxillin found by TIRF imaging. Actin rings in a fraction of cells.</t>
  </si>
  <si>
    <t>Cytosol;Nucleoplasm;Plasma membrane;Centrosome;Cytokinetic bridge;</t>
  </si>
  <si>
    <t>Actin association confirmed by Cytochalasin D assay (both for N- and C-terminal fusion). Actin/Actinin-like structures that partitially colocalize with paxillin found by TIRF imaging. Actin rings in a fraction of cells.</t>
  </si>
  <si>
    <t>Cytochalasin D assay pos. (actin association not visible in live cells, confirmed for N- and C-terminal fusion).</t>
  </si>
  <si>
    <t>Cytoplasm {ECO:0000250|UniProtKB:Q66T02}. Cytoplasm, perinuclear region {ECO:0000250|UniProtKB:Q66T02}. Cell membrane {ECO:0000250|UniProtKB:Q66T02}. Cell junction {ECO:0000250|UniProtKB:Q66T02}. Cell projection, lamellipodium {ECO:0000250|UniProtKB:Q66T02}. Note=Predominantly cytoplasmic, however when endothelial cells are stimulated with lysophosphatidic acid, PLEKHG5 is found in perinuclear regions and at the cell membrane. Localizes at cell-cell junctions in quiescent endothelial cells, and relocalizes to cytoplasmic vesicle and the leading edge of lamellipodia in migrating endothelial cells. {ECO:0000250|UniProtKB:Q66T02}.</t>
  </si>
  <si>
    <t xml:space="preserve">Plasma membrane only in a fraction of cells.  </t>
  </si>
  <si>
    <t>mitotic spindle, cleavage furrow</t>
  </si>
  <si>
    <t>mitotic spindle, cleavage furrow, actin</t>
  </si>
  <si>
    <t>Cell projection, microvillus {ECO:0000269|PubMed:17881735}. Cytoplasm, cytoskeleton, spindle {ECO:0000269|PubMed:16721066}. Cytoplasm, cytoskeleton, spindle pole {ECO:0000269|PubMed:16721066}. Cleavage furrow {ECO:0000269|PubMed:16721066}. Note=During mitosis, localizes to the spindle pole, central spindle and cleavage furrow (PubMed:16721066). In epithelial cells, recruited to the apical membrane by EZR where it participates in macropinocytosis (PubMed:17881735). {ECO:0000269|PubMed:16721066, ECO:0000269|PubMed:17881735}.</t>
  </si>
  <si>
    <t>Cell Junctions;Centrosome;</t>
  </si>
  <si>
    <t>Actin association confirmed by Cytochalasin D assay. Actin/Actinin-like structures that partially colocalize with paxillin found by TIRF imaging. Actin rings in a fraction of cells.</t>
  </si>
  <si>
    <t>Cytoplasm, cytosol. Cell membrane. Note=Mainly cytosolic. Some amount is apparently associated to the plasma membrane.</t>
  </si>
  <si>
    <t>Cytosol;Vesicles;</t>
  </si>
  <si>
    <t xml:space="preserve"> Slight enrichment on focal adhesions found by TIRF imaging.</t>
  </si>
  <si>
    <t>Endoplasmic reticulum;</t>
  </si>
  <si>
    <t xml:space="preserve">nucleus, mitotic spindle, midbody </t>
  </si>
  <si>
    <t>Nucleus. Cytoplasm. Cytoplasm, cytoskeleton, spindle. Cytoplasmic vesicle, secretory vesicle, acrosome. Cleavage furrow. Midbody, Midbody ring {ECO:0000269|PubMed:16213214}. Cell membrane; Peripheral membrane protein; Cytoplasmic side. Note=Colocalizes with RND2 in Golgi- derived proacrosomal vesicles and the acrosome (By similarity). During interphase, localized to the nucleus and cytoplasm along with microtubules, in anaphase, is redistributed to the central spindle and, in telophase and cytokinesis, to the midbody ring, also called Flemming body. Colocalizes with RHOA at the myosin contractile ring during cytokinesis. Colocalizes with ECT2 to the mitotic spindles during anaphase/metaphase, the cleavage furrow during telophase and at the midbody at the end of cytokinesis. Colocalizes with Cdc42 to spindle microtubules from prometaphase to telophase. {ECO:0000250}.</t>
  </si>
  <si>
    <t xml:space="preserve">Plasma membrane localization only in a fraction of cells. Varying extent of nuclear enrichment.  </t>
  </si>
  <si>
    <t>mitochondria</t>
  </si>
  <si>
    <t>mitochondria, nucleus</t>
  </si>
  <si>
    <t>Membrane {ECO:0000269|PubMed:11437348}; Peripheral membrane protein {ECO:0000269|PubMed:11437348}.</t>
  </si>
  <si>
    <t>Cytosol;Nuclear membrane;Vesicles;</t>
  </si>
  <si>
    <t>endoplasmic reticulum, tubulin</t>
  </si>
  <si>
    <t>endoplasmic reticulum, cytosolic</t>
  </si>
  <si>
    <t>Cytoplasm. Cell membrane; Peripheral membrane protein. Endoplasmic reticulum membrane; Peripheral membrane protein. Note=Translocates to membranes when activated. Found both at cell periphery and along the axon of neurons (By similarity). {ECO:0000250}.</t>
  </si>
  <si>
    <t>nucleus^</t>
  </si>
  <si>
    <t xml:space="preserve">Nuclear localization only in a fraction of cells. </t>
  </si>
  <si>
    <t>vesicles, plasma membrane (junctions)</t>
  </si>
  <si>
    <t>Cell projection {ECO:0000269|PubMed:21658605, ECO:0000269|PubMed:24841563}. Cell junction, tight junction {ECO:0000269|PubMed:22891260}. Cell junction, adherens junction {ECO:0000269|PubMed:22891260}. Cell projection, phagocytic cup {ECO:0000269|PubMed:26465210}. Nucleus {ECO:0000269|PubMed:22891260}. Cytoplasm, cytosol {ECO:0000269|PubMed:22891260}. Note=Localizes at the leading edge of migrating cells (PubMed:21658605, PubMed:24841563). Accumulation at forming phagocytic cups is PI3 kinase/PI3K- dependent and is specific for sites of large particles engagement and their phosphatidylinositol 3,4,5-triphosphate membrane content (PubMed:26465210). {ECO:0000269|PubMed:21658605, ECO:0000269|PubMed:24841563, ECO:0000269|PubMed:26465210}.</t>
  </si>
  <si>
    <t>Enrichment on membrane ruffles. Actin association confirmed by Cytochalasin D assay (both for N- and C-terminal fusion).</t>
  </si>
  <si>
    <t>Cytosol;Nucleoli;Nucleus;</t>
  </si>
  <si>
    <t>focal adhesions*^</t>
  </si>
  <si>
    <t xml:space="preserve">EGF-induced membrane translocation in presence of cotransfected GRB2 and EGFR. Focal adhesion localization found by TIRF imaging. </t>
  </si>
  <si>
    <t>plasma membrane, actin, cytosolic</t>
  </si>
  <si>
    <t>Cytoplasm. Cell projection, filopodium. Cell projection, lamellipodium. Cell projection, ruffle membrane. Note=Accumulates in the lamellipodium and ruffle membrane in response to hepatocyte growth factor (HGF) treatment.</t>
  </si>
  <si>
    <t>Nuclear speckles;</t>
  </si>
  <si>
    <t>plasma membrane (junctions), actin*, puncta^, focal adhesions*</t>
  </si>
  <si>
    <t>Localization on membrane-associated puncta found by confocal microscopy. Localization on basal membrane puncta found also by TIRF imaging. Focal adhesion localization found by TIRF imaging (confirmed in REF52 cells). Cytochalasin D assay pos. (actin association not visible in live cells). Isoform 2: More pronounced membrane associated puncta and focal adhesion localization found by confocal microscopy.</t>
  </si>
  <si>
    <t>nucleus, plasma membrane</t>
  </si>
  <si>
    <t>Cell membrane. Cell projection, dendritic spine. Cell junction, synapse, postsynaptic cell membrane, postsynaptic density {ECO:0000250}. Cell junction, synapse, postsynaptic cell membrane {ECO:0000250}. Cell projection, lamellipodium. Cytoplasmic vesicle, phagosome {ECO:0000250}. Nucleus {ECO:0000250}. Cytoplasm {ECO:0000250}. Note=Recruited to actin-rich phagosomes during phagocytosis. Translocates from nucleus to cytoplasm during development. {ECO:0000250}.</t>
  </si>
  <si>
    <t xml:space="preserve"> Localization on membrane-associated puncta found by confocal microscopy. Localization on basal membrane puncta found also by TIRF imaging. Tends to form aggregates.</t>
  </si>
  <si>
    <t>focal adhesions, nucleus</t>
  </si>
  <si>
    <t>Focal adhesion localization found by TIRF imaging (weak focal adhesion localization confirmed in REF52 cells), pericentric. Weak actin score in Cytochalasin D assay.</t>
  </si>
  <si>
    <t>focal adhesions, plasma membrane (junctions), vesicles</t>
  </si>
  <si>
    <t>Cell junction, focal adhesion {ECO:0000269|PubMed:17976533}.</t>
  </si>
  <si>
    <t xml:space="preserve">Focal adhesion localization found by TIRF imaging  (GAP deficient R608K mutant used; confirmed in REF52 cells). </t>
  </si>
  <si>
    <t>focal adhesions, mitochondria</t>
  </si>
  <si>
    <t>Cytoplasm. Membrane; Peripheral membrane protein; Cytoplasmic side. Mitochondrion membrane; Peripheral membrane protein; Cytoplasmic side. Lipid droplet.</t>
  </si>
  <si>
    <t>Cytosol;Nuclear membrane;Nucleoli;</t>
  </si>
  <si>
    <t xml:space="preserve">Focal adhesion localization found by TIRF imaging (both N- and C-terminal fusion; confirmed in REF52 cells). </t>
  </si>
  <si>
    <t>Focal adhesion localization found by TIRF imaging (confirmed in REF52 cells). Cytochalasin D assay pos. Isoform 2: enrichment in ruffles.</t>
  </si>
  <si>
    <t>Golgi apparatus;Nucleoli;</t>
  </si>
  <si>
    <t>Focal adhesion localization found by TIRF imaging (both N- and C-terminal fusion; confirmed in REF52 cells). SYDE2-YFP: enrichment in the nucleus.</t>
  </si>
  <si>
    <t xml:space="preserve"> </t>
  </si>
  <si>
    <t>plasma membrane, focal adhesions, junctions</t>
  </si>
  <si>
    <t>Cell junction. Cell membrane; Peripheral membrane protein; Cytoplasmic side. Note=Detected at the boundary between cells with actin-rich protrusions (By similarity). Presence of KRIT1, CDH5 and RAP1B is required for its localization to the cell junction. {ECO:0000250}.</t>
  </si>
  <si>
    <t>Cell Junctions;Nucleus;Cytokinetic bridge;Cytosol;Nuclear membrane;Nucleoli;</t>
  </si>
  <si>
    <t>Plasma membrane localization pronounced in ruffles. Previously claimed focal adhesion localization not detected by TIRF imaging (COS-7 and REF52 cells).</t>
  </si>
  <si>
    <t>Cytoplasm {ECO:0000250}. Cell projection, lamellipodium {ECO:0000250}. Cell projection, filopodium {ECO:0000250}. Cell projection, growth cone. Note=Localizes to the plasma membrane in neurites. {ECO:0000250}.</t>
  </si>
  <si>
    <t>Cytosol;Nucleoli fibrillar center;Nucleoplasm;</t>
  </si>
  <si>
    <t>plasma membrane, nuclear membrane</t>
  </si>
  <si>
    <t xml:space="preserve">Plasma membrane localization pronounced in ruffles. </t>
  </si>
  <si>
    <t>Cytoplasm {ECO:0000250|UniProtKB:Q0KL02}.</t>
  </si>
  <si>
    <t>focal adhesions*, basal membrane filaments^</t>
  </si>
  <si>
    <t>Focal adhesion localization found by TIRF imaging in COS-7 cells (both N- and C-terminal fusion). Focal adhesion localization could not be confirmed in REF52 cells. Localization on basal membrane filamentous structures found by confocal microscopy.</t>
  </si>
  <si>
    <t xml:space="preserve">Focal adhesion localization found by TIRF imaging (both N- and C-terminal fusion; weak focal adhesion localization confirmed in REF52 cells). </t>
  </si>
  <si>
    <t xml:space="preserve">Focal adhesion localization found by TIRF imaging (both N- and C-terminal fusion; confirmed in REF52 cells). EGF-induced membrane translocation in presence of cotransfected GRB2 and EGFR. </t>
  </si>
  <si>
    <t>Supplementary Table 5. Focal adhesion-associated RhoGEFs/RhoGAPs: substrate specificites and notes</t>
  </si>
  <si>
    <t>curated main activity</t>
  </si>
  <si>
    <t>Literature</t>
  </si>
  <si>
    <t>notes</t>
  </si>
  <si>
    <t>Rac1*</t>
  </si>
  <si>
    <t>FA enrichment in REF52 too weak for analysis, not tested</t>
  </si>
  <si>
    <t>Rac1 main activity in this study (found for short isoform 2)</t>
  </si>
  <si>
    <t>Rac1/Cdc42*</t>
  </si>
  <si>
    <t>Rac1/Cdc42 activity can be assumed according to literature</t>
  </si>
  <si>
    <t>Rac1 activity in this study (found for short isoform 1)</t>
  </si>
  <si>
    <t>Rac1 activity can be assumed according to literature</t>
  </si>
  <si>
    <t>Rac1/Cdc42 activity can be assumed according to literature. FA enrichment only in COS-7 but not in REF52, not tested</t>
  </si>
  <si>
    <t>Rac1 activity can be assumed according to literature, not tested</t>
  </si>
  <si>
    <t>Rac1 activity can be assumed according to literature, expression too weak in REF52, not tested</t>
  </si>
  <si>
    <t>FA enrichment only in COS-7 but not in REF52, not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</si>
</sst>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1"/>
      <color rgb="FF9C0006"/>
      <name val="Calibri"/>
      <family val="2"/>
      <scheme val="minor"/>
    </font>
    <font>
      <sz val="11"/>
      <color theme="0"/>
      <name val="Calibri"/>
      <family val="2"/>
      <scheme val="minor"/>
    </font>
    <font>
      <u/>
      <sz val="11"/>
      <color theme="10"/>
      <name val="Calibri"/>
      <family val="2"/>
      <scheme val="minor"/>
    </font>
    <font>
      <sz val="10"/>
      <name val="Arial"/>
      <family val="2"/>
    </font>
    <font>
      <sz val="11"/>
      <color indexed="17"/>
      <name val="Calibri"/>
      <family val="2"/>
    </font>
    <font>
      <sz val="12"/>
      <name val="Calibri"/>
      <family val="2"/>
      <scheme val="minor"/>
    </font>
    <font>
      <sz val="12"/>
      <color rgb="FF00B050"/>
      <name val="Calibri"/>
      <family val="2"/>
      <scheme val="minor"/>
    </font>
    <font>
      <b/>
      <sz val="12"/>
      <name val="Calibri"/>
      <family val="2"/>
      <scheme val="minor"/>
    </font>
    <font>
      <b/>
      <sz val="12"/>
      <color theme="1"/>
      <name val="Calibri"/>
      <family val="2"/>
      <scheme val="minor"/>
    </font>
    <font>
      <sz val="12"/>
      <color theme="1"/>
      <name val="Calibri"/>
      <family val="2"/>
      <scheme val="minor"/>
    </font>
    <font>
      <sz val="12"/>
      <color theme="0"/>
      <name val="Calibri"/>
      <family val="2"/>
      <scheme val="minor"/>
    </font>
    <font>
      <sz val="12"/>
      <color rgb="FF006100"/>
      <name val="Calibri"/>
      <family val="2"/>
      <scheme val="minor"/>
    </font>
    <font>
      <sz val="12"/>
      <color rgb="FF9C0006"/>
      <name val="Calibri"/>
      <family val="2"/>
      <scheme val="minor"/>
    </font>
    <font>
      <sz val="12"/>
      <color indexed="8"/>
      <name val="Calibri"/>
      <family val="2"/>
      <scheme val="minor"/>
    </font>
    <font>
      <b/>
      <sz val="16"/>
      <color theme="1"/>
      <name val="Calibri"/>
      <family val="2"/>
      <scheme val="minor"/>
    </font>
    <font>
      <sz val="12"/>
      <color rgb="FF000000"/>
      <name val="Calibri"/>
      <family val="2"/>
      <scheme val="minor"/>
    </font>
    <font>
      <sz val="12"/>
      <color rgb="FF9C5700"/>
      <name val="Calibri"/>
      <family val="2"/>
      <scheme val="minor"/>
    </font>
    <font>
      <b/>
      <sz val="18"/>
      <color theme="1"/>
      <name val="Arial"/>
      <family val="2"/>
    </font>
    <font>
      <sz val="11"/>
      <color theme="1"/>
      <name val="Arial"/>
      <family val="2"/>
    </font>
    <font>
      <sz val="11"/>
      <name val="Arial"/>
      <family val="2"/>
    </font>
    <font>
      <sz val="8"/>
      <color theme="1"/>
      <name val="Arial"/>
      <family val="2"/>
    </font>
    <font>
      <sz val="12"/>
      <color theme="1"/>
      <name val="Arial"/>
      <family val="2"/>
    </font>
    <font>
      <b/>
      <sz val="12"/>
      <color theme="1"/>
      <name val="Arial"/>
      <family val="2"/>
    </font>
    <font>
      <b/>
      <sz val="12"/>
      <name val="Arial"/>
      <family val="2"/>
    </font>
    <font>
      <b/>
      <i/>
      <sz val="12"/>
      <color theme="1"/>
      <name val="Arial"/>
      <family val="2"/>
    </font>
    <font>
      <b/>
      <sz val="11"/>
      <color theme="0"/>
      <name val="Calibri"/>
      <family val="2"/>
      <scheme val="minor"/>
    </font>
    <font>
      <b/>
      <sz val="8"/>
      <color theme="1"/>
      <name val="Arial"/>
      <family val="2"/>
    </font>
    <font>
      <b/>
      <sz val="11"/>
      <color theme="1"/>
      <name val="Arial"/>
      <family val="2"/>
    </font>
    <font>
      <u/>
      <sz val="8"/>
      <color theme="10"/>
      <name val="Arial"/>
      <family val="2"/>
    </font>
    <font>
      <sz val="20"/>
      <color theme="1"/>
      <name val="Calibri"/>
      <family val="2"/>
      <scheme val="minor"/>
    </font>
    <font>
      <b/>
      <sz val="12"/>
      <color rgb="FFD69E00"/>
      <name val="Calibri"/>
      <family val="2"/>
      <scheme val="minor"/>
    </font>
    <font>
      <b/>
      <sz val="12"/>
      <color theme="2" tint="-0.499984740745262"/>
      <name val="Calibri"/>
      <family val="2"/>
      <scheme val="minor"/>
    </font>
    <font>
      <b/>
      <sz val="12"/>
      <color rgb="FFBC4E04"/>
      <name val="Calibri"/>
      <family val="2"/>
      <scheme val="minor"/>
    </font>
    <font>
      <sz val="11"/>
      <color indexed="9"/>
      <name val="Calibri"/>
      <family val="2"/>
    </font>
    <font>
      <sz val="11"/>
      <name val="Calibri"/>
      <family val="2"/>
      <scheme val="minor"/>
    </font>
    <font>
      <b/>
      <sz val="11"/>
      <color theme="1"/>
      <name val="Calibri"/>
      <family val="2"/>
      <scheme val="minor"/>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theme="4" tint="0.39997558519241921"/>
        <bgColor indexed="65"/>
      </patternFill>
    </fill>
    <fill>
      <patternFill patternType="solid">
        <fgColor theme="5"/>
      </patternFill>
    </fill>
    <fill>
      <patternFill patternType="solid">
        <fgColor theme="8" tint="0.39997558519241921"/>
        <bgColor indexed="65"/>
      </patternFill>
    </fill>
    <fill>
      <patternFill patternType="solid">
        <fgColor theme="9" tint="0.39997558519241921"/>
        <bgColor indexed="65"/>
      </patternFill>
    </fill>
    <fill>
      <patternFill patternType="solid">
        <fgColor indexed="42"/>
        <bgColor indexed="27"/>
      </patternFill>
    </fill>
    <fill>
      <patternFill patternType="solid">
        <fgColor rgb="FFFFEB9C"/>
      </patternFill>
    </fill>
    <fill>
      <patternFill patternType="solid">
        <fgColor rgb="FFEAEAEA"/>
        <bgColor indexed="64"/>
      </patternFill>
    </fill>
    <fill>
      <patternFill patternType="solid">
        <fgColor rgb="FFC0C0C0"/>
        <bgColor indexed="64"/>
      </patternFill>
    </fill>
    <fill>
      <patternFill patternType="solid">
        <fgColor rgb="FFFF5050"/>
        <bgColor indexed="64"/>
      </patternFill>
    </fill>
    <fill>
      <patternFill patternType="solid">
        <fgColor indexed="49"/>
        <bgColor indexed="40"/>
      </patternFill>
    </fill>
    <fill>
      <patternFill patternType="solid">
        <fgColor indexed="47"/>
        <bgColor indexed="22"/>
      </patternFill>
    </fill>
  </fills>
  <borders count="31">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auto="1"/>
      </top>
      <bottom/>
      <diagonal/>
    </border>
    <border>
      <left/>
      <right style="medium">
        <color auto="1"/>
      </right>
      <top style="medium">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top style="medium">
        <color auto="1"/>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5">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6" fillId="0" borderId="0" applyNumberFormat="0" applyFill="0" applyBorder="0" applyAlignment="0" applyProtection="0"/>
    <xf numFmtId="0" fontId="7" fillId="0" borderId="0"/>
    <xf numFmtId="0" fontId="5" fillId="5" borderId="0" applyNumberFormat="0" applyBorder="0" applyAlignment="0" applyProtection="0"/>
    <xf numFmtId="0" fontId="8" fillId="8" borderId="0" applyNumberFormat="0" applyBorder="0" applyAlignment="0" applyProtection="0"/>
    <xf numFmtId="0" fontId="7" fillId="0" borderId="0"/>
    <xf numFmtId="0" fontId="20" fillId="9" borderId="0" applyNumberFormat="0" applyBorder="0" applyAlignment="0" applyProtection="0"/>
    <xf numFmtId="0" fontId="5" fillId="6"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cellStyleXfs>
  <cellXfs count="171">
    <xf numFmtId="0" fontId="0" fillId="0" borderId="0" xfId="0"/>
    <xf numFmtId="0" fontId="9" fillId="0" borderId="0" xfId="0" applyFont="1" applyFill="1" applyBorder="1" applyAlignment="1">
      <alignment horizontal="left"/>
    </xf>
    <xf numFmtId="0" fontId="11" fillId="0" borderId="0" xfId="0" applyNumberFormat="1" applyFont="1" applyFill="1" applyBorder="1" applyAlignment="1" applyProtection="1">
      <alignment horizontal="left"/>
    </xf>
    <xf numFmtId="0" fontId="9" fillId="0" borderId="0" xfId="0" applyNumberFormat="1" applyFont="1" applyFill="1" applyBorder="1" applyAlignment="1" applyProtection="1">
      <alignment horizontal="left"/>
    </xf>
    <xf numFmtId="0" fontId="13" fillId="0" borderId="0" xfId="0" applyFont="1" applyFill="1" applyAlignment="1">
      <alignment horizontal="left"/>
    </xf>
    <xf numFmtId="0" fontId="13" fillId="0" borderId="0" xfId="0" applyFont="1" applyFill="1" applyBorder="1" applyAlignment="1">
      <alignment horizontal="left"/>
    </xf>
    <xf numFmtId="0" fontId="13" fillId="0" borderId="0" xfId="10" applyNumberFormat="1" applyFont="1" applyFill="1" applyBorder="1" applyAlignment="1" applyProtection="1">
      <alignment horizontal="left"/>
    </xf>
    <xf numFmtId="0" fontId="17" fillId="0" borderId="0" xfId="7" applyNumberFormat="1" applyFont="1" applyFill="1" applyBorder="1" applyAlignment="1" applyProtection="1">
      <alignment horizontal="left"/>
    </xf>
    <xf numFmtId="0" fontId="9" fillId="0" borderId="0" xfId="7" applyFont="1" applyFill="1" applyBorder="1" applyAlignment="1">
      <alignment horizontal="left"/>
    </xf>
    <xf numFmtId="49" fontId="9" fillId="0" borderId="0" xfId="7" applyNumberFormat="1" applyFont="1" applyFill="1" applyBorder="1" applyAlignment="1">
      <alignment horizontal="left"/>
    </xf>
    <xf numFmtId="0" fontId="9" fillId="0" borderId="0" xfId="7" applyNumberFormat="1" applyFont="1" applyFill="1" applyBorder="1" applyAlignment="1">
      <alignment horizontal="left"/>
    </xf>
    <xf numFmtId="0" fontId="13" fillId="0" borderId="0" xfId="0" applyFont="1" applyBorder="1" applyAlignment="1">
      <alignment horizontal="left"/>
    </xf>
    <xf numFmtId="0" fontId="10" fillId="0" borderId="0" xfId="0" applyNumberFormat="1" applyFont="1" applyFill="1" applyBorder="1" applyAlignment="1" applyProtection="1">
      <alignment horizontal="left"/>
    </xf>
    <xf numFmtId="0" fontId="9" fillId="0" borderId="0" xfId="6" applyFont="1" applyFill="1" applyBorder="1" applyAlignment="1">
      <alignment horizontal="left"/>
    </xf>
    <xf numFmtId="0" fontId="9" fillId="0" borderId="0" xfId="3" applyFont="1" applyFill="1" applyBorder="1" applyAlignment="1">
      <alignment horizontal="left"/>
    </xf>
    <xf numFmtId="0" fontId="9" fillId="0" borderId="0" xfId="5" applyFont="1" applyFill="1" applyBorder="1" applyAlignment="1">
      <alignment horizontal="left"/>
    </xf>
    <xf numFmtId="0" fontId="9" fillId="0" borderId="0" xfId="2" applyFont="1" applyFill="1" applyBorder="1" applyAlignment="1">
      <alignment horizontal="left"/>
    </xf>
    <xf numFmtId="0" fontId="9" fillId="0" borderId="0" xfId="3" applyNumberFormat="1" applyFont="1" applyFill="1" applyBorder="1" applyAlignment="1" applyProtection="1">
      <alignment horizontal="left"/>
    </xf>
    <xf numFmtId="0" fontId="9" fillId="0" borderId="0" xfId="0" applyFont="1" applyFill="1" applyBorder="1" applyAlignment="1">
      <alignment horizontal="left" wrapText="1"/>
    </xf>
    <xf numFmtId="0" fontId="9" fillId="0" borderId="0" xfId="1" applyFont="1" applyFill="1" applyBorder="1" applyAlignment="1">
      <alignment horizontal="left"/>
    </xf>
    <xf numFmtId="0" fontId="14" fillId="0" borderId="0" xfId="3" applyFont="1" applyFill="1" applyBorder="1" applyAlignment="1">
      <alignment horizontal="left"/>
    </xf>
    <xf numFmtId="0" fontId="15" fillId="0" borderId="0" xfId="1" applyFont="1" applyFill="1" applyBorder="1" applyAlignment="1">
      <alignment horizontal="left"/>
    </xf>
    <xf numFmtId="0" fontId="16" fillId="0" borderId="0" xfId="2" applyFont="1" applyFill="1" applyBorder="1" applyAlignment="1">
      <alignment horizontal="left"/>
    </xf>
    <xf numFmtId="0" fontId="13" fillId="0" borderId="0" xfId="4" applyFont="1" applyFill="1" applyBorder="1" applyAlignment="1">
      <alignment horizontal="left"/>
    </xf>
    <xf numFmtId="0" fontId="18" fillId="0" borderId="0" xfId="0" applyFont="1" applyFill="1" applyBorder="1" applyAlignment="1">
      <alignment horizontal="left"/>
    </xf>
    <xf numFmtId="0" fontId="11" fillId="0" borderId="0" xfId="0" applyFont="1" applyFill="1" applyBorder="1" applyAlignment="1">
      <alignment horizontal="left" wrapText="1"/>
    </xf>
    <xf numFmtId="0" fontId="12" fillId="0" borderId="0" xfId="0" applyFont="1" applyFill="1" applyBorder="1" applyAlignment="1">
      <alignment horizontal="left" wrapText="1"/>
    </xf>
    <xf numFmtId="0" fontId="9" fillId="0" borderId="0" xfId="3" applyFont="1" applyFill="1" applyBorder="1" applyAlignment="1">
      <alignment horizontal="left" wrapText="1"/>
    </xf>
    <xf numFmtId="0" fontId="11" fillId="0" borderId="0" xfId="0" applyNumberFormat="1" applyFont="1" applyFill="1" applyBorder="1" applyAlignment="1" applyProtection="1">
      <alignment horizontal="left" wrapText="1"/>
    </xf>
    <xf numFmtId="0" fontId="11" fillId="0" borderId="0" xfId="7" applyFont="1" applyFill="1" applyBorder="1" applyAlignment="1">
      <alignment horizontal="left"/>
    </xf>
    <xf numFmtId="0" fontId="11" fillId="0" borderId="0" xfId="0" applyFont="1" applyFill="1" applyBorder="1" applyAlignment="1">
      <alignment horizontal="left"/>
    </xf>
    <xf numFmtId="0" fontId="17" fillId="0" borderId="0" xfId="0" applyFont="1" applyFill="1" applyBorder="1" applyAlignment="1">
      <alignment horizontal="left"/>
    </xf>
    <xf numFmtId="0" fontId="11"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1" xfId="0" applyFont="1" applyFill="1" applyBorder="1" applyAlignment="1">
      <alignment wrapText="1"/>
    </xf>
    <xf numFmtId="0" fontId="13" fillId="0" borderId="0" xfId="0" applyFont="1" applyBorder="1"/>
    <xf numFmtId="0" fontId="2" fillId="0" borderId="0" xfId="0" applyFont="1" applyFill="1" applyBorder="1" applyAlignment="1">
      <alignment horizontal="left"/>
    </xf>
    <xf numFmtId="0" fontId="0" fillId="0" borderId="0" xfId="0" applyFont="1" applyFill="1"/>
    <xf numFmtId="0" fontId="2" fillId="0" borderId="0" xfId="2" applyFont="1" applyFill="1" applyBorder="1" applyAlignment="1">
      <alignment horizontal="left"/>
    </xf>
    <xf numFmtId="0" fontId="0" fillId="0" borderId="0" xfId="0" applyFill="1"/>
    <xf numFmtId="0" fontId="12" fillId="0" borderId="0" xfId="0" applyFont="1"/>
    <xf numFmtId="0" fontId="12" fillId="0" borderId="1" xfId="2" applyFont="1" applyFill="1" applyBorder="1" applyAlignment="1">
      <alignment horizontal="left" wrapText="1"/>
    </xf>
    <xf numFmtId="0" fontId="12" fillId="0" borderId="0" xfId="0" applyFont="1" applyFill="1"/>
    <xf numFmtId="0" fontId="12" fillId="0" borderId="0" xfId="0" applyFont="1" applyFill="1" applyBorder="1"/>
    <xf numFmtId="0" fontId="13" fillId="0" borderId="0" xfId="0" applyFont="1" applyFill="1" applyBorder="1"/>
    <xf numFmtId="0" fontId="2" fillId="0" borderId="0" xfId="0" applyFont="1" applyFill="1" applyAlignment="1">
      <alignment horizontal="left"/>
    </xf>
    <xf numFmtId="0" fontId="13" fillId="0" borderId="0" xfId="0" applyFont="1" applyFill="1" applyBorder="1" applyAlignment="1">
      <alignment vertical="center"/>
    </xf>
    <xf numFmtId="0" fontId="19" fillId="0" borderId="0" xfId="0" applyFont="1" applyFill="1" applyAlignment="1">
      <alignment vertical="center"/>
    </xf>
    <xf numFmtId="0" fontId="21" fillId="0" borderId="0" xfId="0" applyFont="1" applyAlignment="1">
      <alignment vertical="center"/>
    </xf>
    <xf numFmtId="0" fontId="22" fillId="0" borderId="0" xfId="0" applyFont="1" applyAlignment="1">
      <alignment vertical="center"/>
    </xf>
    <xf numFmtId="0" fontId="22" fillId="0" borderId="0" xfId="0" applyFont="1" applyAlignment="1">
      <alignment horizontal="center" vertical="center"/>
    </xf>
    <xf numFmtId="0" fontId="23" fillId="0" borderId="0" xfId="0" applyFont="1"/>
    <xf numFmtId="0" fontId="24" fillId="0" borderId="0" xfId="0" applyFont="1"/>
    <xf numFmtId="0" fontId="25" fillId="10" borderId="0" xfId="0" applyFont="1" applyFill="1"/>
    <xf numFmtId="0" fontId="26" fillId="10" borderId="0" xfId="0" applyFont="1" applyFill="1" applyAlignment="1">
      <alignment horizontal="center" vertical="center" wrapText="1"/>
    </xf>
    <xf numFmtId="0" fontId="26" fillId="10" borderId="0" xfId="0" applyFont="1" applyFill="1" applyAlignment="1">
      <alignment horizontal="center" vertical="center" wrapText="1"/>
    </xf>
    <xf numFmtId="0" fontId="26" fillId="10" borderId="2" xfId="0" applyFont="1" applyFill="1" applyBorder="1" applyAlignment="1">
      <alignment horizontal="center" vertical="center"/>
    </xf>
    <xf numFmtId="0" fontId="26" fillId="10" borderId="0" xfId="0" applyFont="1" applyFill="1" applyAlignment="1">
      <alignment horizontal="center" vertical="center"/>
    </xf>
    <xf numFmtId="0" fontId="27" fillId="10" borderId="0" xfId="0" applyFont="1" applyFill="1" applyAlignment="1">
      <alignment horizontal="center" vertical="center"/>
    </xf>
    <xf numFmtId="0" fontId="26" fillId="10" borderId="0" xfId="0" applyFont="1" applyFill="1" applyAlignment="1">
      <alignment vertical="center"/>
    </xf>
    <xf numFmtId="0" fontId="26" fillId="10" borderId="3" xfId="0" applyFont="1" applyFill="1" applyBorder="1" applyAlignment="1">
      <alignment horizontal="center" vertical="center"/>
    </xf>
    <xf numFmtId="0" fontId="26" fillId="10" borderId="0" xfId="0" applyFont="1" applyFill="1" applyAlignment="1">
      <alignment horizontal="center" vertical="center"/>
    </xf>
    <xf numFmtId="0" fontId="26" fillId="11" borderId="4" xfId="0" applyFont="1" applyFill="1" applyBorder="1" applyAlignment="1">
      <alignment horizontal="center" textRotation="90" wrapText="1"/>
    </xf>
    <xf numFmtId="0" fontId="26" fillId="11" borderId="5" xfId="0" applyFont="1" applyFill="1" applyBorder="1" applyAlignment="1">
      <alignment horizontal="center" textRotation="90" wrapText="1"/>
    </xf>
    <xf numFmtId="0" fontId="26" fillId="11" borderId="6" xfId="0" applyFont="1" applyFill="1" applyBorder="1" applyAlignment="1">
      <alignment horizontal="center" textRotation="90" wrapText="1"/>
    </xf>
    <xf numFmtId="0" fontId="29" fillId="12" borderId="7" xfId="0" applyFont="1" applyFill="1" applyBorder="1" applyAlignment="1">
      <alignment wrapText="1"/>
    </xf>
    <xf numFmtId="0" fontId="29" fillId="12" borderId="8" xfId="0" applyFont="1" applyFill="1" applyBorder="1" applyAlignment="1">
      <alignment wrapText="1"/>
    </xf>
    <xf numFmtId="0" fontId="26" fillId="10" borderId="3" xfId="0" applyFont="1" applyFill="1" applyBorder="1" applyAlignment="1">
      <alignment horizontal="center" textRotation="90" wrapText="1"/>
    </xf>
    <xf numFmtId="0" fontId="26" fillId="10" borderId="9" xfId="0" applyFont="1" applyFill="1" applyBorder="1" applyAlignment="1">
      <alignment horizontal="center" textRotation="90" wrapText="1"/>
    </xf>
    <xf numFmtId="0" fontId="26" fillId="10" borderId="10" xfId="0" applyFont="1" applyFill="1" applyBorder="1" applyAlignment="1">
      <alignment horizontal="center" textRotation="90" wrapText="1"/>
    </xf>
    <xf numFmtId="0" fontId="26" fillId="11" borderId="10" xfId="0" applyFont="1" applyFill="1" applyBorder="1" applyAlignment="1">
      <alignment horizontal="center" textRotation="90" wrapText="1"/>
    </xf>
    <xf numFmtId="0" fontId="26" fillId="11" borderId="3" xfId="0" applyFont="1" applyFill="1" applyBorder="1" applyAlignment="1">
      <alignment horizontal="center" textRotation="90" wrapText="1"/>
    </xf>
    <xf numFmtId="0" fontId="26" fillId="11" borderId="9" xfId="0" applyFont="1" applyFill="1" applyBorder="1" applyAlignment="1">
      <alignment horizontal="center" textRotation="90" wrapText="1"/>
    </xf>
    <xf numFmtId="0" fontId="29" fillId="12" borderId="11" xfId="0" applyFont="1" applyFill="1" applyBorder="1" applyAlignment="1">
      <alignment wrapText="1"/>
    </xf>
    <xf numFmtId="0" fontId="27" fillId="10" borderId="0" xfId="0" applyFont="1" applyFill="1" applyAlignment="1">
      <alignment wrapText="1"/>
    </xf>
    <xf numFmtId="0" fontId="30" fillId="10" borderId="0" xfId="0" applyFont="1" applyFill="1" applyAlignment="1">
      <alignment wrapText="1"/>
    </xf>
    <xf numFmtId="0" fontId="22" fillId="0" borderId="0" xfId="0" applyFont="1"/>
    <xf numFmtId="0" fontId="31" fillId="0" borderId="12" xfId="0" applyFont="1" applyBorder="1" applyAlignment="1">
      <alignment horizontal="center" vertical="center"/>
    </xf>
    <xf numFmtId="0" fontId="31" fillId="0" borderId="13" xfId="0" applyFont="1" applyBorder="1" applyAlignment="1">
      <alignment horizontal="center" vertical="center"/>
    </xf>
    <xf numFmtId="0" fontId="31" fillId="0" borderId="14" xfId="0" applyFont="1" applyBorder="1" applyAlignment="1">
      <alignment horizontal="center" vertical="center"/>
    </xf>
    <xf numFmtId="0" fontId="23" fillId="0" borderId="15" xfId="11" applyFont="1" applyFill="1" applyBorder="1" applyAlignment="1">
      <alignment horizontal="center" vertical="center"/>
    </xf>
    <xf numFmtId="0" fontId="22" fillId="0" borderId="13" xfId="0" applyFont="1" applyBorder="1" applyAlignment="1">
      <alignment horizontal="center" vertical="center"/>
    </xf>
    <xf numFmtId="0" fontId="22" fillId="0" borderId="16" xfId="0" applyFont="1" applyBorder="1" applyAlignment="1">
      <alignment horizontal="center" vertical="center"/>
    </xf>
    <xf numFmtId="0" fontId="22" fillId="0" borderId="15" xfId="0" applyFont="1" applyBorder="1" applyAlignment="1">
      <alignment horizontal="center" vertical="center"/>
    </xf>
    <xf numFmtId="0" fontId="23" fillId="0" borderId="17" xfId="0" applyFont="1" applyBorder="1"/>
    <xf numFmtId="0" fontId="32" fillId="0" borderId="13" xfId="6" applyFont="1" applyFill="1" applyBorder="1" applyAlignment="1">
      <alignment horizontal="right" vertical="center"/>
    </xf>
    <xf numFmtId="0" fontId="24" fillId="0" borderId="13" xfId="0" applyFont="1" applyBorder="1" applyAlignment="1">
      <alignment horizontal="right" vertical="center"/>
    </xf>
    <xf numFmtId="0" fontId="24" fillId="0" borderId="15" xfId="0" applyFont="1" applyBorder="1" applyAlignment="1">
      <alignment horizontal="right" vertical="center"/>
    </xf>
    <xf numFmtId="0" fontId="22" fillId="10" borderId="0" xfId="0" applyFont="1" applyFill="1"/>
    <xf numFmtId="0" fontId="31" fillId="11" borderId="18" xfId="0" applyFont="1" applyFill="1" applyBorder="1" applyAlignment="1">
      <alignment horizontal="center" vertical="center"/>
    </xf>
    <xf numFmtId="0" fontId="31" fillId="11" borderId="0" xfId="0" applyFont="1" applyFill="1" applyAlignment="1">
      <alignment horizontal="center" vertical="center"/>
    </xf>
    <xf numFmtId="0" fontId="31" fillId="11" borderId="19" xfId="0" applyFont="1" applyFill="1" applyBorder="1" applyAlignment="1">
      <alignment horizontal="center" vertical="center"/>
    </xf>
    <xf numFmtId="0" fontId="23" fillId="11" borderId="20" xfId="11" applyFont="1" applyFill="1" applyBorder="1" applyAlignment="1">
      <alignment horizontal="center" vertical="center"/>
    </xf>
    <xf numFmtId="0" fontId="22" fillId="10" borderId="0" xfId="0" applyFont="1" applyFill="1" applyAlignment="1">
      <alignment horizontal="center" vertical="center"/>
    </xf>
    <xf numFmtId="0" fontId="22" fillId="10" borderId="21" xfId="0" applyFont="1" applyFill="1" applyBorder="1" applyAlignment="1">
      <alignment horizontal="center" vertical="center"/>
    </xf>
    <xf numFmtId="0" fontId="22" fillId="10" borderId="20" xfId="0" applyFont="1" applyFill="1" applyBorder="1" applyAlignment="1">
      <alignment horizontal="center" vertical="center"/>
    </xf>
    <xf numFmtId="0" fontId="22" fillId="11" borderId="21" xfId="0" applyFont="1" applyFill="1" applyBorder="1" applyAlignment="1">
      <alignment horizontal="center" vertical="center"/>
    </xf>
    <xf numFmtId="0" fontId="22" fillId="11" borderId="0" xfId="0" applyFont="1" applyFill="1" applyAlignment="1">
      <alignment horizontal="center" vertical="center"/>
    </xf>
    <xf numFmtId="0" fontId="23" fillId="10" borderId="22" xfId="0" applyFont="1" applyFill="1" applyBorder="1"/>
    <xf numFmtId="0" fontId="32" fillId="10" borderId="0" xfId="6" applyFont="1" applyFill="1" applyBorder="1" applyAlignment="1">
      <alignment horizontal="right" vertical="center"/>
    </xf>
    <xf numFmtId="0" fontId="24" fillId="10" borderId="0" xfId="0" applyFont="1" applyFill="1" applyAlignment="1">
      <alignment horizontal="right" vertical="center"/>
    </xf>
    <xf numFmtId="0" fontId="24" fillId="10" borderId="20" xfId="0" applyFont="1" applyFill="1" applyBorder="1" applyAlignment="1">
      <alignment horizontal="right" vertical="center"/>
    </xf>
    <xf numFmtId="0" fontId="31" fillId="0" borderId="18" xfId="0" applyFont="1" applyBorder="1" applyAlignment="1">
      <alignment horizontal="center" vertical="center"/>
    </xf>
    <xf numFmtId="0" fontId="31" fillId="0" borderId="0" xfId="0" applyFont="1" applyAlignment="1">
      <alignment horizontal="center" vertical="center"/>
    </xf>
    <xf numFmtId="0" fontId="31" fillId="0" borderId="19" xfId="0" applyFont="1" applyBorder="1" applyAlignment="1">
      <alignment horizontal="center" vertical="center"/>
    </xf>
    <xf numFmtId="0" fontId="23" fillId="0" borderId="20" xfId="11" applyFont="1" applyFill="1" applyBorder="1" applyAlignment="1">
      <alignment horizontal="center" vertical="center"/>
    </xf>
    <xf numFmtId="0" fontId="22" fillId="0" borderId="21" xfId="0" applyFont="1" applyBorder="1" applyAlignment="1">
      <alignment horizontal="center" vertical="center"/>
    </xf>
    <xf numFmtId="0" fontId="22" fillId="0" borderId="20" xfId="0" applyFont="1" applyBorder="1" applyAlignment="1">
      <alignment horizontal="center" vertical="center"/>
    </xf>
    <xf numFmtId="0" fontId="23" fillId="0" borderId="22" xfId="0" applyFont="1" applyBorder="1"/>
    <xf numFmtId="0" fontId="32" fillId="0" borderId="0" xfId="6" applyFont="1" applyFill="1" applyBorder="1" applyAlignment="1">
      <alignment horizontal="right" vertical="center"/>
    </xf>
    <xf numFmtId="0" fontId="24" fillId="0" borderId="0" xfId="0" applyFont="1" applyAlignment="1">
      <alignment horizontal="right" vertical="center"/>
    </xf>
    <xf numFmtId="0" fontId="24" fillId="0" borderId="20" xfId="0" applyFont="1" applyBorder="1" applyAlignment="1">
      <alignment horizontal="right" vertical="center"/>
    </xf>
    <xf numFmtId="0" fontId="32" fillId="10" borderId="20" xfId="6" applyFont="1" applyFill="1" applyBorder="1" applyAlignment="1">
      <alignment horizontal="right" vertical="center"/>
    </xf>
    <xf numFmtId="0" fontId="32" fillId="0" borderId="20" xfId="6" applyFont="1" applyFill="1" applyBorder="1" applyAlignment="1">
      <alignment horizontal="right" vertical="center"/>
    </xf>
    <xf numFmtId="0" fontId="31" fillId="0" borderId="23" xfId="0" applyFont="1" applyBorder="1" applyAlignment="1">
      <alignment horizontal="center" vertical="center"/>
    </xf>
    <xf numFmtId="0" fontId="31" fillId="0" borderId="1" xfId="0" applyFont="1" applyBorder="1" applyAlignment="1">
      <alignment horizontal="center" vertical="center"/>
    </xf>
    <xf numFmtId="0" fontId="31" fillId="0" borderId="24" xfId="0" applyFont="1" applyBorder="1" applyAlignment="1">
      <alignment horizontal="center" vertical="center"/>
    </xf>
    <xf numFmtId="0" fontId="23" fillId="0" borderId="25" xfId="11" applyFont="1" applyFill="1" applyBorder="1" applyAlignment="1">
      <alignment horizontal="center" vertical="center"/>
    </xf>
    <xf numFmtId="0" fontId="22" fillId="0" borderId="2" xfId="0" applyFont="1" applyBorder="1" applyAlignment="1">
      <alignment horizontal="center" vertical="center"/>
    </xf>
    <xf numFmtId="0" fontId="22" fillId="0" borderId="26" xfId="0" applyFont="1" applyBorder="1" applyAlignment="1">
      <alignment horizontal="center" vertical="center"/>
    </xf>
    <xf numFmtId="0" fontId="22" fillId="0" borderId="25" xfId="0" applyFont="1" applyBorder="1" applyAlignment="1">
      <alignment horizontal="center" vertical="center"/>
    </xf>
    <xf numFmtId="0" fontId="23" fillId="0" borderId="27" xfId="0" applyFont="1" applyBorder="1"/>
    <xf numFmtId="0" fontId="32" fillId="0" borderId="2" xfId="6" applyFont="1" applyFill="1" applyBorder="1" applyAlignment="1">
      <alignment horizontal="right" vertical="center"/>
    </xf>
    <xf numFmtId="0" fontId="24" fillId="0" borderId="2" xfId="0" applyFont="1" applyBorder="1" applyAlignment="1">
      <alignment horizontal="right" vertical="center"/>
    </xf>
    <xf numFmtId="0" fontId="24" fillId="0" borderId="25" xfId="0" applyFont="1" applyBorder="1" applyAlignment="1">
      <alignment horizontal="right" vertical="center"/>
    </xf>
    <xf numFmtId="0" fontId="18" fillId="0" borderId="0" xfId="0" applyFont="1"/>
    <xf numFmtId="0" fontId="33" fillId="0" borderId="0" xfId="0" applyFont="1"/>
    <xf numFmtId="0" fontId="34" fillId="0" borderId="0" xfId="0" applyFont="1"/>
    <xf numFmtId="49" fontId="0" fillId="0" borderId="0" xfId="0" applyNumberFormat="1"/>
    <xf numFmtId="0" fontId="35" fillId="0" borderId="0" xfId="0" applyFont="1"/>
    <xf numFmtId="0" fontId="36" fillId="0" borderId="0" xfId="0" applyFont="1"/>
    <xf numFmtId="0" fontId="18" fillId="0" borderId="0" xfId="0" applyFont="1" applyAlignment="1">
      <alignment vertical="top"/>
    </xf>
    <xf numFmtId="0" fontId="1" fillId="0" borderId="0" xfId="0" applyFont="1" applyAlignment="1">
      <alignment horizontal="left"/>
    </xf>
    <xf numFmtId="0" fontId="9" fillId="0" borderId="0" xfId="0" applyFont="1" applyAlignment="1">
      <alignment horizontal="left" vertical="center"/>
    </xf>
    <xf numFmtId="0" fontId="11" fillId="0" borderId="1" xfId="0" applyFont="1" applyBorder="1" applyAlignment="1">
      <alignment horizontal="left" wrapText="1"/>
    </xf>
    <xf numFmtId="0" fontId="12" fillId="0" borderId="1" xfId="0" applyFont="1" applyBorder="1" applyAlignment="1">
      <alignment horizontal="left" wrapText="1"/>
    </xf>
    <xf numFmtId="0" fontId="9" fillId="0" borderId="28" xfId="7" applyFont="1" applyBorder="1" applyAlignment="1">
      <alignment wrapText="1"/>
    </xf>
    <xf numFmtId="0" fontId="9" fillId="0" borderId="29" xfId="7" applyFont="1" applyBorder="1" applyAlignment="1">
      <alignment wrapText="1"/>
    </xf>
    <xf numFmtId="0" fontId="9" fillId="0" borderId="29" xfId="7" applyFont="1" applyBorder="1" applyAlignment="1">
      <alignment horizontal="left" wrapText="1"/>
    </xf>
    <xf numFmtId="0" fontId="9" fillId="0" borderId="30" xfId="0" applyFont="1" applyBorder="1" applyAlignment="1">
      <alignment horizontal="left" vertical="center" wrapText="1"/>
    </xf>
    <xf numFmtId="0" fontId="9" fillId="0" borderId="18" xfId="12" applyFont="1" applyFill="1" applyBorder="1" applyAlignment="1">
      <alignment horizontal="left" vertical="center"/>
    </xf>
    <xf numFmtId="0" fontId="9" fillId="0" borderId="0" xfId="6" applyFont="1" applyFill="1" applyBorder="1" applyAlignment="1">
      <alignment horizontal="left" vertical="center"/>
    </xf>
    <xf numFmtId="0" fontId="9" fillId="0" borderId="0" xfId="13" applyFont="1" applyFill="1" applyBorder="1" applyAlignment="1">
      <alignment horizontal="left" vertical="center"/>
    </xf>
    <xf numFmtId="0" fontId="9" fillId="0" borderId="18" xfId="7" applyFont="1" applyBorder="1" applyAlignment="1">
      <alignment horizontal="left" vertical="center"/>
    </xf>
    <xf numFmtId="0" fontId="9" fillId="0" borderId="0" xfId="7" applyFont="1" applyAlignment="1">
      <alignment horizontal="left" vertical="center"/>
    </xf>
    <xf numFmtId="0" fontId="1" fillId="0" borderId="0" xfId="0" applyFont="1" applyAlignment="1">
      <alignment horizontal="left" vertical="center"/>
    </xf>
    <xf numFmtId="0" fontId="38" fillId="0" borderId="19" xfId="0" applyFont="1" applyBorder="1" applyAlignment="1">
      <alignment vertical="center"/>
    </xf>
    <xf numFmtId="0" fontId="9" fillId="0" borderId="20" xfId="0" applyFont="1" applyBorder="1" applyAlignment="1">
      <alignment horizontal="left" vertical="center"/>
    </xf>
    <xf numFmtId="0" fontId="9" fillId="0" borderId="0" xfId="14" applyFont="1" applyFill="1" applyBorder="1" applyAlignment="1">
      <alignment horizontal="left" vertical="center"/>
    </xf>
    <xf numFmtId="0" fontId="9" fillId="0" borderId="19" xfId="0" applyFont="1" applyBorder="1" applyAlignment="1">
      <alignment horizontal="left" vertical="center"/>
    </xf>
    <xf numFmtId="0" fontId="9" fillId="0" borderId="0" xfId="2" applyFont="1" applyFill="1" applyBorder="1" applyAlignment="1">
      <alignment horizontal="left" vertical="center"/>
    </xf>
    <xf numFmtId="0" fontId="9" fillId="0" borderId="0" xfId="8" applyFont="1" applyFill="1" applyBorder="1" applyAlignment="1">
      <alignment horizontal="left" vertical="center"/>
    </xf>
    <xf numFmtId="0" fontId="9" fillId="0" borderId="18" xfId="13" applyFont="1" applyFill="1" applyBorder="1" applyAlignment="1">
      <alignment horizontal="left" vertical="center"/>
    </xf>
    <xf numFmtId="0" fontId="9" fillId="0" borderId="0" xfId="13" applyNumberFormat="1" applyFont="1" applyFill="1" applyBorder="1" applyAlignment="1" applyProtection="1">
      <alignment horizontal="left" vertical="center"/>
    </xf>
    <xf numFmtId="0" fontId="9" fillId="0" borderId="0" xfId="0" applyFont="1" applyAlignment="1">
      <alignment horizontal="left" vertical="center" wrapText="1"/>
    </xf>
    <xf numFmtId="0" fontId="9" fillId="0" borderId="0" xfId="1" applyFont="1" applyFill="1" applyBorder="1" applyAlignment="1">
      <alignment horizontal="left" vertical="center"/>
    </xf>
    <xf numFmtId="0" fontId="9" fillId="0" borderId="18" xfId="14" applyFont="1" applyFill="1" applyBorder="1" applyAlignment="1">
      <alignment horizontal="left" vertical="center"/>
    </xf>
    <xf numFmtId="0" fontId="9" fillId="0" borderId="0" xfId="9" applyFont="1" applyFill="1" applyBorder="1" applyAlignment="1">
      <alignment horizontal="left" vertical="center"/>
    </xf>
    <xf numFmtId="0" fontId="9" fillId="0" borderId="0" xfId="10" applyFont="1" applyAlignment="1">
      <alignment horizontal="left" vertical="center"/>
    </xf>
    <xf numFmtId="49" fontId="9" fillId="0" borderId="0" xfId="7" applyNumberFormat="1" applyFont="1" applyAlignment="1">
      <alignment horizontal="left" vertical="center"/>
    </xf>
    <xf numFmtId="0" fontId="1" fillId="0" borderId="1" xfId="0" applyFont="1" applyBorder="1" applyAlignment="1">
      <alignment horizontal="left" vertical="center"/>
    </xf>
    <xf numFmtId="0" fontId="9" fillId="0" borderId="1" xfId="0" applyFont="1" applyBorder="1" applyAlignment="1">
      <alignment horizontal="left" vertical="center"/>
    </xf>
    <xf numFmtId="0" fontId="9" fillId="0" borderId="23" xfId="13" applyFont="1" applyFill="1" applyBorder="1" applyAlignment="1">
      <alignment horizontal="left" vertical="center"/>
    </xf>
    <xf numFmtId="0" fontId="9" fillId="0" borderId="23" xfId="7" applyFont="1" applyBorder="1" applyAlignment="1">
      <alignment horizontal="left" vertical="center"/>
    </xf>
    <xf numFmtId="0" fontId="9" fillId="0" borderId="1" xfId="7" applyFont="1" applyBorder="1" applyAlignment="1">
      <alignment horizontal="left" vertical="center"/>
    </xf>
    <xf numFmtId="0" fontId="9" fillId="0" borderId="2" xfId="7" applyFont="1" applyBorder="1" applyAlignment="1">
      <alignment horizontal="left" vertical="center"/>
    </xf>
    <xf numFmtId="0" fontId="1" fillId="0" borderId="2" xfId="0" applyFont="1" applyBorder="1" applyAlignment="1">
      <alignment horizontal="left" vertical="center"/>
    </xf>
    <xf numFmtId="0" fontId="1" fillId="0" borderId="1" xfId="0" applyFont="1" applyBorder="1" applyAlignment="1">
      <alignment horizontal="left"/>
    </xf>
    <xf numFmtId="0" fontId="9" fillId="0" borderId="24" xfId="0" applyFont="1" applyBorder="1" applyAlignment="1">
      <alignment horizontal="left" vertical="center"/>
    </xf>
    <xf numFmtId="0" fontId="31" fillId="0" borderId="0" xfId="0" applyFont="1"/>
    <xf numFmtId="0" fontId="39" fillId="0" borderId="0" xfId="0" applyFont="1"/>
  </cellXfs>
  <cellStyles count="15">
    <cellStyle name="60 % - Akzent1" xfId="13" xr:uid="{4D249BA8-DC5D-404F-B8BC-B194C6D115B7}"/>
    <cellStyle name="60 % - Akzent5" xfId="12" xr:uid="{2BFE7F6E-D161-9A4C-858D-1EEE0CE59E13}"/>
    <cellStyle name="60 % - Akzent6" xfId="14" xr:uid="{8A3885CC-4141-CC43-8471-38C49E6C5C90}"/>
    <cellStyle name="60% - Accent1" xfId="3" builtinId="32"/>
    <cellStyle name="60% - Accent5" xfId="4" builtinId="48"/>
    <cellStyle name="60% - Accent6" xfId="5" builtinId="52"/>
    <cellStyle name="Accent2 2" xfId="8" xr:uid="{00000000-0005-0000-0000-000003000000}"/>
    <cellStyle name="Bad" xfId="2" builtinId="27"/>
    <cellStyle name="Good" xfId="1" builtinId="26"/>
    <cellStyle name="Good 3" xfId="9" xr:uid="{00000000-0005-0000-0000-000006000000}"/>
    <cellStyle name="Hyperlink" xfId="6" builtinId="8"/>
    <cellStyle name="Neutral" xfId="11" builtinId="28"/>
    <cellStyle name="Normal" xfId="0" builtinId="0"/>
    <cellStyle name="Normal 2" xfId="7" xr:uid="{00000000-0005-0000-0000-000009000000}"/>
    <cellStyle name="Normal 4" xfId="10" xr:uid="{00000000-0005-0000-0000-00000A000000}"/>
  </cellStyles>
  <dxfs count="3">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ncbi.nlm.nih.gov/pubmed/16394100" TargetMode="External"/><Relationship Id="rId299" Type="http://schemas.openxmlformats.org/officeDocument/2006/relationships/hyperlink" Target="https://www.ncbi.nlm.nih.gov/pubmed/16968698" TargetMode="External"/><Relationship Id="rId21" Type="http://schemas.openxmlformats.org/officeDocument/2006/relationships/hyperlink" Target="https://www.ncbi.nlm.nih.gov/pubmed/12192056" TargetMode="External"/><Relationship Id="rId63" Type="http://schemas.openxmlformats.org/officeDocument/2006/relationships/hyperlink" Target="https://www.ncbi.nlm.nih.gov/pubmed/23255595" TargetMode="External"/><Relationship Id="rId159" Type="http://schemas.openxmlformats.org/officeDocument/2006/relationships/hyperlink" Target="https://www.ncbi.nlm.nih.gov/pubmed/7623849" TargetMode="External"/><Relationship Id="rId324" Type="http://schemas.openxmlformats.org/officeDocument/2006/relationships/hyperlink" Target="https://www.ncbi.nlm.nih.gov/pubmed/10559471" TargetMode="External"/><Relationship Id="rId366" Type="http://schemas.openxmlformats.org/officeDocument/2006/relationships/hyperlink" Target="https://www.ncbi.nlm.nih.gov/pubmed/15601624" TargetMode="External"/><Relationship Id="rId170" Type="http://schemas.openxmlformats.org/officeDocument/2006/relationships/hyperlink" Target="https://www.ncbi.nlm.nih.gov/pubmed/16777849" TargetMode="External"/><Relationship Id="rId226" Type="http://schemas.openxmlformats.org/officeDocument/2006/relationships/hyperlink" Target="https://www.ncbi.nlm.nih.gov/pubmed/16467373" TargetMode="External"/><Relationship Id="rId433" Type="http://schemas.openxmlformats.org/officeDocument/2006/relationships/hyperlink" Target="http://www.ncbi.nlm.nih.gov/pubmed/21565175" TargetMode="External"/><Relationship Id="rId268" Type="http://schemas.openxmlformats.org/officeDocument/2006/relationships/hyperlink" Target="https://www.ncbi.nlm.nih.gov/pubmed/12192056" TargetMode="External"/><Relationship Id="rId32" Type="http://schemas.openxmlformats.org/officeDocument/2006/relationships/hyperlink" Target="https://www.ncbi.nlm.nih.gov/pubmed/22438581" TargetMode="External"/><Relationship Id="rId74" Type="http://schemas.openxmlformats.org/officeDocument/2006/relationships/hyperlink" Target="http://www.ncbi.nlm.nih.gov/pubmed/17116687" TargetMode="External"/><Relationship Id="rId128" Type="http://schemas.openxmlformats.org/officeDocument/2006/relationships/hyperlink" Target="https://www.ncbi.nlm.nih.gov/pubmed/23718289" TargetMode="External"/><Relationship Id="rId335" Type="http://schemas.openxmlformats.org/officeDocument/2006/relationships/hyperlink" Target="https://www.ncbi.nlm.nih.gov/pubmed/25704760" TargetMode="External"/><Relationship Id="rId377" Type="http://schemas.openxmlformats.org/officeDocument/2006/relationships/hyperlink" Target="https://www.ncbi.nlm.nih.gov/pubmed/12604587" TargetMode="External"/><Relationship Id="rId5" Type="http://schemas.openxmlformats.org/officeDocument/2006/relationships/hyperlink" Target="https://www.ncbi.nlm.nih.gov/pubmed/23255595" TargetMode="External"/><Relationship Id="rId181" Type="http://schemas.openxmlformats.org/officeDocument/2006/relationships/hyperlink" Target="https://www.ncbi.nlm.nih.gov/pubmed/14966113" TargetMode="External"/><Relationship Id="rId237" Type="http://schemas.openxmlformats.org/officeDocument/2006/relationships/hyperlink" Target="https://www.ncbi.nlm.nih.gov/pubmed/15728722" TargetMode="External"/><Relationship Id="rId402" Type="http://schemas.openxmlformats.org/officeDocument/2006/relationships/hyperlink" Target="http://www.ncbi.nlm.nih.gov/pubmed/21719701" TargetMode="External"/><Relationship Id="rId279" Type="http://schemas.openxmlformats.org/officeDocument/2006/relationships/hyperlink" Target="https://www.ncbi.nlm.nih.gov/pubmed/20842712" TargetMode="External"/><Relationship Id="rId444" Type="http://schemas.openxmlformats.org/officeDocument/2006/relationships/hyperlink" Target="http://www.ncbi.nlm.nih.gov/pubmed/11431473" TargetMode="External"/><Relationship Id="rId43" Type="http://schemas.openxmlformats.org/officeDocument/2006/relationships/hyperlink" Target="https://www.ncbi.nlm.nih.gov/pubmed/27481945" TargetMode="External"/><Relationship Id="rId139" Type="http://schemas.openxmlformats.org/officeDocument/2006/relationships/hyperlink" Target="https://www.ncbi.nlm.nih.gov/pubmed/12879077" TargetMode="External"/><Relationship Id="rId290" Type="http://schemas.openxmlformats.org/officeDocument/2006/relationships/hyperlink" Target="https://www.ncbi.nlm.nih.gov/pubmed/15277544" TargetMode="External"/><Relationship Id="rId304" Type="http://schemas.openxmlformats.org/officeDocument/2006/relationships/hyperlink" Target="https://www.ncbi.nlm.nih.gov/pubmed/19156867" TargetMode="External"/><Relationship Id="rId346" Type="http://schemas.openxmlformats.org/officeDocument/2006/relationships/hyperlink" Target="https://www.ncbi.nlm.nih.gov/pubmed/17606614" TargetMode="External"/><Relationship Id="rId388" Type="http://schemas.openxmlformats.org/officeDocument/2006/relationships/hyperlink" Target="http://www.ncbi.nlm.nih.gov/pubmed/21258369" TargetMode="External"/><Relationship Id="rId85" Type="http://schemas.openxmlformats.org/officeDocument/2006/relationships/hyperlink" Target="https://www.ncbi.nlm.nih.gov/pubmed/15507211" TargetMode="External"/><Relationship Id="rId150" Type="http://schemas.openxmlformats.org/officeDocument/2006/relationships/hyperlink" Target="https://www.ncbi.nlm.nih.gov/pubmed/14712228" TargetMode="External"/><Relationship Id="rId192" Type="http://schemas.openxmlformats.org/officeDocument/2006/relationships/hyperlink" Target="https://www.ncbi.nlm.nih.gov/pubmed/27862679" TargetMode="External"/><Relationship Id="rId206" Type="http://schemas.openxmlformats.org/officeDocument/2006/relationships/hyperlink" Target="https://www.ncbi.nlm.nih.gov/pubmed/8227021" TargetMode="External"/><Relationship Id="rId413" Type="http://schemas.openxmlformats.org/officeDocument/2006/relationships/hyperlink" Target="http://www.ncbi.nlm.nih.gov/pubmed/11672528" TargetMode="External"/><Relationship Id="rId248" Type="http://schemas.openxmlformats.org/officeDocument/2006/relationships/hyperlink" Target="https://www.ncbi.nlm.nih.gov/pubmed/25355950" TargetMode="External"/><Relationship Id="rId455" Type="http://schemas.openxmlformats.org/officeDocument/2006/relationships/hyperlink" Target="http://www.ncbi.nlm.nih.gov/pubmed/15546919" TargetMode="External"/><Relationship Id="rId12" Type="http://schemas.openxmlformats.org/officeDocument/2006/relationships/hyperlink" Target="https://www.ncbi.nlm.nih.gov/pubmed/17606614" TargetMode="External"/><Relationship Id="rId108" Type="http://schemas.openxmlformats.org/officeDocument/2006/relationships/hyperlink" Target="https://www.ncbi.nlm.nih.gov/pubmed/15684429" TargetMode="External"/><Relationship Id="rId315" Type="http://schemas.openxmlformats.org/officeDocument/2006/relationships/hyperlink" Target="https://www.ncbi.nlm.nih.gov/pubmed/14718541" TargetMode="External"/><Relationship Id="rId357" Type="http://schemas.openxmlformats.org/officeDocument/2006/relationships/hyperlink" Target="https://www.ncbi.nlm.nih.gov/pubmed/9726964" TargetMode="External"/><Relationship Id="rId54" Type="http://schemas.openxmlformats.org/officeDocument/2006/relationships/hyperlink" Target="https://www.ncbi.nlm.nih.gov/pubmed/23255595" TargetMode="External"/><Relationship Id="rId96" Type="http://schemas.openxmlformats.org/officeDocument/2006/relationships/hyperlink" Target="https://www.ncbi.nlm.nih.gov/pubmed/23177739" TargetMode="External"/><Relationship Id="rId161" Type="http://schemas.openxmlformats.org/officeDocument/2006/relationships/hyperlink" Target="https://www.ncbi.nlm.nih.gov/pubmed/10979956" TargetMode="External"/><Relationship Id="rId217" Type="http://schemas.openxmlformats.org/officeDocument/2006/relationships/hyperlink" Target="https://www.ncbi.nlm.nih.gov/pubmed/18504429" TargetMode="External"/><Relationship Id="rId399" Type="http://schemas.openxmlformats.org/officeDocument/2006/relationships/hyperlink" Target="http://www.ncbi.nlm.nih.gov/pubmed/23029280" TargetMode="External"/><Relationship Id="rId259" Type="http://schemas.openxmlformats.org/officeDocument/2006/relationships/hyperlink" Target="https://www.ncbi.nlm.nih.gov/pubmed/15897194" TargetMode="External"/><Relationship Id="rId424" Type="http://schemas.openxmlformats.org/officeDocument/2006/relationships/hyperlink" Target="http://www.ncbi.nlm.nih.gov/pubmed/9582072" TargetMode="External"/><Relationship Id="rId23" Type="http://schemas.openxmlformats.org/officeDocument/2006/relationships/hyperlink" Target="https://www.ncbi.nlm.nih.gov/pubmed/15743413" TargetMode="External"/><Relationship Id="rId119" Type="http://schemas.openxmlformats.org/officeDocument/2006/relationships/hyperlink" Target="https://www.ncbi.nlm.nih.gov/pubmed/22661514" TargetMode="External"/><Relationship Id="rId270" Type="http://schemas.openxmlformats.org/officeDocument/2006/relationships/hyperlink" Target="https://www.ncbi.nlm.nih.gov/pubmed/7957046" TargetMode="External"/><Relationship Id="rId326" Type="http://schemas.openxmlformats.org/officeDocument/2006/relationships/hyperlink" Target="https://www.ncbi.nlm.nih.gov/pubmed/14638695" TargetMode="External"/><Relationship Id="rId65" Type="http://schemas.openxmlformats.org/officeDocument/2006/relationships/hyperlink" Target="https://www.ncbi.nlm.nih.gov/pubmed/8440677" TargetMode="External"/><Relationship Id="rId130" Type="http://schemas.openxmlformats.org/officeDocument/2006/relationships/hyperlink" Target="https://www.ncbi.nlm.nih.gov/pubmed/23462102" TargetMode="External"/><Relationship Id="rId368" Type="http://schemas.openxmlformats.org/officeDocument/2006/relationships/hyperlink" Target="https://www.ncbi.nlm.nih.gov/pubmed/18653540" TargetMode="External"/><Relationship Id="rId172" Type="http://schemas.openxmlformats.org/officeDocument/2006/relationships/hyperlink" Target="https://www.ncbi.nlm.nih.gov/pubmed/17663722" TargetMode="External"/><Relationship Id="rId228" Type="http://schemas.openxmlformats.org/officeDocument/2006/relationships/hyperlink" Target="https://www.ncbi.nlm.nih.gov/pubmed/23572525" TargetMode="External"/><Relationship Id="rId435" Type="http://schemas.openxmlformats.org/officeDocument/2006/relationships/hyperlink" Target="http://www.ncbi.nlm.nih.gov/pubmed/8649427" TargetMode="External"/><Relationship Id="rId281" Type="http://schemas.openxmlformats.org/officeDocument/2006/relationships/hyperlink" Target="https://www.ncbi.nlm.nih.gov/pubmed/24821726" TargetMode="External"/><Relationship Id="rId337" Type="http://schemas.openxmlformats.org/officeDocument/2006/relationships/hyperlink" Target="https://www.ncbi.nlm.nih.gov/pubmed/16628218" TargetMode="External"/><Relationship Id="rId34" Type="http://schemas.openxmlformats.org/officeDocument/2006/relationships/hyperlink" Target="https://www.ncbi.nlm.nih.gov/pubmed/14699061" TargetMode="External"/><Relationship Id="rId76" Type="http://schemas.openxmlformats.org/officeDocument/2006/relationships/hyperlink" Target="https://www.ncbi.nlm.nih.gov/pubmed/8262969" TargetMode="External"/><Relationship Id="rId141" Type="http://schemas.openxmlformats.org/officeDocument/2006/relationships/hyperlink" Target="https://www.ncbi.nlm.nih.gov/pubmed/12006984" TargetMode="External"/><Relationship Id="rId379" Type="http://schemas.openxmlformats.org/officeDocument/2006/relationships/hyperlink" Target="https://www.ncbi.nlm.nih.gov/pubmed/19667072" TargetMode="External"/><Relationship Id="rId7" Type="http://schemas.openxmlformats.org/officeDocument/2006/relationships/hyperlink" Target="https://www.ncbi.nlm.nih.gov/pubmed/14720465" TargetMode="External"/><Relationship Id="rId183" Type="http://schemas.openxmlformats.org/officeDocument/2006/relationships/hyperlink" Target="https://www.ncbi.nlm.nih.gov/pubmed/16184169" TargetMode="External"/><Relationship Id="rId239" Type="http://schemas.openxmlformats.org/officeDocument/2006/relationships/hyperlink" Target="https://www.ncbi.nlm.nih.gov/pubmed/11448999" TargetMode="External"/><Relationship Id="rId390" Type="http://schemas.openxmlformats.org/officeDocument/2006/relationships/hyperlink" Target="http://www.ncbi.nlm.nih.gov/pubmed/14512443" TargetMode="External"/><Relationship Id="rId404" Type="http://schemas.openxmlformats.org/officeDocument/2006/relationships/hyperlink" Target="http://www.ncbi.nlm.nih.gov/pubmed/8810315" TargetMode="External"/><Relationship Id="rId446" Type="http://schemas.openxmlformats.org/officeDocument/2006/relationships/hyperlink" Target="http://www.ncbi.nlm.nih.gov/pubmed/12650940" TargetMode="External"/><Relationship Id="rId250" Type="http://schemas.openxmlformats.org/officeDocument/2006/relationships/hyperlink" Target="https://www.ncbi.nlm.nih.gov/pubmed/10512681" TargetMode="External"/><Relationship Id="rId292" Type="http://schemas.openxmlformats.org/officeDocument/2006/relationships/hyperlink" Target="https://www.ncbi.nlm.nih.gov/pubmed/12351724" TargetMode="External"/><Relationship Id="rId306" Type="http://schemas.openxmlformats.org/officeDocument/2006/relationships/hyperlink" Target="https://www.ncbi.nlm.nih.gov/pubmed/22461490" TargetMode="External"/><Relationship Id="rId45" Type="http://schemas.openxmlformats.org/officeDocument/2006/relationships/hyperlink" Target="https://www.ncbi.nlm.nih.gov/pubmed/27481945" TargetMode="External"/><Relationship Id="rId87" Type="http://schemas.openxmlformats.org/officeDocument/2006/relationships/hyperlink" Target="https://www.ncbi.nlm.nih.gov/pubmed/8496137" TargetMode="External"/><Relationship Id="rId110" Type="http://schemas.openxmlformats.org/officeDocument/2006/relationships/hyperlink" Target="https://www.ncbi.nlm.nih.gov/pubmed/12215546" TargetMode="External"/><Relationship Id="rId348" Type="http://schemas.openxmlformats.org/officeDocument/2006/relationships/hyperlink" Target="https://www.ncbi.nlm.nih.gov/pubmed/15322108" TargetMode="External"/><Relationship Id="rId152" Type="http://schemas.openxmlformats.org/officeDocument/2006/relationships/hyperlink" Target="https://www.ncbi.nlm.nih.gov/pubmed/19635168" TargetMode="External"/><Relationship Id="rId194" Type="http://schemas.openxmlformats.org/officeDocument/2006/relationships/hyperlink" Target="https://www.ncbi.nlm.nih.gov/pubmed/8262058" TargetMode="External"/><Relationship Id="rId208" Type="http://schemas.openxmlformats.org/officeDocument/2006/relationships/hyperlink" Target="https://www.ncbi.nlm.nih.gov/pubmed/23791195" TargetMode="External"/><Relationship Id="rId415" Type="http://schemas.openxmlformats.org/officeDocument/2006/relationships/hyperlink" Target="http://www.ncbi.nlm.nih.gov/pubmed/17976533" TargetMode="External"/><Relationship Id="rId457" Type="http://schemas.openxmlformats.org/officeDocument/2006/relationships/hyperlink" Target="http://www.ncbi.nlm.nih.gov/pubmed/11804589" TargetMode="External"/><Relationship Id="rId261" Type="http://schemas.openxmlformats.org/officeDocument/2006/relationships/hyperlink" Target="https://www.ncbi.nlm.nih.gov/pubmed/15304343" TargetMode="External"/><Relationship Id="rId14" Type="http://schemas.openxmlformats.org/officeDocument/2006/relationships/hyperlink" Target="https://www.ncbi.nlm.nih.gov/pubmed/10652265" TargetMode="External"/><Relationship Id="rId56" Type="http://schemas.openxmlformats.org/officeDocument/2006/relationships/hyperlink" Target="https://www.ncbi.nlm.nih.gov/pubmed/23255595" TargetMode="External"/><Relationship Id="rId317" Type="http://schemas.openxmlformats.org/officeDocument/2006/relationships/hyperlink" Target="https://www.ncbi.nlm.nih.gov/pubmed/18056264" TargetMode="External"/><Relationship Id="rId359" Type="http://schemas.openxmlformats.org/officeDocument/2006/relationships/hyperlink" Target="https://www.ncbi.nlm.nih.gov/pubmed/9659915" TargetMode="External"/><Relationship Id="rId98" Type="http://schemas.openxmlformats.org/officeDocument/2006/relationships/hyperlink" Target="https://www.ncbi.nlm.nih.gov/pubmed/10893266" TargetMode="External"/><Relationship Id="rId121" Type="http://schemas.openxmlformats.org/officeDocument/2006/relationships/hyperlink" Target="https://www.ncbi.nlm.nih.gov/pubmed/26911374" TargetMode="External"/><Relationship Id="rId163" Type="http://schemas.openxmlformats.org/officeDocument/2006/relationships/hyperlink" Target="https://www.ncbi.nlm.nih.gov/pubmed/19710422" TargetMode="External"/><Relationship Id="rId219" Type="http://schemas.openxmlformats.org/officeDocument/2006/relationships/hyperlink" Target="https://www.ncbi.nlm.nih.gov/pubmed/18694934" TargetMode="External"/><Relationship Id="rId370" Type="http://schemas.openxmlformats.org/officeDocument/2006/relationships/hyperlink" Target="https://www.ncbi.nlm.nih.gov/pubmed/17145773" TargetMode="External"/><Relationship Id="rId426" Type="http://schemas.openxmlformats.org/officeDocument/2006/relationships/hyperlink" Target="http://www.ncbi.nlm.nih.gov/pubmed/12915445" TargetMode="External"/><Relationship Id="rId230" Type="http://schemas.openxmlformats.org/officeDocument/2006/relationships/hyperlink" Target="https://www.ncbi.nlm.nih.gov/pubmed/24001768" TargetMode="External"/><Relationship Id="rId25" Type="http://schemas.openxmlformats.org/officeDocument/2006/relationships/hyperlink" Target="https://www.ncbi.nlm.nih.gov/pubmed/26823019" TargetMode="External"/><Relationship Id="rId67" Type="http://schemas.openxmlformats.org/officeDocument/2006/relationships/hyperlink" Target="https://www.ncbi.nlm.nih.gov/pubmed/11094164" TargetMode="External"/><Relationship Id="rId272" Type="http://schemas.openxmlformats.org/officeDocument/2006/relationships/hyperlink" Target="https://www.ncbi.nlm.nih.gov/pubmed/7721814" TargetMode="External"/><Relationship Id="rId328" Type="http://schemas.openxmlformats.org/officeDocument/2006/relationships/hyperlink" Target="https://www.ncbi.nlm.nih.gov/pubmed/9808620" TargetMode="External"/><Relationship Id="rId132" Type="http://schemas.openxmlformats.org/officeDocument/2006/relationships/hyperlink" Target="https://www.ncbi.nlm.nih.gov/pubmed/21542010" TargetMode="External"/><Relationship Id="rId174" Type="http://schemas.openxmlformats.org/officeDocument/2006/relationships/hyperlink" Target="https://www.ncbi.nlm.nih.gov/pubmed/17272280" TargetMode="External"/><Relationship Id="rId381" Type="http://schemas.openxmlformats.org/officeDocument/2006/relationships/hyperlink" Target="https://www.ncbi.nlm.nih.gov/pubmed/11912491" TargetMode="External"/><Relationship Id="rId241" Type="http://schemas.openxmlformats.org/officeDocument/2006/relationships/hyperlink" Target="https://www.ncbi.nlm.nih.gov/pubmed/18511940" TargetMode="External"/><Relationship Id="rId437" Type="http://schemas.openxmlformats.org/officeDocument/2006/relationships/hyperlink" Target="http://www.ncbi.nlm.nih.gov/pubmed/21911940" TargetMode="External"/><Relationship Id="rId36" Type="http://schemas.openxmlformats.org/officeDocument/2006/relationships/hyperlink" Target="https://www.ncbi.nlm.nih.gov/pubmed/25156493" TargetMode="External"/><Relationship Id="rId283" Type="http://schemas.openxmlformats.org/officeDocument/2006/relationships/hyperlink" Target="https://www.ncbi.nlm.nih.gov/pubmed/10464238" TargetMode="External"/><Relationship Id="rId339" Type="http://schemas.openxmlformats.org/officeDocument/2006/relationships/hyperlink" Target="https://www.ncbi.nlm.nih.gov/pubmed/12877655" TargetMode="External"/><Relationship Id="rId78" Type="http://schemas.openxmlformats.org/officeDocument/2006/relationships/hyperlink" Target="http://www.ncbi.nlm.nih.gov/pubmed/8262058" TargetMode="External"/><Relationship Id="rId101" Type="http://schemas.openxmlformats.org/officeDocument/2006/relationships/hyperlink" Target="https://www.ncbi.nlm.nih.gov/pubmed/19151759" TargetMode="External"/><Relationship Id="rId143" Type="http://schemas.openxmlformats.org/officeDocument/2006/relationships/hyperlink" Target="https://www.ncbi.nlm.nih.gov/pubmed/27145964" TargetMode="External"/><Relationship Id="rId185" Type="http://schemas.openxmlformats.org/officeDocument/2006/relationships/hyperlink" Target="https://www.ncbi.nlm.nih.gov/pubmed/15793564" TargetMode="External"/><Relationship Id="rId350" Type="http://schemas.openxmlformats.org/officeDocument/2006/relationships/hyperlink" Target="https://www.ncbi.nlm.nih.gov/pubmed/11861769" TargetMode="External"/><Relationship Id="rId406" Type="http://schemas.openxmlformats.org/officeDocument/2006/relationships/hyperlink" Target="http://www.ncbi.nlm.nih.gov/pubmed/21454492" TargetMode="External"/><Relationship Id="rId9" Type="http://schemas.openxmlformats.org/officeDocument/2006/relationships/hyperlink" Target="https://www.ncbi.nlm.nih.gov/pubmed/8643598" TargetMode="External"/><Relationship Id="rId210" Type="http://schemas.openxmlformats.org/officeDocument/2006/relationships/hyperlink" Target="https://www.ncbi.nlm.nih.gov/pubmed/19737524" TargetMode="External"/><Relationship Id="rId392" Type="http://schemas.openxmlformats.org/officeDocument/2006/relationships/hyperlink" Target="http://www.ncbi.nlm.nih.gov/pubmed/22911862" TargetMode="External"/><Relationship Id="rId448" Type="http://schemas.openxmlformats.org/officeDocument/2006/relationships/hyperlink" Target="http://www.ncbi.nlm.nih.gov/pubmed/11432776" TargetMode="External"/><Relationship Id="rId252" Type="http://schemas.openxmlformats.org/officeDocument/2006/relationships/hyperlink" Target="https://www.ncbi.nlm.nih.gov/pubmed/11685227" TargetMode="External"/><Relationship Id="rId294" Type="http://schemas.openxmlformats.org/officeDocument/2006/relationships/hyperlink" Target="https://www.ncbi.nlm.nih.gov/pubmed/11680691" TargetMode="External"/><Relationship Id="rId308" Type="http://schemas.openxmlformats.org/officeDocument/2006/relationships/hyperlink" Target="https://www.ncbi.nlm.nih.gov/pubmed/18426980" TargetMode="External"/><Relationship Id="rId47" Type="http://schemas.openxmlformats.org/officeDocument/2006/relationships/hyperlink" Target="https://www.ncbi.nlm.nih.gov/pubmed/27481945" TargetMode="External"/><Relationship Id="rId89" Type="http://schemas.openxmlformats.org/officeDocument/2006/relationships/hyperlink" Target="https://www.ncbi.nlm.nih.gov/pubmed/10499589" TargetMode="External"/><Relationship Id="rId112" Type="http://schemas.openxmlformats.org/officeDocument/2006/relationships/hyperlink" Target="https://www.ncbi.nlm.nih.gov/pubmed/11062019" TargetMode="External"/><Relationship Id="rId154" Type="http://schemas.openxmlformats.org/officeDocument/2006/relationships/hyperlink" Target="https://www.ncbi.nlm.nih.gov/pubmed/15579468" TargetMode="External"/><Relationship Id="rId361" Type="http://schemas.openxmlformats.org/officeDocument/2006/relationships/hyperlink" Target="https://www.ncbi.nlm.nih.gov/pubmed/11741931" TargetMode="External"/><Relationship Id="rId196" Type="http://schemas.openxmlformats.org/officeDocument/2006/relationships/hyperlink" Target="https://www.ncbi.nlm.nih.gov/pubmed/8288572" TargetMode="External"/><Relationship Id="rId417" Type="http://schemas.openxmlformats.org/officeDocument/2006/relationships/hyperlink" Target="http://www.ncbi.nlm.nih.gov/pubmed/17976533" TargetMode="External"/><Relationship Id="rId459" Type="http://schemas.openxmlformats.org/officeDocument/2006/relationships/hyperlink" Target="http://www.ncbi.nlm.nih.gov/pubmed/11804590" TargetMode="External"/><Relationship Id="rId16" Type="http://schemas.openxmlformats.org/officeDocument/2006/relationships/hyperlink" Target="http://www.ncbi.nlm.nih.gov/pubmed/15296756" TargetMode="External"/><Relationship Id="rId221" Type="http://schemas.openxmlformats.org/officeDocument/2006/relationships/hyperlink" Target="https://www.ncbi.nlm.nih.gov/pubmed/16721066" TargetMode="External"/><Relationship Id="rId263" Type="http://schemas.openxmlformats.org/officeDocument/2006/relationships/hyperlink" Target="https://www.ncbi.nlm.nih.gov/pubmed/24659802" TargetMode="External"/><Relationship Id="rId319" Type="http://schemas.openxmlformats.org/officeDocument/2006/relationships/hyperlink" Target="https://www.ncbi.nlm.nih.gov/pubmed/18056264" TargetMode="External"/><Relationship Id="rId58" Type="http://schemas.openxmlformats.org/officeDocument/2006/relationships/hyperlink" Target="https://www.ncbi.nlm.nih.gov/pubmed/23255595" TargetMode="External"/><Relationship Id="rId123" Type="http://schemas.openxmlformats.org/officeDocument/2006/relationships/hyperlink" Target="https://www.ncbi.nlm.nih.gov/pubmed/15545273" TargetMode="External"/><Relationship Id="rId330" Type="http://schemas.openxmlformats.org/officeDocument/2006/relationships/hyperlink" Target="https://www.ncbi.nlm.nih.gov/pubmed/12432077" TargetMode="External"/><Relationship Id="rId165" Type="http://schemas.openxmlformats.org/officeDocument/2006/relationships/hyperlink" Target="https://www.ncbi.nlm.nih.gov/pubmed/17932950" TargetMode="External"/><Relationship Id="rId372" Type="http://schemas.openxmlformats.org/officeDocument/2006/relationships/hyperlink" Target="https://www.ncbi.nlm.nih.gov/pubmed/17599059" TargetMode="External"/><Relationship Id="rId428" Type="http://schemas.openxmlformats.org/officeDocument/2006/relationships/hyperlink" Target="http://www.ncbi.nlm.nih.gov/pubmed/12944407" TargetMode="External"/><Relationship Id="rId232" Type="http://schemas.openxmlformats.org/officeDocument/2006/relationships/hyperlink" Target="https://www.ncbi.nlm.nih.gov/pubmed/25795300" TargetMode="External"/><Relationship Id="rId274" Type="http://schemas.openxmlformats.org/officeDocument/2006/relationships/hyperlink" Target="https://www.ncbi.nlm.nih.gov/pubmed/11907027" TargetMode="External"/><Relationship Id="rId27" Type="http://schemas.openxmlformats.org/officeDocument/2006/relationships/hyperlink" Target="https://www.ncbi.nlm.nih.gov/pubmed/12702722" TargetMode="External"/><Relationship Id="rId69" Type="http://schemas.openxmlformats.org/officeDocument/2006/relationships/hyperlink" Target="https://www.ncbi.nlm.nih.gov/pubmed/11684658" TargetMode="External"/><Relationship Id="rId134" Type="http://schemas.openxmlformats.org/officeDocument/2006/relationships/hyperlink" Target="https://www.ncbi.nlm.nih.gov/pubmed/15723800" TargetMode="External"/><Relationship Id="rId80" Type="http://schemas.openxmlformats.org/officeDocument/2006/relationships/hyperlink" Target="https://www.ncbi.nlm.nih.gov/pubmed/23552690" TargetMode="External"/><Relationship Id="rId176" Type="http://schemas.openxmlformats.org/officeDocument/2006/relationships/hyperlink" Target="https://www.ncbi.nlm.nih.gov/pubmed/12531901" TargetMode="External"/><Relationship Id="rId341" Type="http://schemas.openxmlformats.org/officeDocument/2006/relationships/hyperlink" Target="https://www.ncbi.nlm.nih.gov/pubmed/8336731" TargetMode="External"/><Relationship Id="rId383" Type="http://schemas.openxmlformats.org/officeDocument/2006/relationships/hyperlink" Target="https://www.ncbi.nlm.nih.gov/pubmed/9857026" TargetMode="External"/><Relationship Id="rId439" Type="http://schemas.openxmlformats.org/officeDocument/2006/relationships/hyperlink" Target="http://www.ncbi.nlm.nih.gov/pubmed/21750657" TargetMode="External"/><Relationship Id="rId201" Type="http://schemas.openxmlformats.org/officeDocument/2006/relationships/hyperlink" Target="https://www.ncbi.nlm.nih.gov/pubmed/9348541" TargetMode="External"/><Relationship Id="rId243" Type="http://schemas.openxmlformats.org/officeDocument/2006/relationships/hyperlink" Target="https://www.ncbi.nlm.nih.gov/pubmed/20141838" TargetMode="External"/><Relationship Id="rId285" Type="http://schemas.openxmlformats.org/officeDocument/2006/relationships/hyperlink" Target="https://www.ncbi.nlm.nih.gov/pubmed/18838382" TargetMode="External"/><Relationship Id="rId450" Type="http://schemas.openxmlformats.org/officeDocument/2006/relationships/hyperlink" Target="http://www.ncbi.nlm.nih.gov/pubmed/7835339" TargetMode="External"/><Relationship Id="rId38" Type="http://schemas.openxmlformats.org/officeDocument/2006/relationships/hyperlink" Target="https://www.ncbi.nlm.nih.gov/pubmed/25425145" TargetMode="External"/><Relationship Id="rId103" Type="http://schemas.openxmlformats.org/officeDocument/2006/relationships/hyperlink" Target="https://www.ncbi.nlm.nih.gov/pubmed/16481401" TargetMode="External"/><Relationship Id="rId310" Type="http://schemas.openxmlformats.org/officeDocument/2006/relationships/hyperlink" Target="https://www.ncbi.nlm.nih.gov/pubmed/25339677" TargetMode="External"/><Relationship Id="rId91" Type="http://schemas.openxmlformats.org/officeDocument/2006/relationships/hyperlink" Target="https://www.ncbi.nlm.nih.gov/pubmed/11909943" TargetMode="External"/><Relationship Id="rId145" Type="http://schemas.openxmlformats.org/officeDocument/2006/relationships/hyperlink" Target="https://www.ncbi.nlm.nih.gov/pubmed/10900204" TargetMode="External"/><Relationship Id="rId187" Type="http://schemas.openxmlformats.org/officeDocument/2006/relationships/hyperlink" Target="https://www.ncbi.nlm.nih.gov/pubmed/22975681" TargetMode="External"/><Relationship Id="rId352" Type="http://schemas.openxmlformats.org/officeDocument/2006/relationships/hyperlink" Target="https://www.ncbi.nlm.nih.gov/pubmed/24297911" TargetMode="External"/><Relationship Id="rId394" Type="http://schemas.openxmlformats.org/officeDocument/2006/relationships/hyperlink" Target="http://www.ncbi.nlm.nih.gov/pubmed/20679435" TargetMode="External"/><Relationship Id="rId408" Type="http://schemas.openxmlformats.org/officeDocument/2006/relationships/hyperlink" Target="http://www.ncbi.nlm.nih.gov/pubmed/21454492" TargetMode="External"/><Relationship Id="rId212" Type="http://schemas.openxmlformats.org/officeDocument/2006/relationships/hyperlink" Target="https://www.ncbi.nlm.nih.gov/pubmed/15342493" TargetMode="External"/><Relationship Id="rId254" Type="http://schemas.openxmlformats.org/officeDocument/2006/relationships/hyperlink" Target="https://www.ncbi.nlm.nih.gov/pubmed/12515821" TargetMode="External"/><Relationship Id="rId49" Type="http://schemas.openxmlformats.org/officeDocument/2006/relationships/hyperlink" Target="https://www.ncbi.nlm.nih.gov/pubmed/27481945" TargetMode="External"/><Relationship Id="rId114" Type="http://schemas.openxmlformats.org/officeDocument/2006/relationships/hyperlink" Target="https://www.ncbi.nlm.nih.gov/pubmed/1956381" TargetMode="External"/><Relationship Id="rId296" Type="http://schemas.openxmlformats.org/officeDocument/2006/relationships/hyperlink" Target="https://www.ncbi.nlm.nih.gov/pubmed/19617897" TargetMode="External"/><Relationship Id="rId461" Type="http://schemas.openxmlformats.org/officeDocument/2006/relationships/hyperlink" Target="http://www.ncbi.nlm.nih.gov/pubmed/11546812" TargetMode="External"/><Relationship Id="rId60" Type="http://schemas.openxmlformats.org/officeDocument/2006/relationships/hyperlink" Target="https://www.ncbi.nlm.nih.gov/pubmed/23255595" TargetMode="External"/><Relationship Id="rId156" Type="http://schemas.openxmlformats.org/officeDocument/2006/relationships/hyperlink" Target="https://www.ncbi.nlm.nih.gov/pubmed/25518808" TargetMode="External"/><Relationship Id="rId198" Type="http://schemas.openxmlformats.org/officeDocument/2006/relationships/hyperlink" Target="https://www.ncbi.nlm.nih.gov/pubmed/1522900" TargetMode="External"/><Relationship Id="rId321" Type="http://schemas.openxmlformats.org/officeDocument/2006/relationships/hyperlink" Target="https://www.ncbi.nlm.nih.gov/pubmed/18056264" TargetMode="External"/><Relationship Id="rId363" Type="http://schemas.openxmlformats.org/officeDocument/2006/relationships/hyperlink" Target="https://www.ncbi.nlm.nih.gov/pubmed/21525037" TargetMode="External"/><Relationship Id="rId419" Type="http://schemas.openxmlformats.org/officeDocument/2006/relationships/hyperlink" Target="http://www.ncbi.nlm.nih.gov/pubmed/12531887" TargetMode="External"/><Relationship Id="rId223" Type="http://schemas.openxmlformats.org/officeDocument/2006/relationships/hyperlink" Target="https://www.ncbi.nlm.nih.gov/pubmed/20237158" TargetMode="External"/><Relationship Id="rId430" Type="http://schemas.openxmlformats.org/officeDocument/2006/relationships/hyperlink" Target="http://www.ncbi.nlm.nih.gov/pubmed/12773384" TargetMode="External"/><Relationship Id="rId18" Type="http://schemas.openxmlformats.org/officeDocument/2006/relationships/hyperlink" Target="https://www.ncbi.nlm.nih.gov/pubmed/28860633" TargetMode="External"/><Relationship Id="rId265" Type="http://schemas.openxmlformats.org/officeDocument/2006/relationships/hyperlink" Target="https://www.ncbi.nlm.nih.gov/pubmed/15611121" TargetMode="External"/><Relationship Id="rId125" Type="http://schemas.openxmlformats.org/officeDocument/2006/relationships/hyperlink" Target="https://www.ncbi.nlm.nih.gov/pubmed/19745154" TargetMode="External"/><Relationship Id="rId167" Type="http://schemas.openxmlformats.org/officeDocument/2006/relationships/hyperlink" Target="https://www.ncbi.nlm.nih.gov/pubmed/25091805" TargetMode="External"/><Relationship Id="rId332" Type="http://schemas.openxmlformats.org/officeDocument/2006/relationships/hyperlink" Target="https://www.ncbi.nlm.nih.gov/pubmed/12432077" TargetMode="External"/><Relationship Id="rId374" Type="http://schemas.openxmlformats.org/officeDocument/2006/relationships/hyperlink" Target="https://www.ncbi.nlm.nih.gov/pubmed/10947987" TargetMode="External"/><Relationship Id="rId71" Type="http://schemas.openxmlformats.org/officeDocument/2006/relationships/hyperlink" Target="http://www.ncbi.nlm.nih.gov/pubmed/7479768" TargetMode="External"/><Relationship Id="rId234" Type="http://schemas.openxmlformats.org/officeDocument/2006/relationships/hyperlink" Target="https://www.ncbi.nlm.nih.gov/pubmed/10744696" TargetMode="External"/><Relationship Id="rId2" Type="http://schemas.openxmlformats.org/officeDocument/2006/relationships/hyperlink" Target="https://www.ncbi.nlm.nih.gov/pubmed/17640372" TargetMode="External"/><Relationship Id="rId29" Type="http://schemas.openxmlformats.org/officeDocument/2006/relationships/hyperlink" Target="https://www.ncbi.nlm.nih.gov/pubmed/23729734" TargetMode="External"/><Relationship Id="rId276" Type="http://schemas.openxmlformats.org/officeDocument/2006/relationships/hyperlink" Target="https://www.ncbi.nlm.nih.gov/pubmed/19622753" TargetMode="External"/><Relationship Id="rId441" Type="http://schemas.openxmlformats.org/officeDocument/2006/relationships/hyperlink" Target="http://www.ncbi.nlm.nih.gov/pubmed/23200924" TargetMode="External"/><Relationship Id="rId40" Type="http://schemas.openxmlformats.org/officeDocument/2006/relationships/hyperlink" Target="https://www.ncbi.nlm.nih.gov/pubmed/21490342" TargetMode="External"/><Relationship Id="rId115" Type="http://schemas.openxmlformats.org/officeDocument/2006/relationships/hyperlink" Target="https://www.ncbi.nlm.nih.gov/pubmed/12389031" TargetMode="External"/><Relationship Id="rId136" Type="http://schemas.openxmlformats.org/officeDocument/2006/relationships/hyperlink" Target="https://www.ncbi.nlm.nih.gov/pubmed/25851601" TargetMode="External"/><Relationship Id="rId157" Type="http://schemas.openxmlformats.org/officeDocument/2006/relationships/hyperlink" Target="https://www.ncbi.nlm.nih.gov/pubmed/12447388" TargetMode="External"/><Relationship Id="rId178" Type="http://schemas.openxmlformats.org/officeDocument/2006/relationships/hyperlink" Target="https://www.ncbi.nlm.nih.gov/pubmed/27566826" TargetMode="External"/><Relationship Id="rId301" Type="http://schemas.openxmlformats.org/officeDocument/2006/relationships/hyperlink" Target="https://www.ncbi.nlm.nih.gov/pubmed/18835169" TargetMode="External"/><Relationship Id="rId322" Type="http://schemas.openxmlformats.org/officeDocument/2006/relationships/hyperlink" Target="https://www.ncbi.nlm.nih.gov/pubmed/25339677" TargetMode="External"/><Relationship Id="rId343" Type="http://schemas.openxmlformats.org/officeDocument/2006/relationships/hyperlink" Target="https://www.ncbi.nlm.nih.gov/pubmed/15107133" TargetMode="External"/><Relationship Id="rId364" Type="http://schemas.openxmlformats.org/officeDocument/2006/relationships/hyperlink" Target="https://www.ncbi.nlm.nih.gov/pubmed/17337446" TargetMode="External"/><Relationship Id="rId61" Type="http://schemas.openxmlformats.org/officeDocument/2006/relationships/hyperlink" Target="https://www.ncbi.nlm.nih.gov/pubmed/23255595" TargetMode="External"/><Relationship Id="rId82" Type="http://schemas.openxmlformats.org/officeDocument/2006/relationships/hyperlink" Target="https://www.ncbi.nlm.nih.gov/pubmed/18541700" TargetMode="External"/><Relationship Id="rId199" Type="http://schemas.openxmlformats.org/officeDocument/2006/relationships/hyperlink" Target="https://www.ncbi.nlm.nih.gov/pubmed/18267090" TargetMode="External"/><Relationship Id="rId203" Type="http://schemas.openxmlformats.org/officeDocument/2006/relationships/hyperlink" Target="https://www.ncbi.nlm.nih.gov/pubmed/20566876" TargetMode="External"/><Relationship Id="rId385" Type="http://schemas.openxmlformats.org/officeDocument/2006/relationships/hyperlink" Target="http://www.ncbi.nlm.nih.gov/pubmed/18256687" TargetMode="External"/><Relationship Id="rId19" Type="http://schemas.openxmlformats.org/officeDocument/2006/relationships/hyperlink" Target="https://www.ncbi.nlm.nih.gov/pubmed/28860633" TargetMode="External"/><Relationship Id="rId224" Type="http://schemas.openxmlformats.org/officeDocument/2006/relationships/hyperlink" Target="https://www.ncbi.nlm.nih.gov/pubmed/24126053" TargetMode="External"/><Relationship Id="rId245" Type="http://schemas.openxmlformats.org/officeDocument/2006/relationships/hyperlink" Target="https://www.ncbi.nlm.nih.gov/pubmed/8990121" TargetMode="External"/><Relationship Id="rId266" Type="http://schemas.openxmlformats.org/officeDocument/2006/relationships/hyperlink" Target="https://www.ncbi.nlm.nih.gov/pubmed/9670022" TargetMode="External"/><Relationship Id="rId287" Type="http://schemas.openxmlformats.org/officeDocument/2006/relationships/hyperlink" Target="https://www.ncbi.nlm.nih.gov/pubmed/8969170" TargetMode="External"/><Relationship Id="rId410" Type="http://schemas.openxmlformats.org/officeDocument/2006/relationships/hyperlink" Target="http://www.ncbi.nlm.nih.gov/pubmed/12195014" TargetMode="External"/><Relationship Id="rId431" Type="http://schemas.openxmlformats.org/officeDocument/2006/relationships/hyperlink" Target="http://www.ncbi.nlm.nih.gov/pubmed/12819203" TargetMode="External"/><Relationship Id="rId452" Type="http://schemas.openxmlformats.org/officeDocument/2006/relationships/hyperlink" Target="http://www.ncbi.nlm.nih.gov/pubmed/17804252" TargetMode="External"/><Relationship Id="rId30" Type="http://schemas.openxmlformats.org/officeDocument/2006/relationships/hyperlink" Target="https://www.ncbi.nlm.nih.gov/pubmed/12270917" TargetMode="External"/><Relationship Id="rId105" Type="http://schemas.openxmlformats.org/officeDocument/2006/relationships/hyperlink" Target="https://www.ncbi.nlm.nih.gov/pubmed/18514484" TargetMode="External"/><Relationship Id="rId126" Type="http://schemas.openxmlformats.org/officeDocument/2006/relationships/hyperlink" Target="https://www.ncbi.nlm.nih.gov/pubmed/28028151" TargetMode="External"/><Relationship Id="rId147" Type="http://schemas.openxmlformats.org/officeDocument/2006/relationships/hyperlink" Target="https://www.ncbi.nlm.nih.gov/pubmed/11373293" TargetMode="External"/><Relationship Id="rId168" Type="http://schemas.openxmlformats.org/officeDocument/2006/relationships/hyperlink" Target="https://www.ncbi.nlm.nih.gov/pubmed/8537347" TargetMode="External"/><Relationship Id="rId312" Type="http://schemas.openxmlformats.org/officeDocument/2006/relationships/hyperlink" Target="https://www.ncbi.nlm.nih.gov/pubmed/12628187" TargetMode="External"/><Relationship Id="rId333" Type="http://schemas.openxmlformats.org/officeDocument/2006/relationships/hyperlink" Target="https://www.ncbi.nlm.nih.gov/pubmed/12432077" TargetMode="External"/><Relationship Id="rId354" Type="http://schemas.openxmlformats.org/officeDocument/2006/relationships/hyperlink" Target="https://www.ncbi.nlm.nih.gov/pubmed/18160719" TargetMode="External"/><Relationship Id="rId51" Type="http://schemas.openxmlformats.org/officeDocument/2006/relationships/hyperlink" Target="https://www.ncbi.nlm.nih.gov/pubmed/27481945" TargetMode="External"/><Relationship Id="rId72" Type="http://schemas.openxmlformats.org/officeDocument/2006/relationships/hyperlink" Target="https://www.ncbi.nlm.nih.gov/pubmed/23940119" TargetMode="External"/><Relationship Id="rId93" Type="http://schemas.openxmlformats.org/officeDocument/2006/relationships/hyperlink" Target="https://www.ncbi.nlm.nih.gov/pubmed/15728722" TargetMode="External"/><Relationship Id="rId189" Type="http://schemas.openxmlformats.org/officeDocument/2006/relationships/hyperlink" Target="https://www.ncbi.nlm.nih.gov/pubmed/10967100" TargetMode="External"/><Relationship Id="rId375" Type="http://schemas.openxmlformats.org/officeDocument/2006/relationships/hyperlink" Target="https://www.ncbi.nlm.nih.gov/pubmed/17214551" TargetMode="External"/><Relationship Id="rId396" Type="http://schemas.openxmlformats.org/officeDocument/2006/relationships/hyperlink" Target="http://www.ncbi.nlm.nih.gov/pubmed/25063526" TargetMode="External"/><Relationship Id="rId3" Type="http://schemas.openxmlformats.org/officeDocument/2006/relationships/hyperlink" Target="https://www.ncbi.nlm.nih.gov/pubmed/15950621" TargetMode="External"/><Relationship Id="rId214" Type="http://schemas.openxmlformats.org/officeDocument/2006/relationships/hyperlink" Target="https://www.ncbi.nlm.nih.gov/pubmed/15147912" TargetMode="External"/><Relationship Id="rId235" Type="http://schemas.openxmlformats.org/officeDocument/2006/relationships/hyperlink" Target="https://www.ncbi.nlm.nih.gov/pubmed/15728722" TargetMode="External"/><Relationship Id="rId256" Type="http://schemas.openxmlformats.org/officeDocument/2006/relationships/hyperlink" Target="https://www.ncbi.nlm.nih.gov/pubmed/9707409" TargetMode="External"/><Relationship Id="rId277" Type="http://schemas.openxmlformats.org/officeDocument/2006/relationships/hyperlink" Target="https://www.ncbi.nlm.nih.gov/pubmed/11748279" TargetMode="External"/><Relationship Id="rId298" Type="http://schemas.openxmlformats.org/officeDocument/2006/relationships/hyperlink" Target="https://www.ncbi.nlm.nih.gov/pubmed/15710388" TargetMode="External"/><Relationship Id="rId400" Type="http://schemas.openxmlformats.org/officeDocument/2006/relationships/hyperlink" Target="http://www.ncbi.nlm.nih.gov/pubmed/12775584" TargetMode="External"/><Relationship Id="rId421" Type="http://schemas.openxmlformats.org/officeDocument/2006/relationships/hyperlink" Target="http://www.ncbi.nlm.nih.gov/pubmed/7621827" TargetMode="External"/><Relationship Id="rId442" Type="http://schemas.openxmlformats.org/officeDocument/2006/relationships/hyperlink" Target="http://www.ncbi.nlm.nih.gov/pubmed/16014623" TargetMode="External"/><Relationship Id="rId116" Type="http://schemas.openxmlformats.org/officeDocument/2006/relationships/hyperlink" Target="https://www.ncbi.nlm.nih.gov/pubmed/20479469" TargetMode="External"/><Relationship Id="rId137" Type="http://schemas.openxmlformats.org/officeDocument/2006/relationships/hyperlink" Target="https://www.ncbi.nlm.nih.gov/pubmed/25851601" TargetMode="External"/><Relationship Id="rId158" Type="http://schemas.openxmlformats.org/officeDocument/2006/relationships/hyperlink" Target="https://www.ncbi.nlm.nih.gov/pubmed/24006490" TargetMode="External"/><Relationship Id="rId302" Type="http://schemas.openxmlformats.org/officeDocument/2006/relationships/hyperlink" Target="https://www.ncbi.nlm.nih.gov/pubmed/17935486" TargetMode="External"/><Relationship Id="rId323" Type="http://schemas.openxmlformats.org/officeDocument/2006/relationships/hyperlink" Target="https://www.ncbi.nlm.nih.gov/pubmed/12871644" TargetMode="External"/><Relationship Id="rId344" Type="http://schemas.openxmlformats.org/officeDocument/2006/relationships/hyperlink" Target="https://www.ncbi.nlm.nih.gov/pubmed/25795300" TargetMode="External"/><Relationship Id="rId20" Type="http://schemas.openxmlformats.org/officeDocument/2006/relationships/hyperlink" Target="https://www.ncbi.nlm.nih.gov/pubmed/28860633" TargetMode="External"/><Relationship Id="rId41" Type="http://schemas.openxmlformats.org/officeDocument/2006/relationships/hyperlink" Target="https://www.ncbi.nlm.nih.gov/pubmed/11238453" TargetMode="External"/><Relationship Id="rId62" Type="http://schemas.openxmlformats.org/officeDocument/2006/relationships/hyperlink" Target="https://www.ncbi.nlm.nih.gov/pubmed/23255595" TargetMode="External"/><Relationship Id="rId83" Type="http://schemas.openxmlformats.org/officeDocument/2006/relationships/hyperlink" Target="https://www.ncbi.nlm.nih.gov/pubmed/11553710" TargetMode="External"/><Relationship Id="rId179" Type="http://schemas.openxmlformats.org/officeDocument/2006/relationships/hyperlink" Target="https://www.ncbi.nlm.nih.gov/pubmed/15302923" TargetMode="External"/><Relationship Id="rId365" Type="http://schemas.openxmlformats.org/officeDocument/2006/relationships/hyperlink" Target="https://www.ncbi.nlm.nih.gov/pubmed/19713215" TargetMode="External"/><Relationship Id="rId386" Type="http://schemas.openxmlformats.org/officeDocument/2006/relationships/hyperlink" Target="http://www.ncbi.nlm.nih.gov/pubmed/15485661" TargetMode="External"/><Relationship Id="rId190" Type="http://schemas.openxmlformats.org/officeDocument/2006/relationships/hyperlink" Target="https://www.ncbi.nlm.nih.gov/pubmed/16678097" TargetMode="External"/><Relationship Id="rId204" Type="http://schemas.openxmlformats.org/officeDocument/2006/relationships/hyperlink" Target="https://www.ncbi.nlm.nih.gov/pubmed/9819351" TargetMode="External"/><Relationship Id="rId225" Type="http://schemas.openxmlformats.org/officeDocument/2006/relationships/hyperlink" Target="https://www.ncbi.nlm.nih.gov/pubmed/11704860" TargetMode="External"/><Relationship Id="rId246" Type="http://schemas.openxmlformats.org/officeDocument/2006/relationships/hyperlink" Target="https://www.ncbi.nlm.nih.gov/pubmed/24859002" TargetMode="External"/><Relationship Id="rId267" Type="http://schemas.openxmlformats.org/officeDocument/2006/relationships/hyperlink" Target="https://www.ncbi.nlm.nih.gov/pubmed/17562712" TargetMode="External"/><Relationship Id="rId288" Type="http://schemas.openxmlformats.org/officeDocument/2006/relationships/hyperlink" Target="https://www.ncbi.nlm.nih.gov/pubmed/12771149" TargetMode="External"/><Relationship Id="rId411" Type="http://schemas.openxmlformats.org/officeDocument/2006/relationships/hyperlink" Target="http://www.ncbi.nlm.nih.gov/pubmed/12195014" TargetMode="External"/><Relationship Id="rId432" Type="http://schemas.openxmlformats.org/officeDocument/2006/relationships/hyperlink" Target="http://www.ncbi.nlm.nih.gov/pubmed/9786927" TargetMode="External"/><Relationship Id="rId453" Type="http://schemas.openxmlformats.org/officeDocument/2006/relationships/hyperlink" Target="http://www.ncbi.nlm.nih.gov/pubmed/12414125" TargetMode="External"/><Relationship Id="rId106" Type="http://schemas.openxmlformats.org/officeDocument/2006/relationships/hyperlink" Target="https://www.ncbi.nlm.nih.gov/pubmed/17702745" TargetMode="External"/><Relationship Id="rId127" Type="http://schemas.openxmlformats.org/officeDocument/2006/relationships/hyperlink" Target="https://www.ncbi.nlm.nih.gov/pubmed/22412158" TargetMode="External"/><Relationship Id="rId313" Type="http://schemas.openxmlformats.org/officeDocument/2006/relationships/hyperlink" Target="https://www.ncbi.nlm.nih.gov/pubmed/16464467" TargetMode="External"/><Relationship Id="rId10" Type="http://schemas.openxmlformats.org/officeDocument/2006/relationships/hyperlink" Target="https://www.ncbi.nlm.nih.gov/pubmed/15950621" TargetMode="External"/><Relationship Id="rId31" Type="http://schemas.openxmlformats.org/officeDocument/2006/relationships/hyperlink" Target="https://www.ncbi.nlm.nih.gov/pubmed/21148482" TargetMode="External"/><Relationship Id="rId52" Type="http://schemas.openxmlformats.org/officeDocument/2006/relationships/hyperlink" Target="https://www.ncbi.nlm.nih.gov/pubmed/23255595" TargetMode="External"/><Relationship Id="rId73" Type="http://schemas.openxmlformats.org/officeDocument/2006/relationships/hyperlink" Target="https://www.ncbi.nlm.nih.gov/pubmed/8349582" TargetMode="External"/><Relationship Id="rId94" Type="http://schemas.openxmlformats.org/officeDocument/2006/relationships/hyperlink" Target="https://www.ncbi.nlm.nih.gov/pubmed/9822605" TargetMode="External"/><Relationship Id="rId148" Type="http://schemas.openxmlformats.org/officeDocument/2006/relationships/hyperlink" Target="https://www.ncbi.nlm.nih.gov/pubmed/10526156" TargetMode="External"/><Relationship Id="rId169" Type="http://schemas.openxmlformats.org/officeDocument/2006/relationships/hyperlink" Target="https://www.ncbi.nlm.nih.gov/pubmed/24352656" TargetMode="External"/><Relationship Id="rId334" Type="http://schemas.openxmlformats.org/officeDocument/2006/relationships/hyperlink" Target="https://www.ncbi.nlm.nih.gov/pubmed/14506234" TargetMode="External"/><Relationship Id="rId355" Type="http://schemas.openxmlformats.org/officeDocument/2006/relationships/hyperlink" Target="https://www.ncbi.nlm.nih.gov/pubmed/16492808" TargetMode="External"/><Relationship Id="rId376" Type="http://schemas.openxmlformats.org/officeDocument/2006/relationships/hyperlink" Target="https://www.ncbi.nlm.nih.gov/pubmed/12221096" TargetMode="External"/><Relationship Id="rId397" Type="http://schemas.openxmlformats.org/officeDocument/2006/relationships/hyperlink" Target="http://www.ncbi.nlm.nih.gov/pubmed/21029865" TargetMode="External"/><Relationship Id="rId4" Type="http://schemas.openxmlformats.org/officeDocument/2006/relationships/hyperlink" Target="https://www.ncbi.nlm.nih.gov/pubmed/10692441" TargetMode="External"/><Relationship Id="rId180" Type="http://schemas.openxmlformats.org/officeDocument/2006/relationships/hyperlink" Target="https://www.ncbi.nlm.nih.gov/pubmed/15611138" TargetMode="External"/><Relationship Id="rId215" Type="http://schemas.openxmlformats.org/officeDocument/2006/relationships/hyperlink" Target="https://www.ncbi.nlm.nih.gov/pubmed/27226243" TargetMode="External"/><Relationship Id="rId236" Type="http://schemas.openxmlformats.org/officeDocument/2006/relationships/hyperlink" Target="https://www.ncbi.nlm.nih.gov/pubmed/15728722" TargetMode="External"/><Relationship Id="rId257" Type="http://schemas.openxmlformats.org/officeDocument/2006/relationships/hyperlink" Target="https://www.ncbi.nlm.nih.gov/pubmed/10681520" TargetMode="External"/><Relationship Id="rId278" Type="http://schemas.openxmlformats.org/officeDocument/2006/relationships/hyperlink" Target="https://www.ncbi.nlm.nih.gov/pubmed/11584276" TargetMode="External"/><Relationship Id="rId401" Type="http://schemas.openxmlformats.org/officeDocument/2006/relationships/hyperlink" Target="http://www.ncbi.nlm.nih.gov/pubmed/16112081" TargetMode="External"/><Relationship Id="rId422" Type="http://schemas.openxmlformats.org/officeDocument/2006/relationships/hyperlink" Target="http://www.ncbi.nlm.nih.gov/pubmed/7673236" TargetMode="External"/><Relationship Id="rId443" Type="http://schemas.openxmlformats.org/officeDocument/2006/relationships/hyperlink" Target="http://www.ncbi.nlm.nih.gov/pubmed/21865595" TargetMode="External"/><Relationship Id="rId303" Type="http://schemas.openxmlformats.org/officeDocument/2006/relationships/hyperlink" Target="https://www.ncbi.nlm.nih.gov/pubmed/12172552" TargetMode="External"/><Relationship Id="rId42" Type="http://schemas.openxmlformats.org/officeDocument/2006/relationships/hyperlink" Target="https://www.ncbi.nlm.nih.gov/pubmed/27481945" TargetMode="External"/><Relationship Id="rId84" Type="http://schemas.openxmlformats.org/officeDocument/2006/relationships/hyperlink" Target="https://www.ncbi.nlm.nih.gov/pubmed/20335173" TargetMode="External"/><Relationship Id="rId138" Type="http://schemas.openxmlformats.org/officeDocument/2006/relationships/hyperlink" Target="https://www.ncbi.nlm.nih.gov/pubmed/25851601" TargetMode="External"/><Relationship Id="rId345" Type="http://schemas.openxmlformats.org/officeDocument/2006/relationships/hyperlink" Target="https://www.ncbi.nlm.nih.gov/pubmed/15133129" TargetMode="External"/><Relationship Id="rId387" Type="http://schemas.openxmlformats.org/officeDocument/2006/relationships/hyperlink" Target="http://www.ncbi.nlm.nih.gov/pubmed/23698346" TargetMode="External"/><Relationship Id="rId191" Type="http://schemas.openxmlformats.org/officeDocument/2006/relationships/hyperlink" Target="https://www.ncbi.nlm.nih.gov/pubmed/27713499" TargetMode="External"/><Relationship Id="rId205" Type="http://schemas.openxmlformats.org/officeDocument/2006/relationships/hyperlink" Target="https://www.ncbi.nlm.nih.gov/pubmed/22305756" TargetMode="External"/><Relationship Id="rId247" Type="http://schemas.openxmlformats.org/officeDocument/2006/relationships/hyperlink" Target="https://www.ncbi.nlm.nih.gov/pubmed/26116572" TargetMode="External"/><Relationship Id="rId412" Type="http://schemas.openxmlformats.org/officeDocument/2006/relationships/hyperlink" Target="http://www.ncbi.nlm.nih.gov/pubmed/16730001" TargetMode="External"/><Relationship Id="rId107" Type="http://schemas.openxmlformats.org/officeDocument/2006/relationships/hyperlink" Target="https://www.ncbi.nlm.nih.gov/pubmed/11336673" TargetMode="External"/><Relationship Id="rId289" Type="http://schemas.openxmlformats.org/officeDocument/2006/relationships/hyperlink" Target="https://www.ncbi.nlm.nih.gov/pubmed/23375260" TargetMode="External"/><Relationship Id="rId454" Type="http://schemas.openxmlformats.org/officeDocument/2006/relationships/hyperlink" Target="http://www.ncbi.nlm.nih.gov/pubmed/16914516" TargetMode="External"/><Relationship Id="rId11" Type="http://schemas.openxmlformats.org/officeDocument/2006/relationships/hyperlink" Target="https://www.ncbi.nlm.nih.gov/pubmed/11606631" TargetMode="External"/><Relationship Id="rId53" Type="http://schemas.openxmlformats.org/officeDocument/2006/relationships/hyperlink" Target="https://www.ncbi.nlm.nih.gov/pubmed/23255595" TargetMode="External"/><Relationship Id="rId149" Type="http://schemas.openxmlformats.org/officeDocument/2006/relationships/hyperlink" Target="https://www.ncbi.nlm.nih.gov/pubmed/14712228" TargetMode="External"/><Relationship Id="rId314" Type="http://schemas.openxmlformats.org/officeDocument/2006/relationships/hyperlink" Target="https://www.ncbi.nlm.nih.gov/pubmed/17027967" TargetMode="External"/><Relationship Id="rId356" Type="http://schemas.openxmlformats.org/officeDocument/2006/relationships/hyperlink" Target="https://www.ncbi.nlm.nih.gov/pubmed/10523848" TargetMode="External"/><Relationship Id="rId398" Type="http://schemas.openxmlformats.org/officeDocument/2006/relationships/hyperlink" Target="http://www.ncbi.nlm.nih.gov/pubmed/21029865" TargetMode="External"/><Relationship Id="rId95" Type="http://schemas.openxmlformats.org/officeDocument/2006/relationships/hyperlink" Target="https://www.ncbi.nlm.nih.gov/pubmed/10669745" TargetMode="External"/><Relationship Id="rId160" Type="http://schemas.openxmlformats.org/officeDocument/2006/relationships/hyperlink" Target="https://www.ncbi.nlm.nih.gov/pubmed/22945935" TargetMode="External"/><Relationship Id="rId216" Type="http://schemas.openxmlformats.org/officeDocument/2006/relationships/hyperlink" Target="https://www.ncbi.nlm.nih.gov/pubmed/24259668" TargetMode="External"/><Relationship Id="rId423" Type="http://schemas.openxmlformats.org/officeDocument/2006/relationships/hyperlink" Target="http://www.ncbi.nlm.nih.gov/pubmed/9497316" TargetMode="External"/><Relationship Id="rId258" Type="http://schemas.openxmlformats.org/officeDocument/2006/relationships/hyperlink" Target="https://www.ncbi.nlm.nih.gov/pubmed/10220378" TargetMode="External"/><Relationship Id="rId22" Type="http://schemas.openxmlformats.org/officeDocument/2006/relationships/hyperlink" Target="https://www.ncbi.nlm.nih.gov/pubmed/12192056" TargetMode="External"/><Relationship Id="rId64" Type="http://schemas.openxmlformats.org/officeDocument/2006/relationships/hyperlink" Target="https://www.ncbi.nlm.nih.gov/pubmed/8253717" TargetMode="External"/><Relationship Id="rId118" Type="http://schemas.openxmlformats.org/officeDocument/2006/relationships/hyperlink" Target="https://www.ncbi.nlm.nih.gov/pubmed/19356586" TargetMode="External"/><Relationship Id="rId325" Type="http://schemas.openxmlformats.org/officeDocument/2006/relationships/hyperlink" Target="https://www.ncbi.nlm.nih.gov/pubmed/12393632" TargetMode="External"/><Relationship Id="rId367" Type="http://schemas.openxmlformats.org/officeDocument/2006/relationships/hyperlink" Target="https://www.ncbi.nlm.nih.gov/pubmed/17190834" TargetMode="External"/><Relationship Id="rId171" Type="http://schemas.openxmlformats.org/officeDocument/2006/relationships/hyperlink" Target="https://www.ncbi.nlm.nih.gov/pubmed/16716191" TargetMode="External"/><Relationship Id="rId227" Type="http://schemas.openxmlformats.org/officeDocument/2006/relationships/hyperlink" Target="https://www.ncbi.nlm.nih.gov/pubmed/15686487" TargetMode="External"/><Relationship Id="rId269" Type="http://schemas.openxmlformats.org/officeDocument/2006/relationships/hyperlink" Target="https://www.ncbi.nlm.nih.gov/pubmed/10523665" TargetMode="External"/><Relationship Id="rId434" Type="http://schemas.openxmlformats.org/officeDocument/2006/relationships/hyperlink" Target="http://www.ncbi.nlm.nih.gov/pubmed/9305890" TargetMode="External"/><Relationship Id="rId33" Type="http://schemas.openxmlformats.org/officeDocument/2006/relationships/hyperlink" Target="https://www.ncbi.nlm.nih.gov/pubmed/25074242" TargetMode="External"/><Relationship Id="rId129" Type="http://schemas.openxmlformats.org/officeDocument/2006/relationships/hyperlink" Target="https://www.ncbi.nlm.nih.gov/pubmed/27693507" TargetMode="External"/><Relationship Id="rId280" Type="http://schemas.openxmlformats.org/officeDocument/2006/relationships/hyperlink" Target="https://www.ncbi.nlm.nih.gov/pubmed/24086303" TargetMode="External"/><Relationship Id="rId336" Type="http://schemas.openxmlformats.org/officeDocument/2006/relationships/hyperlink" Target="https://www.ncbi.nlm.nih.gov/pubmed/25458010" TargetMode="External"/><Relationship Id="rId75" Type="http://schemas.openxmlformats.org/officeDocument/2006/relationships/hyperlink" Target="https://www.ncbi.nlm.nih.gov/pubmed/8262969" TargetMode="External"/><Relationship Id="rId140" Type="http://schemas.openxmlformats.org/officeDocument/2006/relationships/hyperlink" Target="https://www.ncbi.nlm.nih.gov/pubmed/21048939" TargetMode="External"/><Relationship Id="rId182" Type="http://schemas.openxmlformats.org/officeDocument/2006/relationships/hyperlink" Target="https://www.ncbi.nlm.nih.gov/pubmed/24933155" TargetMode="External"/><Relationship Id="rId378" Type="http://schemas.openxmlformats.org/officeDocument/2006/relationships/hyperlink" Target="https://www.ncbi.nlm.nih.gov/pubmed/8910315" TargetMode="External"/><Relationship Id="rId403" Type="http://schemas.openxmlformats.org/officeDocument/2006/relationships/hyperlink" Target="http://www.ncbi.nlm.nih.gov/pubmed/16896804" TargetMode="External"/><Relationship Id="rId6" Type="http://schemas.openxmlformats.org/officeDocument/2006/relationships/hyperlink" Target="https://www.ncbi.nlm.nih.gov/pubmed/9790533" TargetMode="External"/><Relationship Id="rId238" Type="http://schemas.openxmlformats.org/officeDocument/2006/relationships/hyperlink" Target="https://www.ncbi.nlm.nih.gov/pubmed/9822605" TargetMode="External"/><Relationship Id="rId445" Type="http://schemas.openxmlformats.org/officeDocument/2006/relationships/hyperlink" Target="http://www.ncbi.nlm.nih.gov/pubmed/11431473" TargetMode="External"/><Relationship Id="rId291" Type="http://schemas.openxmlformats.org/officeDocument/2006/relationships/hyperlink" Target="https://www.ncbi.nlm.nih.gov/pubmed/16286926" TargetMode="External"/><Relationship Id="rId305" Type="http://schemas.openxmlformats.org/officeDocument/2006/relationships/hyperlink" Target="https://www.ncbi.nlm.nih.gov/pubmed/22461490" TargetMode="External"/><Relationship Id="rId347" Type="http://schemas.openxmlformats.org/officeDocument/2006/relationships/hyperlink" Target="https://www.ncbi.nlm.nih.gov/pubmed/15069594" TargetMode="External"/><Relationship Id="rId44" Type="http://schemas.openxmlformats.org/officeDocument/2006/relationships/hyperlink" Target="https://www.ncbi.nlm.nih.gov/pubmed/27481945" TargetMode="External"/><Relationship Id="rId86" Type="http://schemas.openxmlformats.org/officeDocument/2006/relationships/hyperlink" Target="https://www.ncbi.nlm.nih.gov/pubmed/17785182" TargetMode="External"/><Relationship Id="rId151" Type="http://schemas.openxmlformats.org/officeDocument/2006/relationships/hyperlink" Target="https://www.ncbi.nlm.nih.gov/pubmed/14712228" TargetMode="External"/><Relationship Id="rId389" Type="http://schemas.openxmlformats.org/officeDocument/2006/relationships/hyperlink" Target="http://www.ncbi.nlm.nih.gov/pubmed/15558029" TargetMode="External"/><Relationship Id="rId193" Type="http://schemas.openxmlformats.org/officeDocument/2006/relationships/hyperlink" Target="https://www.ncbi.nlm.nih.gov/pubmed/16157885" TargetMode="External"/><Relationship Id="rId207" Type="http://schemas.openxmlformats.org/officeDocument/2006/relationships/hyperlink" Target="https://www.ncbi.nlm.nih.gov/pubmed/8034624" TargetMode="External"/><Relationship Id="rId249" Type="http://schemas.openxmlformats.org/officeDocument/2006/relationships/hyperlink" Target="https://www.ncbi.nlm.nih.gov/pubmed/11707441" TargetMode="External"/><Relationship Id="rId414" Type="http://schemas.openxmlformats.org/officeDocument/2006/relationships/hyperlink" Target="http://www.ncbi.nlm.nih.gov/pubmed/7479768" TargetMode="External"/><Relationship Id="rId456" Type="http://schemas.openxmlformats.org/officeDocument/2006/relationships/hyperlink" Target="http://www.ncbi.nlm.nih.gov/pubmed/15296756" TargetMode="External"/><Relationship Id="rId13" Type="http://schemas.openxmlformats.org/officeDocument/2006/relationships/hyperlink" Target="https://www.ncbi.nlm.nih.gov/pubmed/14720465" TargetMode="External"/><Relationship Id="rId109" Type="http://schemas.openxmlformats.org/officeDocument/2006/relationships/hyperlink" Target="https://www.ncbi.nlm.nih.gov/pubmed/17938206" TargetMode="External"/><Relationship Id="rId260" Type="http://schemas.openxmlformats.org/officeDocument/2006/relationships/hyperlink" Target="https://www.ncbi.nlm.nih.gov/pubmed/15304342" TargetMode="External"/><Relationship Id="rId316" Type="http://schemas.openxmlformats.org/officeDocument/2006/relationships/hyperlink" Target="https://www.ncbi.nlm.nih.gov/pubmed/21750657" TargetMode="External"/><Relationship Id="rId55" Type="http://schemas.openxmlformats.org/officeDocument/2006/relationships/hyperlink" Target="https://www.ncbi.nlm.nih.gov/pubmed/23255595" TargetMode="External"/><Relationship Id="rId97" Type="http://schemas.openxmlformats.org/officeDocument/2006/relationships/hyperlink" Target="https://www.ncbi.nlm.nih.gov/pubmed/16599904" TargetMode="External"/><Relationship Id="rId120" Type="http://schemas.openxmlformats.org/officeDocument/2006/relationships/hyperlink" Target="https://www.ncbi.nlm.nih.gov/pubmed/26911374" TargetMode="External"/><Relationship Id="rId358" Type="http://schemas.openxmlformats.org/officeDocument/2006/relationships/hyperlink" Target="https://www.ncbi.nlm.nih.gov/pubmed/9659915" TargetMode="External"/><Relationship Id="rId162" Type="http://schemas.openxmlformats.org/officeDocument/2006/relationships/hyperlink" Target="https://www.ncbi.nlm.nih.gov/pubmed/15034583" TargetMode="External"/><Relationship Id="rId218" Type="http://schemas.openxmlformats.org/officeDocument/2006/relationships/hyperlink" Target="https://www.ncbi.nlm.nih.gov/pubmed/27216196" TargetMode="External"/><Relationship Id="rId425" Type="http://schemas.openxmlformats.org/officeDocument/2006/relationships/hyperlink" Target="http://www.ncbi.nlm.nih.gov/pubmed/12932438" TargetMode="External"/><Relationship Id="rId271" Type="http://schemas.openxmlformats.org/officeDocument/2006/relationships/hyperlink" Target="https://www.ncbi.nlm.nih.gov/pubmed/12006984" TargetMode="External"/><Relationship Id="rId24" Type="http://schemas.openxmlformats.org/officeDocument/2006/relationships/hyperlink" Target="https://www.ncbi.nlm.nih.gov/pubmed/25097232" TargetMode="External"/><Relationship Id="rId66" Type="http://schemas.openxmlformats.org/officeDocument/2006/relationships/hyperlink" Target="https://www.ncbi.nlm.nih.gov/pubmed/12006984" TargetMode="External"/><Relationship Id="rId131" Type="http://schemas.openxmlformats.org/officeDocument/2006/relationships/hyperlink" Target="https://www.ncbi.nlm.nih.gov/pubmed/27505886" TargetMode="External"/><Relationship Id="rId327" Type="http://schemas.openxmlformats.org/officeDocument/2006/relationships/hyperlink" Target="https://www.ncbi.nlm.nih.gov/pubmed/12134158" TargetMode="External"/><Relationship Id="rId369" Type="http://schemas.openxmlformats.org/officeDocument/2006/relationships/hyperlink" Target="https://www.ncbi.nlm.nih.gov/pubmed/17704816" TargetMode="External"/><Relationship Id="rId173" Type="http://schemas.openxmlformats.org/officeDocument/2006/relationships/hyperlink" Target="https://www.ncbi.nlm.nih.gov/pubmed/12454018" TargetMode="External"/><Relationship Id="rId229" Type="http://schemas.openxmlformats.org/officeDocument/2006/relationships/hyperlink" Target="https://www.ncbi.nlm.nih.gov/pubmed/27555588" TargetMode="External"/><Relationship Id="rId380" Type="http://schemas.openxmlformats.org/officeDocument/2006/relationships/hyperlink" Target="https://www.ncbi.nlm.nih.gov/pubmed/19043560" TargetMode="External"/><Relationship Id="rId436" Type="http://schemas.openxmlformats.org/officeDocument/2006/relationships/hyperlink" Target="http://www.ncbi.nlm.nih.gov/pubmed/22096251" TargetMode="External"/><Relationship Id="rId240" Type="http://schemas.openxmlformats.org/officeDocument/2006/relationships/hyperlink" Target="https://www.ncbi.nlm.nih.gov/pubmed/10982832" TargetMode="External"/><Relationship Id="rId35" Type="http://schemas.openxmlformats.org/officeDocument/2006/relationships/hyperlink" Target="https://www.ncbi.nlm.nih.gov/pubmed/12192056" TargetMode="External"/><Relationship Id="rId77" Type="http://schemas.openxmlformats.org/officeDocument/2006/relationships/hyperlink" Target="http://www.ncbi.nlm.nih.gov/pubmed/7479768" TargetMode="External"/><Relationship Id="rId100" Type="http://schemas.openxmlformats.org/officeDocument/2006/relationships/hyperlink" Target="https://www.ncbi.nlm.nih.gov/pubmed/19934221" TargetMode="External"/><Relationship Id="rId282" Type="http://schemas.openxmlformats.org/officeDocument/2006/relationships/hyperlink" Target="https://www.ncbi.nlm.nih.gov/pubmed/22328776" TargetMode="External"/><Relationship Id="rId338" Type="http://schemas.openxmlformats.org/officeDocument/2006/relationships/hyperlink" Target="https://www.ncbi.nlm.nih.gov/pubmed/12877655" TargetMode="External"/><Relationship Id="rId8" Type="http://schemas.openxmlformats.org/officeDocument/2006/relationships/hyperlink" Target="https://www.ncbi.nlm.nih.gov/pubmed/10652265" TargetMode="External"/><Relationship Id="rId142" Type="http://schemas.openxmlformats.org/officeDocument/2006/relationships/hyperlink" Target="https://www.ncbi.nlm.nih.gov/pubmed/21406564" TargetMode="External"/><Relationship Id="rId184" Type="http://schemas.openxmlformats.org/officeDocument/2006/relationships/hyperlink" Target="https://www.ncbi.nlm.nih.gov/pubmed/19268501" TargetMode="External"/><Relationship Id="rId391" Type="http://schemas.openxmlformats.org/officeDocument/2006/relationships/hyperlink" Target="http://www.ncbi.nlm.nih.gov/pubmed/11085924" TargetMode="External"/><Relationship Id="rId405" Type="http://schemas.openxmlformats.org/officeDocument/2006/relationships/hyperlink" Target="http://www.ncbi.nlm.nih.gov/pubmed/21454492" TargetMode="External"/><Relationship Id="rId447" Type="http://schemas.openxmlformats.org/officeDocument/2006/relationships/hyperlink" Target="http://www.ncbi.nlm.nih.gov/pubmed/11432776" TargetMode="External"/><Relationship Id="rId251" Type="http://schemas.openxmlformats.org/officeDocument/2006/relationships/hyperlink" Target="https://www.ncbi.nlm.nih.gov/pubmed/10364228" TargetMode="External"/><Relationship Id="rId46" Type="http://schemas.openxmlformats.org/officeDocument/2006/relationships/hyperlink" Target="https://www.ncbi.nlm.nih.gov/pubmed/27481945" TargetMode="External"/><Relationship Id="rId293" Type="http://schemas.openxmlformats.org/officeDocument/2006/relationships/hyperlink" Target="https://www.ncbi.nlm.nih.gov/pubmed/23209303" TargetMode="External"/><Relationship Id="rId307" Type="http://schemas.openxmlformats.org/officeDocument/2006/relationships/hyperlink" Target="https://www.ncbi.nlm.nih.gov/pubmed/16982419" TargetMode="External"/><Relationship Id="rId349" Type="http://schemas.openxmlformats.org/officeDocument/2006/relationships/hyperlink" Target="https://www.ncbi.nlm.nih.gov/pubmed/16314529" TargetMode="External"/><Relationship Id="rId88" Type="http://schemas.openxmlformats.org/officeDocument/2006/relationships/hyperlink" Target="https://www.ncbi.nlm.nih.gov/pubmed/19897489" TargetMode="External"/><Relationship Id="rId111" Type="http://schemas.openxmlformats.org/officeDocument/2006/relationships/hyperlink" Target="https://www.ncbi.nlm.nih.gov/pubmed/14701795" TargetMode="External"/><Relationship Id="rId153" Type="http://schemas.openxmlformats.org/officeDocument/2006/relationships/hyperlink" Target="https://www.ncbi.nlm.nih.gov/pubmed/12837691" TargetMode="External"/><Relationship Id="rId195" Type="http://schemas.openxmlformats.org/officeDocument/2006/relationships/hyperlink" Target="https://www.ncbi.nlm.nih.gov/pubmed/20660160" TargetMode="External"/><Relationship Id="rId209" Type="http://schemas.openxmlformats.org/officeDocument/2006/relationships/hyperlink" Target="https://www.ncbi.nlm.nih.gov/pubmed/16116428" TargetMode="External"/><Relationship Id="rId360" Type="http://schemas.openxmlformats.org/officeDocument/2006/relationships/hyperlink" Target="https://www.ncbi.nlm.nih.gov/pubmed/11741931" TargetMode="External"/><Relationship Id="rId416" Type="http://schemas.openxmlformats.org/officeDocument/2006/relationships/hyperlink" Target="http://www.ncbi.nlm.nih.gov/pubmed/17976533" TargetMode="External"/><Relationship Id="rId220" Type="http://schemas.openxmlformats.org/officeDocument/2006/relationships/hyperlink" Target="https://www.ncbi.nlm.nih.gov/pubmed/19421144" TargetMode="External"/><Relationship Id="rId458" Type="http://schemas.openxmlformats.org/officeDocument/2006/relationships/hyperlink" Target="http://www.ncbi.nlm.nih.gov/pubmed/17077126" TargetMode="External"/><Relationship Id="rId15" Type="http://schemas.openxmlformats.org/officeDocument/2006/relationships/hyperlink" Target="https://www.ncbi.nlm.nih.gov/pubmed/8643598" TargetMode="External"/><Relationship Id="rId57" Type="http://schemas.openxmlformats.org/officeDocument/2006/relationships/hyperlink" Target="https://www.ncbi.nlm.nih.gov/pubmed/23255595" TargetMode="External"/><Relationship Id="rId262" Type="http://schemas.openxmlformats.org/officeDocument/2006/relationships/hyperlink" Target="https://www.ncbi.nlm.nih.gov/pubmed/11955434" TargetMode="External"/><Relationship Id="rId318" Type="http://schemas.openxmlformats.org/officeDocument/2006/relationships/hyperlink" Target="https://www.ncbi.nlm.nih.gov/pubmed/18056264" TargetMode="External"/><Relationship Id="rId99" Type="http://schemas.openxmlformats.org/officeDocument/2006/relationships/hyperlink" Target="https://www.ncbi.nlm.nih.gov/pubmed/15340013" TargetMode="External"/><Relationship Id="rId122" Type="http://schemas.openxmlformats.org/officeDocument/2006/relationships/hyperlink" Target="https://www.ncbi.nlm.nih.gov/pubmed/16247472" TargetMode="External"/><Relationship Id="rId164" Type="http://schemas.openxmlformats.org/officeDocument/2006/relationships/hyperlink" Target="https://www.ncbi.nlm.nih.gov/pubmed/14633684" TargetMode="External"/><Relationship Id="rId371" Type="http://schemas.openxmlformats.org/officeDocument/2006/relationships/hyperlink" Target="https://www.ncbi.nlm.nih.gov/pubmed/17145773" TargetMode="External"/><Relationship Id="rId427" Type="http://schemas.openxmlformats.org/officeDocument/2006/relationships/hyperlink" Target="http://www.ncbi.nlm.nih.gov/pubmed/12093360" TargetMode="External"/><Relationship Id="rId26" Type="http://schemas.openxmlformats.org/officeDocument/2006/relationships/hyperlink" Target="https://www.ncbi.nlm.nih.gov/pubmed/24043828" TargetMode="External"/><Relationship Id="rId231" Type="http://schemas.openxmlformats.org/officeDocument/2006/relationships/hyperlink" Target="https://www.ncbi.nlm.nih.gov/pubmed/18045877" TargetMode="External"/><Relationship Id="rId273" Type="http://schemas.openxmlformats.org/officeDocument/2006/relationships/hyperlink" Target="https://www.ncbi.nlm.nih.gov/pubmed/7721814" TargetMode="External"/><Relationship Id="rId329" Type="http://schemas.openxmlformats.org/officeDocument/2006/relationships/hyperlink" Target="https://www.ncbi.nlm.nih.gov/pubmed/12432077" TargetMode="External"/><Relationship Id="rId68" Type="http://schemas.openxmlformats.org/officeDocument/2006/relationships/hyperlink" Target="https://www.ncbi.nlm.nih.gov/pubmed/22661716" TargetMode="External"/><Relationship Id="rId133" Type="http://schemas.openxmlformats.org/officeDocument/2006/relationships/hyperlink" Target="https://www.ncbi.nlm.nih.gov/pubmed/15723800" TargetMode="External"/><Relationship Id="rId175" Type="http://schemas.openxmlformats.org/officeDocument/2006/relationships/hyperlink" Target="https://www.ncbi.nlm.nih.gov/pubmed/12446789" TargetMode="External"/><Relationship Id="rId340" Type="http://schemas.openxmlformats.org/officeDocument/2006/relationships/hyperlink" Target="https://www.ncbi.nlm.nih.gov/pubmed/1644791" TargetMode="External"/><Relationship Id="rId200" Type="http://schemas.openxmlformats.org/officeDocument/2006/relationships/hyperlink" Target="https://www.ncbi.nlm.nih.gov/pubmed/8262058" TargetMode="External"/><Relationship Id="rId382" Type="http://schemas.openxmlformats.org/officeDocument/2006/relationships/hyperlink" Target="https://www.ncbi.nlm.nih.gov/pubmed/15996550" TargetMode="External"/><Relationship Id="rId438" Type="http://schemas.openxmlformats.org/officeDocument/2006/relationships/hyperlink" Target="http://www.ncbi.nlm.nih.gov/pubmed/16862148" TargetMode="External"/><Relationship Id="rId242" Type="http://schemas.openxmlformats.org/officeDocument/2006/relationships/hyperlink" Target="https://www.ncbi.nlm.nih.gov/pubmed/24332539" TargetMode="External"/><Relationship Id="rId284" Type="http://schemas.openxmlformats.org/officeDocument/2006/relationships/hyperlink" Target="https://www.ncbi.nlm.nih.gov/pubmed/18363964" TargetMode="External"/><Relationship Id="rId37" Type="http://schemas.openxmlformats.org/officeDocument/2006/relationships/hyperlink" Target="https://www.ncbi.nlm.nih.gov/pubmed/21622574" TargetMode="External"/><Relationship Id="rId79" Type="http://schemas.openxmlformats.org/officeDocument/2006/relationships/hyperlink" Target="http://www.ncbi.nlm.nih.gov/pubmed/7479768" TargetMode="External"/><Relationship Id="rId102" Type="http://schemas.openxmlformats.org/officeDocument/2006/relationships/hyperlink" Target="https://www.ncbi.nlm.nih.gov/pubmed/24144700" TargetMode="External"/><Relationship Id="rId144" Type="http://schemas.openxmlformats.org/officeDocument/2006/relationships/hyperlink" Target="https://www.ncbi.nlm.nih.gov/pubmed/11724822" TargetMode="External"/><Relationship Id="rId90" Type="http://schemas.openxmlformats.org/officeDocument/2006/relationships/hyperlink" Target="https://www.ncbi.nlm.nih.gov/pubmed/11094073" TargetMode="External"/><Relationship Id="rId186" Type="http://schemas.openxmlformats.org/officeDocument/2006/relationships/hyperlink" Target="https://www.ncbi.nlm.nih.gov/pubmed/21169361" TargetMode="External"/><Relationship Id="rId351" Type="http://schemas.openxmlformats.org/officeDocument/2006/relationships/hyperlink" Target="https://www.ncbi.nlm.nih.gov/pubmed/12547822" TargetMode="External"/><Relationship Id="rId393" Type="http://schemas.openxmlformats.org/officeDocument/2006/relationships/hyperlink" Target="http://www.ncbi.nlm.nih.gov/pubmed/12071859" TargetMode="External"/><Relationship Id="rId407" Type="http://schemas.openxmlformats.org/officeDocument/2006/relationships/hyperlink" Target="http://www.ncbi.nlm.nih.gov/pubmed/21454492" TargetMode="External"/><Relationship Id="rId449" Type="http://schemas.openxmlformats.org/officeDocument/2006/relationships/hyperlink" Target="http://www.ncbi.nlm.nih.gov/pubmed/11396949" TargetMode="External"/><Relationship Id="rId211" Type="http://schemas.openxmlformats.org/officeDocument/2006/relationships/hyperlink" Target="https://www.ncbi.nlm.nih.gov/pubmed/24656827" TargetMode="External"/><Relationship Id="rId253" Type="http://schemas.openxmlformats.org/officeDocument/2006/relationships/hyperlink" Target="https://www.ncbi.nlm.nih.gov/pubmed/7753201" TargetMode="External"/><Relationship Id="rId295" Type="http://schemas.openxmlformats.org/officeDocument/2006/relationships/hyperlink" Target="https://www.ncbi.nlm.nih.gov/pubmed/15073184" TargetMode="External"/><Relationship Id="rId309" Type="http://schemas.openxmlformats.org/officeDocument/2006/relationships/hyperlink" Target="https://www.ncbi.nlm.nih.gov/pubmed/17196961" TargetMode="External"/><Relationship Id="rId460" Type="http://schemas.openxmlformats.org/officeDocument/2006/relationships/hyperlink" Target="http://www.ncbi.nlm.nih.gov/pubmed/?term=16049005" TargetMode="External"/><Relationship Id="rId48" Type="http://schemas.openxmlformats.org/officeDocument/2006/relationships/hyperlink" Target="https://www.ncbi.nlm.nih.gov/pubmed/27481945" TargetMode="External"/><Relationship Id="rId113" Type="http://schemas.openxmlformats.org/officeDocument/2006/relationships/hyperlink" Target="https://www.ncbi.nlm.nih.gov/pubmed/12445822" TargetMode="External"/><Relationship Id="rId320" Type="http://schemas.openxmlformats.org/officeDocument/2006/relationships/hyperlink" Target="https://www.ncbi.nlm.nih.gov/pubmed/18056264" TargetMode="External"/><Relationship Id="rId155" Type="http://schemas.openxmlformats.org/officeDocument/2006/relationships/hyperlink" Target="https://www.ncbi.nlm.nih.gov/pubmed/23552697" TargetMode="External"/><Relationship Id="rId197" Type="http://schemas.openxmlformats.org/officeDocument/2006/relationships/hyperlink" Target="https://www.ncbi.nlm.nih.gov/pubmed/18826946" TargetMode="External"/><Relationship Id="rId362" Type="http://schemas.openxmlformats.org/officeDocument/2006/relationships/hyperlink" Target="https://www.ncbi.nlm.nih.gov/pubmed/15306850" TargetMode="External"/><Relationship Id="rId418" Type="http://schemas.openxmlformats.org/officeDocument/2006/relationships/hyperlink" Target="http://www.ncbi.nlm.nih.gov/pubmed/16217026" TargetMode="External"/><Relationship Id="rId222" Type="http://schemas.openxmlformats.org/officeDocument/2006/relationships/hyperlink" Target="https://www.ncbi.nlm.nih.gov/pubmed/17881735" TargetMode="External"/><Relationship Id="rId264" Type="http://schemas.openxmlformats.org/officeDocument/2006/relationships/hyperlink" Target="https://www.ncbi.nlm.nih.gov/pubmed/23255595" TargetMode="External"/><Relationship Id="rId17" Type="http://schemas.openxmlformats.org/officeDocument/2006/relationships/hyperlink" Target="https://www.ncbi.nlm.nih.gov/pubmed/28882897" TargetMode="External"/><Relationship Id="rId59" Type="http://schemas.openxmlformats.org/officeDocument/2006/relationships/hyperlink" Target="https://www.ncbi.nlm.nih.gov/pubmed/23255595" TargetMode="External"/><Relationship Id="rId124" Type="http://schemas.openxmlformats.org/officeDocument/2006/relationships/hyperlink" Target="https://www.ncbi.nlm.nih.gov/pubmed/21189248" TargetMode="External"/><Relationship Id="rId70" Type="http://schemas.openxmlformats.org/officeDocument/2006/relationships/hyperlink" Target="https://www.ncbi.nlm.nih.gov/pubmed/11684658" TargetMode="External"/><Relationship Id="rId166" Type="http://schemas.openxmlformats.org/officeDocument/2006/relationships/hyperlink" Target="https://www.ncbi.nlm.nih.gov/pubmed/19170769" TargetMode="External"/><Relationship Id="rId331" Type="http://schemas.openxmlformats.org/officeDocument/2006/relationships/hyperlink" Target="https://www.ncbi.nlm.nih.gov/pubmed/12432077" TargetMode="External"/><Relationship Id="rId373" Type="http://schemas.openxmlformats.org/officeDocument/2006/relationships/hyperlink" Target="https://www.ncbi.nlm.nih.gov/pubmed/17599059" TargetMode="External"/><Relationship Id="rId429" Type="http://schemas.openxmlformats.org/officeDocument/2006/relationships/hyperlink" Target="http://www.ncbi.nlm.nih.gov/pubmed/1903516" TargetMode="External"/><Relationship Id="rId1" Type="http://schemas.openxmlformats.org/officeDocument/2006/relationships/hyperlink" Target="https://www.ncbi.nlm.nih.gov/pubmed/11606631" TargetMode="External"/><Relationship Id="rId233" Type="http://schemas.openxmlformats.org/officeDocument/2006/relationships/hyperlink" Target="https://www.ncbi.nlm.nih.gov/pubmed/10523675" TargetMode="External"/><Relationship Id="rId440" Type="http://schemas.openxmlformats.org/officeDocument/2006/relationships/hyperlink" Target="http://www.ncbi.nlm.nih.gov/pubmed/18984162" TargetMode="External"/><Relationship Id="rId28" Type="http://schemas.openxmlformats.org/officeDocument/2006/relationships/hyperlink" Target="https://www.ncbi.nlm.nih.gov/pubmed/23195829" TargetMode="External"/><Relationship Id="rId275" Type="http://schemas.openxmlformats.org/officeDocument/2006/relationships/hyperlink" Target="https://www.ncbi.nlm.nih.gov/pubmed/8297393" TargetMode="External"/><Relationship Id="rId300" Type="http://schemas.openxmlformats.org/officeDocument/2006/relationships/hyperlink" Target="https://www.ncbi.nlm.nih.gov/pubmed/25862245" TargetMode="External"/><Relationship Id="rId81" Type="http://schemas.openxmlformats.org/officeDocument/2006/relationships/hyperlink" Target="https://www.ncbi.nlm.nih.gov/pubmed/18948007" TargetMode="External"/><Relationship Id="rId135" Type="http://schemas.openxmlformats.org/officeDocument/2006/relationships/hyperlink" Target="https://www.ncbi.nlm.nih.gov/pubmed/14638695" TargetMode="External"/><Relationship Id="rId177" Type="http://schemas.openxmlformats.org/officeDocument/2006/relationships/hyperlink" Target="https://www.ncbi.nlm.nih.gov/pubmed/16519628" TargetMode="External"/><Relationship Id="rId342" Type="http://schemas.openxmlformats.org/officeDocument/2006/relationships/hyperlink" Target="https://www.ncbi.nlm.nih.gov/pubmed/1903516" TargetMode="External"/><Relationship Id="rId384" Type="http://schemas.openxmlformats.org/officeDocument/2006/relationships/hyperlink" Target="http://www.ncbi.nlm.nih.gov/pubmed/17116687" TargetMode="External"/><Relationship Id="rId202" Type="http://schemas.openxmlformats.org/officeDocument/2006/relationships/hyperlink" Target="https://www.ncbi.nlm.nih.gov/pubmed/7882973" TargetMode="External"/><Relationship Id="rId244" Type="http://schemas.openxmlformats.org/officeDocument/2006/relationships/hyperlink" Target="https://www.ncbi.nlm.nih.gov/pubmed/9438848" TargetMode="External"/><Relationship Id="rId39" Type="http://schemas.openxmlformats.org/officeDocument/2006/relationships/hyperlink" Target="https://www.ncbi.nlm.nih.gov/pubmed/26854232" TargetMode="External"/><Relationship Id="rId286" Type="http://schemas.openxmlformats.org/officeDocument/2006/relationships/hyperlink" Target="https://www.ncbi.nlm.nih.gov/pubmed/19261807" TargetMode="External"/><Relationship Id="rId451" Type="http://schemas.openxmlformats.org/officeDocument/2006/relationships/hyperlink" Target="http://www.ncbi.nlm.nih.gov/pubmed/10699171" TargetMode="External"/><Relationship Id="rId50" Type="http://schemas.openxmlformats.org/officeDocument/2006/relationships/hyperlink" Target="https://www.ncbi.nlm.nih.gov/pubmed/27481945" TargetMode="External"/><Relationship Id="rId104" Type="http://schemas.openxmlformats.org/officeDocument/2006/relationships/hyperlink" Target="https://www.ncbi.nlm.nih.gov/pubmed/25829446" TargetMode="External"/><Relationship Id="rId146" Type="http://schemas.openxmlformats.org/officeDocument/2006/relationships/hyperlink" Target="https://www.ncbi.nlm.nih.gov/pubmed/16954208" TargetMode="External"/><Relationship Id="rId188" Type="http://schemas.openxmlformats.org/officeDocument/2006/relationships/hyperlink" Target="https://www.ncbi.nlm.nih.gov/pubmed/23355722" TargetMode="External"/><Relationship Id="rId311" Type="http://schemas.openxmlformats.org/officeDocument/2006/relationships/hyperlink" Target="https://www.ncbi.nlm.nih.gov/pubmed/26129894" TargetMode="External"/><Relationship Id="rId353" Type="http://schemas.openxmlformats.org/officeDocument/2006/relationships/hyperlink" Target="https://www.ncbi.nlm.nih.gov/pubmed/10559246" TargetMode="External"/><Relationship Id="rId395" Type="http://schemas.openxmlformats.org/officeDocument/2006/relationships/hyperlink" Target="http://www.ncbi.nlm.nih.gov/pubmed/21139582" TargetMode="External"/><Relationship Id="rId409" Type="http://schemas.openxmlformats.org/officeDocument/2006/relationships/hyperlink" Target="http://www.ncbi.nlm.nih.gov/pubmed/11058585" TargetMode="External"/><Relationship Id="rId92" Type="http://schemas.openxmlformats.org/officeDocument/2006/relationships/hyperlink" Target="https://www.ncbi.nlm.nih.gov/pubmed/20940296" TargetMode="External"/><Relationship Id="rId213" Type="http://schemas.openxmlformats.org/officeDocument/2006/relationships/hyperlink" Target="https://www.ncbi.nlm.nih.gov/pubmed/25211221" TargetMode="External"/><Relationship Id="rId420" Type="http://schemas.openxmlformats.org/officeDocument/2006/relationships/hyperlink" Target="http://www.ncbi.nlm.nih.gov/pubmed/21658605" TargetMode="External"/><Relationship Id="rId255" Type="http://schemas.openxmlformats.org/officeDocument/2006/relationships/hyperlink" Target="https://www.ncbi.nlm.nih.gov/pubmed/9438849" TargetMode="External"/><Relationship Id="rId297" Type="http://schemas.openxmlformats.org/officeDocument/2006/relationships/hyperlink" Target="https://www.ncbi.nlm.nih.gov/pubmed/10579713" TargetMode="External"/><Relationship Id="rId462" Type="http://schemas.openxmlformats.org/officeDocument/2006/relationships/hyperlink" Target="https://www.ncbi.nlm.nih.gov/pubmed/243359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7"/>
  <sheetViews>
    <sheetView zoomScaleNormal="100" workbookViewId="0">
      <selection activeCell="D62" sqref="D62"/>
    </sheetView>
  </sheetViews>
  <sheetFormatPr baseColWidth="10" defaultColWidth="10.6640625" defaultRowHeight="16" x14ac:dyDescent="0.2"/>
  <cols>
    <col min="1" max="1" width="12" style="11" customWidth="1"/>
    <col min="2" max="2" width="16" style="11" customWidth="1"/>
    <col min="3" max="3" width="12.6640625" style="11" customWidth="1"/>
    <col min="4" max="4" width="16.1640625" style="11" customWidth="1"/>
    <col min="5" max="5" width="11"/>
    <col min="6" max="6" width="8.5" style="11" customWidth="1"/>
    <col min="7" max="7" width="41" style="36" customWidth="1"/>
    <col min="8" max="8" width="8.6640625" style="11" customWidth="1"/>
    <col min="9" max="9" width="25.83203125" style="5" customWidth="1"/>
    <col min="10" max="10" width="15.33203125" style="11" customWidth="1"/>
    <col min="11" max="11" width="21.33203125" style="11" customWidth="1"/>
    <col min="12" max="12" width="11.6640625" style="35"/>
    <col min="13" max="13" width="13.5" style="5" customWidth="1"/>
    <col min="14" max="14" width="9.6640625" style="5" bestFit="1" customWidth="1"/>
    <col min="15" max="15" width="12.6640625" style="5" customWidth="1"/>
    <col min="16" max="16" width="9.6640625" style="5" bestFit="1" customWidth="1"/>
    <col min="17" max="17" width="36.1640625" style="5" customWidth="1"/>
    <col min="18" max="18" width="71.83203125" style="5" bestFit="1" customWidth="1"/>
    <col min="19" max="19" width="255.6640625" style="5" bestFit="1" customWidth="1"/>
    <col min="20" max="32" width="10.6640625" style="5"/>
    <col min="33" max="16384" width="10.6640625" style="11"/>
  </cols>
  <sheetData>
    <row r="1" spans="1:19" ht="21" x14ac:dyDescent="0.25">
      <c r="A1" s="24" t="s">
        <v>890</v>
      </c>
      <c r="B1" s="5"/>
      <c r="C1" s="5"/>
      <c r="D1" s="5"/>
      <c r="E1" s="42"/>
      <c r="F1" s="5"/>
      <c r="H1" s="5"/>
      <c r="J1" s="5"/>
      <c r="K1" s="5"/>
      <c r="L1" s="43"/>
    </row>
    <row r="2" spans="1:19" s="5" customFormat="1" ht="81.5" customHeight="1" thickBot="1" x14ac:dyDescent="0.25">
      <c r="A2" s="32" t="s">
        <v>882</v>
      </c>
      <c r="B2" s="32" t="s">
        <v>0</v>
      </c>
      <c r="C2" s="33" t="s">
        <v>1</v>
      </c>
      <c r="D2" s="33" t="s">
        <v>2</v>
      </c>
      <c r="E2" s="33" t="s">
        <v>883</v>
      </c>
      <c r="F2" s="33" t="s">
        <v>3</v>
      </c>
      <c r="G2" s="41" t="s">
        <v>4</v>
      </c>
      <c r="H2" s="33" t="s">
        <v>5</v>
      </c>
      <c r="I2" s="32" t="s">
        <v>6</v>
      </c>
      <c r="J2" s="41" t="s">
        <v>884</v>
      </c>
      <c r="K2" s="33" t="s">
        <v>7</v>
      </c>
      <c r="L2" s="34" t="s">
        <v>588</v>
      </c>
      <c r="M2" s="27"/>
      <c r="N2" s="25"/>
      <c r="O2" s="27"/>
      <c r="P2" s="25"/>
      <c r="Q2" s="25"/>
      <c r="R2" s="26"/>
      <c r="S2" s="28"/>
    </row>
    <row r="3" spans="1:19" x14ac:dyDescent="0.2">
      <c r="A3" s="1" t="s">
        <v>8</v>
      </c>
      <c r="B3" s="1" t="s">
        <v>9</v>
      </c>
      <c r="C3" s="1" t="s">
        <v>10</v>
      </c>
      <c r="D3" s="1" t="s">
        <v>11</v>
      </c>
      <c r="E3" s="37">
        <v>29</v>
      </c>
      <c r="F3" s="1" t="s">
        <v>12</v>
      </c>
      <c r="G3" s="38" t="s">
        <v>13</v>
      </c>
      <c r="H3" s="1">
        <v>871</v>
      </c>
      <c r="I3" s="1" t="s">
        <v>14</v>
      </c>
      <c r="J3" s="1"/>
      <c r="K3" s="4"/>
      <c r="L3" s="44" t="s">
        <v>589</v>
      </c>
      <c r="M3" s="14"/>
      <c r="N3" s="13"/>
      <c r="O3" s="1"/>
      <c r="P3" s="13"/>
      <c r="Q3" s="29"/>
      <c r="R3" s="2"/>
      <c r="S3" s="3"/>
    </row>
    <row r="4" spans="1:19" x14ac:dyDescent="0.2">
      <c r="A4" s="1" t="s">
        <v>15</v>
      </c>
      <c r="B4" s="1" t="s">
        <v>16</v>
      </c>
      <c r="C4" s="1" t="s">
        <v>17</v>
      </c>
      <c r="D4" s="1" t="s">
        <v>18</v>
      </c>
      <c r="E4" s="37">
        <v>11214</v>
      </c>
      <c r="F4" s="1" t="s">
        <v>19</v>
      </c>
      <c r="G4" s="37" t="s">
        <v>770</v>
      </c>
      <c r="H4" s="1">
        <v>2813</v>
      </c>
      <c r="I4" s="1" t="s">
        <v>20</v>
      </c>
      <c r="J4" s="1"/>
      <c r="K4" s="4"/>
      <c r="L4" s="44" t="s">
        <v>590</v>
      </c>
      <c r="M4" s="14"/>
      <c r="N4" s="13"/>
      <c r="O4" s="1"/>
      <c r="P4" s="13"/>
      <c r="Q4" s="29"/>
      <c r="R4" s="2"/>
      <c r="S4" s="3"/>
    </row>
    <row r="5" spans="1:19" x14ac:dyDescent="0.2">
      <c r="A5" s="1" t="s">
        <v>21</v>
      </c>
      <c r="B5" s="1" t="s">
        <v>22</v>
      </c>
      <c r="C5" s="1" t="s">
        <v>17</v>
      </c>
      <c r="D5" s="1" t="s">
        <v>23</v>
      </c>
      <c r="E5" s="37">
        <v>57679</v>
      </c>
      <c r="F5" s="1" t="s">
        <v>19</v>
      </c>
      <c r="G5" s="37" t="s">
        <v>771</v>
      </c>
      <c r="H5" s="1">
        <v>1657</v>
      </c>
      <c r="I5" s="1" t="s">
        <v>24</v>
      </c>
      <c r="J5" s="1" t="s">
        <v>25</v>
      </c>
      <c r="K5" s="4"/>
      <c r="L5" s="44" t="s">
        <v>591</v>
      </c>
      <c r="M5" s="15"/>
      <c r="N5" s="1"/>
      <c r="O5" s="1"/>
      <c r="P5" s="1"/>
      <c r="Q5" s="29"/>
      <c r="R5" s="2"/>
      <c r="S5" s="3"/>
    </row>
    <row r="6" spans="1:19" x14ac:dyDescent="0.2">
      <c r="A6" s="1" t="s">
        <v>26</v>
      </c>
      <c r="B6" s="1" t="s">
        <v>27</v>
      </c>
      <c r="C6" s="1" t="s">
        <v>28</v>
      </c>
      <c r="D6" s="1" t="s">
        <v>29</v>
      </c>
      <c r="E6" s="37">
        <v>116985</v>
      </c>
      <c r="F6" s="1" t="s">
        <v>19</v>
      </c>
      <c r="G6" s="37" t="s">
        <v>772</v>
      </c>
      <c r="H6" s="1">
        <v>1205</v>
      </c>
      <c r="I6" s="1" t="s">
        <v>30</v>
      </c>
      <c r="J6" s="1" t="s">
        <v>31</v>
      </c>
      <c r="K6" s="4" t="s">
        <v>730</v>
      </c>
      <c r="L6" s="44" t="s">
        <v>592</v>
      </c>
      <c r="M6" s="14"/>
      <c r="N6" s="1"/>
      <c r="O6" s="14"/>
      <c r="P6" s="1"/>
      <c r="Q6" s="29"/>
      <c r="R6" s="2"/>
      <c r="S6" s="3"/>
    </row>
    <row r="7" spans="1:19" x14ac:dyDescent="0.2">
      <c r="A7" s="1" t="s">
        <v>32</v>
      </c>
      <c r="B7" s="1" t="s">
        <v>33</v>
      </c>
      <c r="C7" s="1" t="s">
        <v>34</v>
      </c>
      <c r="D7" s="1" t="s">
        <v>35</v>
      </c>
      <c r="E7" s="37">
        <v>116984</v>
      </c>
      <c r="F7" s="1" t="s">
        <v>19</v>
      </c>
      <c r="G7" s="37" t="s">
        <v>773</v>
      </c>
      <c r="H7" s="1">
        <v>1704</v>
      </c>
      <c r="I7" s="1" t="s">
        <v>886</v>
      </c>
      <c r="J7" s="1" t="s">
        <v>36</v>
      </c>
      <c r="K7" s="4"/>
      <c r="L7" s="44" t="s">
        <v>593</v>
      </c>
      <c r="M7" s="14"/>
      <c r="N7" s="1"/>
      <c r="O7" s="1"/>
      <c r="P7" s="1"/>
      <c r="Q7" s="29"/>
      <c r="R7" s="2"/>
      <c r="S7" s="3"/>
    </row>
    <row r="8" spans="1:19" x14ac:dyDescent="0.2">
      <c r="A8" s="1" t="s">
        <v>37</v>
      </c>
      <c r="B8" s="1" t="s">
        <v>38</v>
      </c>
      <c r="C8" s="1" t="s">
        <v>28</v>
      </c>
      <c r="D8" s="1" t="s">
        <v>39</v>
      </c>
      <c r="E8" s="37">
        <v>64411</v>
      </c>
      <c r="F8" s="1" t="s">
        <v>12</v>
      </c>
      <c r="G8" s="37" t="s">
        <v>747</v>
      </c>
      <c r="H8" s="1">
        <v>1538</v>
      </c>
      <c r="I8" s="1" t="s">
        <v>40</v>
      </c>
      <c r="J8" s="1"/>
      <c r="K8" s="4"/>
      <c r="L8" s="44" t="s">
        <v>594</v>
      </c>
      <c r="M8" s="14"/>
      <c r="N8" s="1"/>
      <c r="O8" s="1"/>
      <c r="P8" s="1"/>
      <c r="Q8" s="29"/>
      <c r="R8" s="2"/>
      <c r="S8" s="3"/>
    </row>
    <row r="9" spans="1:19" x14ac:dyDescent="0.2">
      <c r="A9" s="1" t="s">
        <v>41</v>
      </c>
      <c r="B9" s="1" t="s">
        <v>42</v>
      </c>
      <c r="C9" s="1" t="s">
        <v>28</v>
      </c>
      <c r="D9" s="1" t="s">
        <v>43</v>
      </c>
      <c r="E9" s="37">
        <v>392</v>
      </c>
      <c r="F9" s="1" t="s">
        <v>12</v>
      </c>
      <c r="G9" s="37" t="s">
        <v>748</v>
      </c>
      <c r="H9" s="1">
        <v>439</v>
      </c>
      <c r="I9" s="1" t="s">
        <v>44</v>
      </c>
      <c r="J9" s="1"/>
      <c r="K9" s="4"/>
      <c r="L9" s="44" t="s">
        <v>595</v>
      </c>
      <c r="M9" s="14"/>
      <c r="N9" s="1"/>
      <c r="O9" s="1"/>
      <c r="P9" s="1"/>
      <c r="Q9" s="29"/>
      <c r="R9" s="2"/>
      <c r="S9" s="3"/>
    </row>
    <row r="10" spans="1:19" x14ac:dyDescent="0.2">
      <c r="A10" s="1" t="s">
        <v>45</v>
      </c>
      <c r="B10" s="1" t="s">
        <v>46</v>
      </c>
      <c r="C10" s="1" t="s">
        <v>28</v>
      </c>
      <c r="D10" s="1" t="s">
        <v>47</v>
      </c>
      <c r="E10" s="37">
        <v>393</v>
      </c>
      <c r="F10" s="1" t="s">
        <v>19</v>
      </c>
      <c r="G10" s="37" t="s">
        <v>774</v>
      </c>
      <c r="H10" s="1">
        <v>946</v>
      </c>
      <c r="I10" s="1" t="s">
        <v>48</v>
      </c>
      <c r="J10" s="1" t="s">
        <v>36</v>
      </c>
      <c r="K10" s="4"/>
      <c r="L10" s="44" t="s">
        <v>596</v>
      </c>
      <c r="M10" s="14"/>
      <c r="N10" s="1"/>
      <c r="O10" s="1"/>
      <c r="P10" s="1"/>
      <c r="Q10" s="29"/>
      <c r="R10" s="2"/>
      <c r="S10" s="3"/>
    </row>
    <row r="11" spans="1:19" x14ac:dyDescent="0.2">
      <c r="A11" s="1" t="s">
        <v>49</v>
      </c>
      <c r="B11" s="1" t="s">
        <v>50</v>
      </c>
      <c r="C11" s="1" t="s">
        <v>28</v>
      </c>
      <c r="D11" s="1" t="s">
        <v>51</v>
      </c>
      <c r="E11" s="37">
        <v>394</v>
      </c>
      <c r="F11" s="1" t="s">
        <v>19</v>
      </c>
      <c r="G11" s="37" t="s">
        <v>775</v>
      </c>
      <c r="H11" s="1">
        <v>1502</v>
      </c>
      <c r="I11" s="1" t="s">
        <v>52</v>
      </c>
      <c r="J11" s="1" t="s">
        <v>36</v>
      </c>
      <c r="K11" s="4"/>
      <c r="L11" s="44" t="s">
        <v>597</v>
      </c>
      <c r="M11" s="14"/>
      <c r="N11" s="1"/>
      <c r="O11" s="1"/>
      <c r="P11" s="1"/>
      <c r="Q11" s="29"/>
      <c r="R11" s="2"/>
      <c r="S11" s="3"/>
    </row>
    <row r="12" spans="1:19" x14ac:dyDescent="0.2">
      <c r="A12" s="1" t="s">
        <v>53</v>
      </c>
      <c r="B12" s="1" t="s">
        <v>54</v>
      </c>
      <c r="C12" s="1" t="s">
        <v>28</v>
      </c>
      <c r="D12" s="1" t="s">
        <v>55</v>
      </c>
      <c r="E12" s="37">
        <v>395</v>
      </c>
      <c r="F12" s="1" t="s">
        <v>12</v>
      </c>
      <c r="G12" s="37" t="s">
        <v>749</v>
      </c>
      <c r="H12" s="1">
        <v>987</v>
      </c>
      <c r="I12" s="1" t="s">
        <v>56</v>
      </c>
      <c r="J12" s="1"/>
      <c r="K12" s="4"/>
      <c r="L12" s="44" t="s">
        <v>598</v>
      </c>
      <c r="M12" s="14"/>
      <c r="N12" s="16"/>
      <c r="O12" s="1"/>
      <c r="P12" s="16"/>
      <c r="Q12" s="29"/>
      <c r="R12" s="2"/>
      <c r="S12" s="3"/>
    </row>
    <row r="13" spans="1:19" x14ac:dyDescent="0.2">
      <c r="A13" s="1" t="s">
        <v>57</v>
      </c>
      <c r="B13" s="1" t="s">
        <v>58</v>
      </c>
      <c r="C13" s="1" t="s">
        <v>28</v>
      </c>
      <c r="D13" s="1" t="s">
        <v>59</v>
      </c>
      <c r="E13" s="37">
        <v>23779</v>
      </c>
      <c r="F13" s="1" t="s">
        <v>12</v>
      </c>
      <c r="G13" s="38" t="s">
        <v>750</v>
      </c>
      <c r="H13" s="1">
        <v>425</v>
      </c>
      <c r="I13" s="1" t="s">
        <v>60</v>
      </c>
      <c r="J13" s="1"/>
      <c r="K13" s="4"/>
      <c r="L13" s="44" t="s">
        <v>599</v>
      </c>
      <c r="M13" s="14"/>
      <c r="N13" s="1"/>
      <c r="O13" s="1"/>
      <c r="P13" s="1"/>
      <c r="Q13" s="29"/>
      <c r="R13" s="2"/>
      <c r="S13" s="3"/>
    </row>
    <row r="14" spans="1:19" x14ac:dyDescent="0.2">
      <c r="A14" s="1" t="s">
        <v>61</v>
      </c>
      <c r="B14" s="1" t="s">
        <v>62</v>
      </c>
      <c r="C14" s="1" t="s">
        <v>28</v>
      </c>
      <c r="D14" s="1" t="s">
        <v>63</v>
      </c>
      <c r="E14" s="37">
        <v>64333</v>
      </c>
      <c r="F14" s="1" t="s">
        <v>19</v>
      </c>
      <c r="G14" s="37" t="s">
        <v>776</v>
      </c>
      <c r="H14" s="1">
        <v>750</v>
      </c>
      <c r="I14" s="1" t="s">
        <v>64</v>
      </c>
      <c r="J14" s="1"/>
      <c r="K14" s="4"/>
      <c r="L14" s="44" t="s">
        <v>600</v>
      </c>
      <c r="M14" s="14"/>
      <c r="N14" s="1"/>
      <c r="O14" s="1"/>
      <c r="P14" s="1"/>
      <c r="Q14" s="29"/>
      <c r="R14" s="2"/>
      <c r="S14" s="3"/>
    </row>
    <row r="15" spans="1:19" x14ac:dyDescent="0.2">
      <c r="A15" s="1" t="s">
        <v>65</v>
      </c>
      <c r="B15" s="1" t="s">
        <v>66</v>
      </c>
      <c r="C15" s="1" t="s">
        <v>28</v>
      </c>
      <c r="D15" s="1" t="s">
        <v>67</v>
      </c>
      <c r="E15" s="37">
        <v>79658</v>
      </c>
      <c r="F15" s="1" t="s">
        <v>19</v>
      </c>
      <c r="G15" s="37" t="s">
        <v>777</v>
      </c>
      <c r="H15" s="1">
        <v>786</v>
      </c>
      <c r="I15" s="1" t="s">
        <v>68</v>
      </c>
      <c r="J15" s="1" t="s">
        <v>69</v>
      </c>
      <c r="K15" s="4"/>
      <c r="L15" s="44" t="s">
        <v>601</v>
      </c>
      <c r="M15" s="14"/>
      <c r="N15" s="1"/>
      <c r="O15" s="1"/>
      <c r="P15" s="1"/>
      <c r="Q15" s="29"/>
      <c r="R15" s="2"/>
      <c r="S15" s="3"/>
    </row>
    <row r="16" spans="1:19" x14ac:dyDescent="0.2">
      <c r="A16" s="1" t="s">
        <v>70</v>
      </c>
      <c r="B16" s="1" t="s">
        <v>71</v>
      </c>
      <c r="C16" s="1" t="s">
        <v>28</v>
      </c>
      <c r="D16" s="1" t="s">
        <v>72</v>
      </c>
      <c r="E16" s="37">
        <v>9824</v>
      </c>
      <c r="F16" s="1" t="s">
        <v>19</v>
      </c>
      <c r="G16" s="37" t="s">
        <v>778</v>
      </c>
      <c r="H16" s="1">
        <v>1023</v>
      </c>
      <c r="I16" s="1" t="s">
        <v>73</v>
      </c>
      <c r="J16" s="1"/>
      <c r="K16" s="4"/>
      <c r="L16" s="44" t="s">
        <v>602</v>
      </c>
      <c r="M16" s="14"/>
      <c r="N16" s="1"/>
      <c r="O16" s="1"/>
      <c r="P16" s="1"/>
      <c r="Q16" s="29"/>
      <c r="R16" s="2"/>
      <c r="S16" s="3"/>
    </row>
    <row r="17" spans="1:19" x14ac:dyDescent="0.2">
      <c r="A17" s="1" t="s">
        <v>74</v>
      </c>
      <c r="B17" s="1" t="s">
        <v>75</v>
      </c>
      <c r="C17" s="1" t="s">
        <v>28</v>
      </c>
      <c r="D17" s="1" t="s">
        <v>76</v>
      </c>
      <c r="E17" s="37">
        <v>89839</v>
      </c>
      <c r="F17" s="1" t="s">
        <v>19</v>
      </c>
      <c r="G17" s="37" t="s">
        <v>779</v>
      </c>
      <c r="H17" s="1">
        <v>267</v>
      </c>
      <c r="I17" s="1" t="s">
        <v>77</v>
      </c>
      <c r="J17" s="1"/>
      <c r="K17" s="4"/>
      <c r="L17" s="44" t="s">
        <v>603</v>
      </c>
      <c r="M17" s="14"/>
      <c r="N17" s="1"/>
      <c r="O17" s="1"/>
      <c r="P17" s="1"/>
      <c r="Q17" s="29"/>
      <c r="R17" s="2"/>
      <c r="S17" s="3"/>
    </row>
    <row r="18" spans="1:19" x14ac:dyDescent="0.2">
      <c r="A18" s="1" t="s">
        <v>78</v>
      </c>
      <c r="B18" s="1" t="s">
        <v>79</v>
      </c>
      <c r="C18" s="1" t="s">
        <v>28</v>
      </c>
      <c r="D18" s="1" t="s">
        <v>80</v>
      </c>
      <c r="E18" s="37">
        <v>94134</v>
      </c>
      <c r="F18" s="1" t="s">
        <v>19</v>
      </c>
      <c r="G18" s="37" t="s">
        <v>780</v>
      </c>
      <c r="H18" s="1">
        <v>841</v>
      </c>
      <c r="I18" s="1" t="s">
        <v>81</v>
      </c>
      <c r="J18" s="1" t="s">
        <v>36</v>
      </c>
      <c r="K18" s="4" t="s">
        <v>731</v>
      </c>
      <c r="L18" s="44" t="s">
        <v>604</v>
      </c>
      <c r="M18" s="14"/>
      <c r="N18" s="1"/>
      <c r="O18" s="1"/>
      <c r="P18" s="1"/>
      <c r="Q18" s="29"/>
      <c r="R18" s="2"/>
      <c r="S18" s="3"/>
    </row>
    <row r="19" spans="1:19" x14ac:dyDescent="0.2">
      <c r="A19" s="1" t="s">
        <v>82</v>
      </c>
      <c r="B19" s="1" t="s">
        <v>83</v>
      </c>
      <c r="C19" s="1" t="s">
        <v>28</v>
      </c>
      <c r="D19" s="1" t="s">
        <v>84</v>
      </c>
      <c r="E19" s="37">
        <v>55843</v>
      </c>
      <c r="F19" s="1" t="s">
        <v>12</v>
      </c>
      <c r="G19" s="38" t="s">
        <v>751</v>
      </c>
      <c r="H19" s="1">
        <v>481</v>
      </c>
      <c r="I19" s="1" t="s">
        <v>85</v>
      </c>
      <c r="J19" s="1"/>
      <c r="K19" s="4"/>
      <c r="L19" s="44" t="s">
        <v>605</v>
      </c>
      <c r="M19" s="14"/>
      <c r="N19" s="1"/>
      <c r="O19" s="1"/>
      <c r="P19" s="1"/>
      <c r="Q19" s="29"/>
      <c r="R19" s="2"/>
      <c r="S19" s="3"/>
    </row>
    <row r="20" spans="1:19" x14ac:dyDescent="0.2">
      <c r="A20" s="1" t="s">
        <v>86</v>
      </c>
      <c r="B20" s="1" t="s">
        <v>87</v>
      </c>
      <c r="C20" s="1" t="s">
        <v>28</v>
      </c>
      <c r="D20" s="1" t="s">
        <v>88</v>
      </c>
      <c r="E20" s="37">
        <v>55114</v>
      </c>
      <c r="F20" s="1" t="s">
        <v>19</v>
      </c>
      <c r="G20" s="37" t="s">
        <v>781</v>
      </c>
      <c r="H20" s="1">
        <v>803</v>
      </c>
      <c r="I20" s="1" t="s">
        <v>89</v>
      </c>
      <c r="J20" s="1"/>
      <c r="K20" s="4" t="s">
        <v>730</v>
      </c>
      <c r="L20" s="44" t="s">
        <v>606</v>
      </c>
      <c r="M20" s="14"/>
      <c r="N20" s="1"/>
      <c r="O20" s="1"/>
      <c r="P20" s="1"/>
      <c r="Q20" s="29"/>
      <c r="R20" s="2"/>
      <c r="S20" s="1"/>
    </row>
    <row r="21" spans="1:19" x14ac:dyDescent="0.2">
      <c r="A21" s="1" t="s">
        <v>90</v>
      </c>
      <c r="B21" s="1" t="s">
        <v>91</v>
      </c>
      <c r="C21" s="1" t="s">
        <v>28</v>
      </c>
      <c r="D21" s="1" t="s">
        <v>92</v>
      </c>
      <c r="E21" s="37">
        <v>93663</v>
      </c>
      <c r="F21" s="1" t="s">
        <v>12</v>
      </c>
      <c r="G21" s="37" t="s">
        <v>752</v>
      </c>
      <c r="H21" s="1">
        <v>663</v>
      </c>
      <c r="I21" s="1" t="s">
        <v>93</v>
      </c>
      <c r="J21" s="1"/>
      <c r="K21" s="4"/>
      <c r="L21" s="44" t="s">
        <v>607</v>
      </c>
      <c r="M21" s="14"/>
      <c r="N21" s="1"/>
      <c r="O21" s="1"/>
      <c r="P21" s="1"/>
      <c r="Q21" s="29"/>
      <c r="R21" s="2"/>
      <c r="S21" s="3"/>
    </row>
    <row r="22" spans="1:19" x14ac:dyDescent="0.2">
      <c r="A22" s="1" t="s">
        <v>94</v>
      </c>
      <c r="B22" s="1" t="s">
        <v>95</v>
      </c>
      <c r="C22" s="1" t="s">
        <v>28</v>
      </c>
      <c r="D22" s="1" t="s">
        <v>96</v>
      </c>
      <c r="E22" s="37">
        <v>84986</v>
      </c>
      <c r="F22" s="1" t="s">
        <v>19</v>
      </c>
      <c r="G22" s="37" t="s">
        <v>782</v>
      </c>
      <c r="H22" s="1">
        <v>494</v>
      </c>
      <c r="I22" s="1" t="s">
        <v>97</v>
      </c>
      <c r="J22" s="1"/>
      <c r="K22" s="4"/>
      <c r="L22" s="44" t="s">
        <v>608</v>
      </c>
      <c r="M22" s="14"/>
      <c r="N22" s="13"/>
      <c r="O22" s="1"/>
      <c r="P22" s="13"/>
      <c r="Q22" s="29"/>
      <c r="R22" s="2"/>
      <c r="S22" s="3"/>
    </row>
    <row r="23" spans="1:19" x14ac:dyDescent="0.2">
      <c r="A23" s="1" t="s">
        <v>98</v>
      </c>
      <c r="B23" s="1" t="s">
        <v>99</v>
      </c>
      <c r="C23" s="1" t="s">
        <v>28</v>
      </c>
      <c r="D23" s="1" t="s">
        <v>100</v>
      </c>
      <c r="E23" s="37">
        <v>57569</v>
      </c>
      <c r="F23" s="1" t="s">
        <v>19</v>
      </c>
      <c r="G23" s="37" t="s">
        <v>783</v>
      </c>
      <c r="H23" s="1">
        <v>1191</v>
      </c>
      <c r="I23" s="1" t="s">
        <v>101</v>
      </c>
      <c r="J23" s="1"/>
      <c r="K23" s="4"/>
      <c r="L23" s="44" t="s">
        <v>609</v>
      </c>
      <c r="M23" s="17"/>
      <c r="N23" s="18"/>
      <c r="O23" s="1"/>
      <c r="P23" s="18"/>
      <c r="Q23" s="29"/>
      <c r="R23" s="2"/>
      <c r="S23" s="3"/>
    </row>
    <row r="24" spans="1:19" x14ac:dyDescent="0.2">
      <c r="A24" s="1" t="s">
        <v>102</v>
      </c>
      <c r="B24" s="1" t="s">
        <v>103</v>
      </c>
      <c r="C24" s="1" t="s">
        <v>28</v>
      </c>
      <c r="D24" s="1" t="s">
        <v>104</v>
      </c>
      <c r="E24" s="37">
        <v>57584</v>
      </c>
      <c r="F24" s="1" t="s">
        <v>19</v>
      </c>
      <c r="G24" s="37" t="s">
        <v>784</v>
      </c>
      <c r="H24" s="1">
        <v>1944</v>
      </c>
      <c r="I24" s="1" t="s">
        <v>105</v>
      </c>
      <c r="J24" s="1"/>
      <c r="K24" s="4" t="s">
        <v>732</v>
      </c>
      <c r="L24" s="44" t="s">
        <v>610</v>
      </c>
      <c r="M24" s="14"/>
      <c r="N24" s="1"/>
      <c r="O24" s="1"/>
      <c r="P24" s="1"/>
      <c r="Q24" s="29"/>
      <c r="R24" s="2"/>
      <c r="S24" s="3"/>
    </row>
    <row r="25" spans="1:19" x14ac:dyDescent="0.2">
      <c r="A25" s="1" t="s">
        <v>106</v>
      </c>
      <c r="B25" s="1" t="s">
        <v>107</v>
      </c>
      <c r="C25" s="1" t="s">
        <v>28</v>
      </c>
      <c r="D25" s="1" t="s">
        <v>108</v>
      </c>
      <c r="E25" s="37">
        <v>58504</v>
      </c>
      <c r="F25" s="1" t="s">
        <v>19</v>
      </c>
      <c r="G25" s="37" t="s">
        <v>785</v>
      </c>
      <c r="H25" s="1">
        <v>714</v>
      </c>
      <c r="I25" s="1" t="s">
        <v>109</v>
      </c>
      <c r="J25" s="1"/>
      <c r="K25" s="4" t="s">
        <v>730</v>
      </c>
      <c r="L25" s="44" t="s">
        <v>611</v>
      </c>
      <c r="M25" s="14"/>
      <c r="N25" s="1"/>
      <c r="O25" s="1"/>
      <c r="P25" s="1"/>
      <c r="Q25" s="29"/>
      <c r="R25" s="2"/>
      <c r="S25" s="3"/>
    </row>
    <row r="26" spans="1:19" x14ac:dyDescent="0.2">
      <c r="A26" s="1" t="s">
        <v>110</v>
      </c>
      <c r="B26" s="1" t="s">
        <v>111</v>
      </c>
      <c r="C26" s="1" t="s">
        <v>28</v>
      </c>
      <c r="D26" s="1" t="s">
        <v>112</v>
      </c>
      <c r="E26" s="37">
        <v>57636</v>
      </c>
      <c r="F26" s="1" t="s">
        <v>19</v>
      </c>
      <c r="G26" s="37" t="s">
        <v>786</v>
      </c>
      <c r="H26" s="1">
        <v>1491</v>
      </c>
      <c r="I26" s="1" t="s">
        <v>113</v>
      </c>
      <c r="J26" s="1" t="s">
        <v>36</v>
      </c>
      <c r="K26" s="4"/>
      <c r="L26" s="44" t="s">
        <v>612</v>
      </c>
      <c r="M26" s="14"/>
      <c r="N26" s="1"/>
      <c r="O26" s="1"/>
      <c r="P26" s="1"/>
      <c r="Q26" s="29"/>
      <c r="R26" s="2"/>
      <c r="S26" s="3"/>
    </row>
    <row r="27" spans="1:19" x14ac:dyDescent="0.2">
      <c r="A27" s="1" t="s">
        <v>114</v>
      </c>
      <c r="B27" s="1" t="s">
        <v>115</v>
      </c>
      <c r="C27" s="1" t="s">
        <v>28</v>
      </c>
      <c r="D27" s="1" t="s">
        <v>116</v>
      </c>
      <c r="E27" s="37">
        <v>83478</v>
      </c>
      <c r="F27" s="1" t="s">
        <v>19</v>
      </c>
      <c r="G27" s="37" t="s">
        <v>787</v>
      </c>
      <c r="H27" s="1">
        <v>748</v>
      </c>
      <c r="I27" s="1" t="s">
        <v>117</v>
      </c>
      <c r="J27" s="1" t="s">
        <v>36</v>
      </c>
      <c r="K27" s="4"/>
      <c r="L27" s="44" t="s">
        <v>613</v>
      </c>
      <c r="M27" s="14"/>
      <c r="N27" s="1"/>
      <c r="O27" s="1"/>
      <c r="P27" s="19"/>
      <c r="Q27" s="29"/>
      <c r="R27" s="2"/>
      <c r="S27" s="3"/>
    </row>
    <row r="28" spans="1:19" x14ac:dyDescent="0.2">
      <c r="A28" s="1" t="s">
        <v>118</v>
      </c>
      <c r="B28" s="1" t="s">
        <v>119</v>
      </c>
      <c r="C28" s="1" t="s">
        <v>28</v>
      </c>
      <c r="D28" s="1" t="s">
        <v>120</v>
      </c>
      <c r="E28" s="37">
        <v>9938</v>
      </c>
      <c r="F28" s="1" t="s">
        <v>19</v>
      </c>
      <c r="G28" s="37" t="s">
        <v>788</v>
      </c>
      <c r="H28" s="1">
        <v>638</v>
      </c>
      <c r="I28" s="1" t="s">
        <v>121</v>
      </c>
      <c r="J28" s="1"/>
      <c r="K28" s="4" t="s">
        <v>733</v>
      </c>
      <c r="L28" s="44" t="s">
        <v>614</v>
      </c>
      <c r="M28" s="14"/>
      <c r="N28" s="1"/>
      <c r="O28" s="1"/>
      <c r="P28" s="1"/>
      <c r="Q28" s="29"/>
      <c r="R28" s="2"/>
      <c r="S28" s="3"/>
    </row>
    <row r="29" spans="1:19" x14ac:dyDescent="0.2">
      <c r="A29" s="1" t="s">
        <v>122</v>
      </c>
      <c r="B29" s="1" t="s">
        <v>123</v>
      </c>
      <c r="C29" s="1" t="s">
        <v>28</v>
      </c>
      <c r="D29" s="1" t="s">
        <v>124</v>
      </c>
      <c r="E29" s="37">
        <v>23092</v>
      </c>
      <c r="F29" s="1" t="s">
        <v>19</v>
      </c>
      <c r="G29" s="37" t="s">
        <v>789</v>
      </c>
      <c r="H29" s="1">
        <v>814</v>
      </c>
      <c r="I29" s="1" t="s">
        <v>125</v>
      </c>
      <c r="J29" s="1" t="s">
        <v>36</v>
      </c>
      <c r="K29" s="4"/>
      <c r="L29" s="44" t="s">
        <v>615</v>
      </c>
      <c r="M29" s="14"/>
      <c r="N29" s="1"/>
      <c r="O29" s="14"/>
      <c r="P29" s="1"/>
      <c r="Q29" s="29"/>
      <c r="R29" s="2"/>
      <c r="S29" s="1"/>
    </row>
    <row r="30" spans="1:19" x14ac:dyDescent="0.2">
      <c r="A30" s="1" t="s">
        <v>126</v>
      </c>
      <c r="B30" s="1" t="s">
        <v>127</v>
      </c>
      <c r="C30" s="1" t="s">
        <v>28</v>
      </c>
      <c r="D30" s="1" t="s">
        <v>128</v>
      </c>
      <c r="E30" s="37">
        <v>201176</v>
      </c>
      <c r="F30" s="1" t="s">
        <v>129</v>
      </c>
      <c r="G30" s="37" t="s">
        <v>744</v>
      </c>
      <c r="H30" s="1">
        <v>868</v>
      </c>
      <c r="I30" s="1" t="s">
        <v>887</v>
      </c>
      <c r="J30" s="1" t="s">
        <v>36</v>
      </c>
      <c r="K30" s="4" t="s">
        <v>734</v>
      </c>
      <c r="L30" s="44" t="s">
        <v>616</v>
      </c>
      <c r="M30" s="14"/>
      <c r="N30" s="1"/>
      <c r="O30" s="1"/>
      <c r="P30" s="1"/>
      <c r="Q30" s="29"/>
      <c r="R30" s="2"/>
      <c r="S30" s="3"/>
    </row>
    <row r="31" spans="1:19" x14ac:dyDescent="0.2">
      <c r="A31" s="1" t="s">
        <v>130</v>
      </c>
      <c r="B31" s="1" t="s">
        <v>131</v>
      </c>
      <c r="C31" s="1" t="s">
        <v>28</v>
      </c>
      <c r="D31" s="1" t="s">
        <v>132</v>
      </c>
      <c r="E31" s="37">
        <v>79822</v>
      </c>
      <c r="F31" s="1" t="s">
        <v>12</v>
      </c>
      <c r="G31" s="37" t="s">
        <v>753</v>
      </c>
      <c r="H31" s="1">
        <v>707</v>
      </c>
      <c r="I31" s="1" t="s">
        <v>133</v>
      </c>
      <c r="J31" s="1"/>
      <c r="K31" s="4" t="s">
        <v>735</v>
      </c>
      <c r="L31" s="44" t="s">
        <v>617</v>
      </c>
      <c r="M31" s="14"/>
      <c r="N31" s="1"/>
      <c r="O31" s="1"/>
      <c r="P31" s="1"/>
      <c r="Q31" s="29"/>
      <c r="R31" s="2"/>
      <c r="S31" s="3"/>
    </row>
    <row r="32" spans="1:19" x14ac:dyDescent="0.2">
      <c r="A32" s="1" t="s">
        <v>134</v>
      </c>
      <c r="B32" s="1" t="s">
        <v>135</v>
      </c>
      <c r="C32" s="1" t="s">
        <v>28</v>
      </c>
      <c r="D32" s="1" t="s">
        <v>136</v>
      </c>
      <c r="E32" s="37">
        <v>9411</v>
      </c>
      <c r="F32" s="1" t="s">
        <v>19</v>
      </c>
      <c r="G32" s="37" t="s">
        <v>790</v>
      </c>
      <c r="H32" s="1">
        <v>1261</v>
      </c>
      <c r="I32" s="1" t="s">
        <v>137</v>
      </c>
      <c r="J32" s="1"/>
      <c r="K32" s="4"/>
      <c r="L32" s="44" t="s">
        <v>618</v>
      </c>
      <c r="M32" s="14"/>
      <c r="N32" s="1"/>
      <c r="O32" s="1"/>
      <c r="P32" s="1"/>
      <c r="Q32" s="29"/>
      <c r="R32" s="2"/>
      <c r="S32" s="3"/>
    </row>
    <row r="33" spans="1:19" x14ac:dyDescent="0.2">
      <c r="A33" s="1" t="s">
        <v>138</v>
      </c>
      <c r="B33" s="1" t="s">
        <v>139</v>
      </c>
      <c r="C33" s="1" t="s">
        <v>28</v>
      </c>
      <c r="D33" s="1" t="s">
        <v>140</v>
      </c>
      <c r="E33" s="37">
        <v>257106</v>
      </c>
      <c r="F33" s="1" t="s">
        <v>12</v>
      </c>
      <c r="G33" s="37" t="s">
        <v>754</v>
      </c>
      <c r="H33" s="1">
        <v>1093</v>
      </c>
      <c r="I33" s="1" t="s">
        <v>141</v>
      </c>
      <c r="J33" s="1"/>
      <c r="K33" s="4" t="s">
        <v>736</v>
      </c>
      <c r="L33" s="44" t="s">
        <v>619</v>
      </c>
      <c r="M33" s="14"/>
      <c r="N33" s="16"/>
      <c r="O33" s="1"/>
      <c r="P33" s="16"/>
      <c r="Q33" s="29"/>
      <c r="R33" s="2"/>
      <c r="S33" s="3"/>
    </row>
    <row r="34" spans="1:19" x14ac:dyDescent="0.2">
      <c r="A34" s="1" t="s">
        <v>142</v>
      </c>
      <c r="B34" s="1" t="s">
        <v>143</v>
      </c>
      <c r="C34" s="1" t="s">
        <v>28</v>
      </c>
      <c r="D34" s="1" t="s">
        <v>144</v>
      </c>
      <c r="E34" s="37">
        <v>57514</v>
      </c>
      <c r="F34" s="1" t="s">
        <v>19</v>
      </c>
      <c r="G34" s="37" t="s">
        <v>791</v>
      </c>
      <c r="H34" s="1">
        <v>1444</v>
      </c>
      <c r="I34" s="1" t="s">
        <v>145</v>
      </c>
      <c r="J34" s="1"/>
      <c r="K34" s="4"/>
      <c r="L34" s="44" t="s">
        <v>620</v>
      </c>
      <c r="M34" s="14"/>
      <c r="N34" s="1"/>
      <c r="O34" s="1"/>
      <c r="P34" s="1"/>
      <c r="Q34" s="29"/>
      <c r="R34" s="2"/>
      <c r="S34" s="3"/>
    </row>
    <row r="35" spans="1:19" x14ac:dyDescent="0.2">
      <c r="A35" s="1" t="s">
        <v>146</v>
      </c>
      <c r="B35" s="1" t="s">
        <v>147</v>
      </c>
      <c r="C35" s="1" t="s">
        <v>28</v>
      </c>
      <c r="D35" s="1" t="s">
        <v>148</v>
      </c>
      <c r="E35" s="37">
        <v>9743</v>
      </c>
      <c r="F35" s="1" t="s">
        <v>19</v>
      </c>
      <c r="G35" s="37" t="s">
        <v>792</v>
      </c>
      <c r="H35" s="1">
        <v>2087</v>
      </c>
      <c r="I35" s="1" t="s">
        <v>149</v>
      </c>
      <c r="J35" s="1" t="s">
        <v>36</v>
      </c>
      <c r="K35" s="4"/>
      <c r="L35" s="44" t="s">
        <v>621</v>
      </c>
      <c r="M35" s="14"/>
      <c r="N35" s="16"/>
      <c r="O35" s="1"/>
      <c r="P35" s="16"/>
      <c r="Q35" s="29"/>
      <c r="R35" s="30"/>
      <c r="S35" s="1"/>
    </row>
    <row r="36" spans="1:19" x14ac:dyDescent="0.2">
      <c r="A36" s="1" t="s">
        <v>150</v>
      </c>
      <c r="B36" s="1" t="s">
        <v>151</v>
      </c>
      <c r="C36" s="1" t="s">
        <v>28</v>
      </c>
      <c r="D36" s="1" t="s">
        <v>152</v>
      </c>
      <c r="E36" s="37">
        <v>115703</v>
      </c>
      <c r="F36" s="1" t="s">
        <v>12</v>
      </c>
      <c r="G36" s="37" t="s">
        <v>755</v>
      </c>
      <c r="H36" s="1">
        <v>1305</v>
      </c>
      <c r="I36" s="1" t="s">
        <v>153</v>
      </c>
      <c r="J36" s="1"/>
      <c r="K36" s="4"/>
      <c r="L36" s="44" t="s">
        <v>622</v>
      </c>
      <c r="M36" s="14"/>
      <c r="N36" s="1"/>
      <c r="O36" s="1"/>
      <c r="P36" s="1"/>
      <c r="Q36" s="29"/>
      <c r="R36" s="2"/>
      <c r="S36" s="3"/>
    </row>
    <row r="37" spans="1:19" x14ac:dyDescent="0.2">
      <c r="A37" s="1" t="s">
        <v>154</v>
      </c>
      <c r="B37" s="1" t="s">
        <v>155</v>
      </c>
      <c r="C37" s="1" t="s">
        <v>28</v>
      </c>
      <c r="D37" s="1" t="s">
        <v>156</v>
      </c>
      <c r="E37" s="37">
        <v>2909</v>
      </c>
      <c r="F37" s="1" t="s">
        <v>19</v>
      </c>
      <c r="G37" s="37" t="s">
        <v>793</v>
      </c>
      <c r="H37" s="1">
        <v>1499</v>
      </c>
      <c r="I37" s="1" t="s">
        <v>157</v>
      </c>
      <c r="J37" s="1"/>
      <c r="K37" s="4"/>
      <c r="L37" s="44" t="s">
        <v>623</v>
      </c>
      <c r="M37" s="14"/>
      <c r="N37" s="1"/>
      <c r="O37" s="1"/>
      <c r="P37" s="1"/>
      <c r="Q37" s="29"/>
      <c r="R37" s="2"/>
      <c r="S37" s="3"/>
    </row>
    <row r="38" spans="1:19" x14ac:dyDescent="0.2">
      <c r="A38" s="1" t="s">
        <v>158</v>
      </c>
      <c r="B38" s="1" t="s">
        <v>159</v>
      </c>
      <c r="C38" s="1" t="s">
        <v>34</v>
      </c>
      <c r="D38" s="1" t="s">
        <v>160</v>
      </c>
      <c r="E38" s="37">
        <v>158763</v>
      </c>
      <c r="F38" s="1" t="s">
        <v>19</v>
      </c>
      <c r="G38" s="37" t="s">
        <v>794</v>
      </c>
      <c r="H38" s="1">
        <v>517</v>
      </c>
      <c r="I38" s="1" t="s">
        <v>161</v>
      </c>
      <c r="J38" s="1" t="s">
        <v>36</v>
      </c>
      <c r="K38" s="4" t="s">
        <v>737</v>
      </c>
      <c r="L38" s="44" t="s">
        <v>624</v>
      </c>
      <c r="M38" s="14"/>
      <c r="N38" s="1"/>
      <c r="O38" s="1"/>
      <c r="P38" s="1"/>
      <c r="Q38" s="29"/>
      <c r="R38" s="2"/>
      <c r="S38" s="3"/>
    </row>
    <row r="39" spans="1:19" x14ac:dyDescent="0.2">
      <c r="A39" s="1" t="s">
        <v>162</v>
      </c>
      <c r="B39" s="1" t="s">
        <v>163</v>
      </c>
      <c r="C39" s="1" t="s">
        <v>28</v>
      </c>
      <c r="D39" s="1" t="s">
        <v>164</v>
      </c>
      <c r="E39" s="37">
        <v>80728</v>
      </c>
      <c r="F39" s="1" t="s">
        <v>19</v>
      </c>
      <c r="G39" s="37" t="s">
        <v>795</v>
      </c>
      <c r="H39" s="1">
        <v>1114</v>
      </c>
      <c r="I39" s="1" t="s">
        <v>165</v>
      </c>
      <c r="J39" s="1" t="s">
        <v>36</v>
      </c>
      <c r="K39" s="4" t="s">
        <v>730</v>
      </c>
      <c r="L39" s="44" t="s">
        <v>625</v>
      </c>
      <c r="M39" s="14"/>
      <c r="N39" s="1"/>
      <c r="O39" s="1"/>
      <c r="P39" s="1"/>
      <c r="Q39" s="29"/>
      <c r="R39" s="2"/>
      <c r="S39" s="3"/>
    </row>
    <row r="40" spans="1:19" x14ac:dyDescent="0.2">
      <c r="A40" s="1" t="s">
        <v>166</v>
      </c>
      <c r="B40" s="1" t="s">
        <v>167</v>
      </c>
      <c r="C40" s="1" t="s">
        <v>28</v>
      </c>
      <c r="D40" s="1" t="s">
        <v>168</v>
      </c>
      <c r="E40" s="37">
        <v>343578</v>
      </c>
      <c r="F40" s="1" t="s">
        <v>19</v>
      </c>
      <c r="G40" s="37" t="s">
        <v>796</v>
      </c>
      <c r="H40" s="1">
        <v>751</v>
      </c>
      <c r="I40" s="1" t="s">
        <v>169</v>
      </c>
      <c r="J40" s="1" t="s">
        <v>36</v>
      </c>
      <c r="K40" s="4" t="s">
        <v>738</v>
      </c>
      <c r="L40" s="44" t="s">
        <v>626</v>
      </c>
      <c r="M40" s="14"/>
      <c r="N40" s="1"/>
      <c r="O40" s="1"/>
      <c r="P40" s="1"/>
      <c r="Q40" s="29"/>
      <c r="R40" s="2"/>
      <c r="S40" s="3"/>
    </row>
    <row r="41" spans="1:19" x14ac:dyDescent="0.2">
      <c r="A41" s="1" t="s">
        <v>170</v>
      </c>
      <c r="B41" s="1" t="s">
        <v>171</v>
      </c>
      <c r="C41" s="1" t="s">
        <v>28</v>
      </c>
      <c r="D41" s="1" t="s">
        <v>172</v>
      </c>
      <c r="E41" s="37">
        <v>143872</v>
      </c>
      <c r="F41" s="1" t="s">
        <v>19</v>
      </c>
      <c r="G41" s="37" t="s">
        <v>797</v>
      </c>
      <c r="H41" s="1">
        <v>874</v>
      </c>
      <c r="I41" s="1" t="s">
        <v>173</v>
      </c>
      <c r="J41" s="1" t="s">
        <v>174</v>
      </c>
      <c r="K41" s="4"/>
      <c r="L41" s="44" t="s">
        <v>627</v>
      </c>
      <c r="M41" s="14"/>
      <c r="N41" s="1"/>
      <c r="O41" s="1"/>
      <c r="P41" s="1"/>
      <c r="Q41" s="29"/>
      <c r="R41" s="2"/>
      <c r="S41" s="3"/>
    </row>
    <row r="42" spans="1:19" x14ac:dyDescent="0.2">
      <c r="A42" s="1" t="s">
        <v>175</v>
      </c>
      <c r="B42" s="1" t="s">
        <v>176</v>
      </c>
      <c r="C42" s="1" t="s">
        <v>28</v>
      </c>
      <c r="D42" s="1" t="s">
        <v>177</v>
      </c>
      <c r="E42" s="37">
        <v>9912</v>
      </c>
      <c r="F42" s="1" t="s">
        <v>19</v>
      </c>
      <c r="G42" s="37" t="s">
        <v>798</v>
      </c>
      <c r="H42" s="1">
        <v>818</v>
      </c>
      <c r="I42" s="1" t="s">
        <v>178</v>
      </c>
      <c r="J42" s="1"/>
      <c r="K42" s="4"/>
      <c r="L42" s="44" t="s">
        <v>628</v>
      </c>
      <c r="M42" s="14"/>
      <c r="N42" s="1"/>
      <c r="O42" s="1"/>
      <c r="P42" s="1"/>
      <c r="Q42" s="29"/>
      <c r="R42" s="2"/>
      <c r="S42" s="3"/>
    </row>
    <row r="43" spans="1:19" x14ac:dyDescent="0.2">
      <c r="A43" s="5" t="s">
        <v>582</v>
      </c>
      <c r="B43" s="5" t="s">
        <v>394</v>
      </c>
      <c r="C43" s="5" t="s">
        <v>28</v>
      </c>
      <c r="D43" s="5" t="s">
        <v>395</v>
      </c>
      <c r="E43" s="37">
        <v>23526</v>
      </c>
      <c r="F43" s="5" t="s">
        <v>19</v>
      </c>
      <c r="G43" s="37" t="s">
        <v>799</v>
      </c>
      <c r="H43" s="5">
        <v>1136</v>
      </c>
      <c r="I43" s="5" t="s">
        <v>396</v>
      </c>
      <c r="J43" s="1"/>
      <c r="K43" s="4"/>
      <c r="L43" s="44" t="s">
        <v>629</v>
      </c>
      <c r="M43" s="20"/>
      <c r="Q43" s="29"/>
      <c r="R43" s="2"/>
      <c r="S43" s="3"/>
    </row>
    <row r="44" spans="1:19" x14ac:dyDescent="0.2">
      <c r="A44" s="1" t="s">
        <v>179</v>
      </c>
      <c r="B44" s="1" t="s">
        <v>180</v>
      </c>
      <c r="C44" s="1" t="s">
        <v>17</v>
      </c>
      <c r="D44" s="1" t="s">
        <v>181</v>
      </c>
      <c r="E44" s="37">
        <v>9138</v>
      </c>
      <c r="F44" s="1" t="s">
        <v>19</v>
      </c>
      <c r="G44" s="37" t="s">
        <v>800</v>
      </c>
      <c r="H44" s="1">
        <v>879</v>
      </c>
      <c r="I44" s="1" t="s">
        <v>182</v>
      </c>
      <c r="J44" s="1"/>
      <c r="K44" s="4" t="s">
        <v>730</v>
      </c>
      <c r="L44" s="44" t="s">
        <v>630</v>
      </c>
      <c r="M44" s="14"/>
      <c r="N44" s="16"/>
      <c r="O44" s="1"/>
      <c r="P44" s="1"/>
      <c r="Q44" s="29"/>
      <c r="R44" s="2"/>
      <c r="S44" s="3"/>
    </row>
    <row r="45" spans="1:19" x14ac:dyDescent="0.2">
      <c r="A45" s="1" t="s">
        <v>183</v>
      </c>
      <c r="B45" s="1" t="s">
        <v>184</v>
      </c>
      <c r="C45" s="1" t="s">
        <v>17</v>
      </c>
      <c r="D45" s="1" t="s">
        <v>185</v>
      </c>
      <c r="E45" s="37">
        <v>9181</v>
      </c>
      <c r="F45" s="1" t="s">
        <v>12</v>
      </c>
      <c r="G45" s="37" t="s">
        <v>756</v>
      </c>
      <c r="H45" s="1">
        <v>985</v>
      </c>
      <c r="I45" s="1" t="s">
        <v>186</v>
      </c>
      <c r="J45" s="1"/>
      <c r="K45" s="4"/>
      <c r="L45" s="44" t="s">
        <v>631</v>
      </c>
      <c r="M45" s="14"/>
      <c r="N45" s="1"/>
      <c r="O45" s="1"/>
      <c r="P45" s="1"/>
      <c r="Q45" s="29"/>
      <c r="R45" s="2"/>
      <c r="S45" s="3"/>
    </row>
    <row r="46" spans="1:19" x14ac:dyDescent="0.2">
      <c r="A46" s="1" t="s">
        <v>187</v>
      </c>
      <c r="B46" s="1" t="s">
        <v>188</v>
      </c>
      <c r="C46" s="1" t="s">
        <v>17</v>
      </c>
      <c r="D46" s="1" t="s">
        <v>189</v>
      </c>
      <c r="E46" s="37">
        <v>50650</v>
      </c>
      <c r="F46" s="1" t="s">
        <v>12</v>
      </c>
      <c r="G46" s="37" t="s">
        <v>757</v>
      </c>
      <c r="H46" s="1">
        <v>524</v>
      </c>
      <c r="I46" s="1" t="s">
        <v>190</v>
      </c>
      <c r="J46" s="1"/>
      <c r="K46" s="4"/>
      <c r="L46" s="44" t="s">
        <v>632</v>
      </c>
      <c r="M46" s="14"/>
      <c r="N46" s="1"/>
      <c r="O46" s="1"/>
      <c r="P46" s="1"/>
      <c r="Q46" s="29"/>
      <c r="R46" s="2"/>
      <c r="S46" s="3"/>
    </row>
    <row r="47" spans="1:19" x14ac:dyDescent="0.2">
      <c r="A47" s="1" t="s">
        <v>191</v>
      </c>
      <c r="B47" s="1" t="s">
        <v>192</v>
      </c>
      <c r="C47" s="1" t="s">
        <v>17</v>
      </c>
      <c r="D47" s="1" t="s">
        <v>193</v>
      </c>
      <c r="E47" s="37">
        <v>50649</v>
      </c>
      <c r="F47" s="1" t="s">
        <v>19</v>
      </c>
      <c r="G47" s="37" t="s">
        <v>801</v>
      </c>
      <c r="H47" s="1">
        <v>670</v>
      </c>
      <c r="I47" s="1" t="s">
        <v>194</v>
      </c>
      <c r="J47" s="1"/>
      <c r="K47" s="4" t="s">
        <v>731</v>
      </c>
      <c r="L47" s="44" t="s">
        <v>633</v>
      </c>
      <c r="M47" s="14"/>
      <c r="N47" s="1"/>
      <c r="O47" s="1"/>
      <c r="P47" s="1"/>
      <c r="Q47" s="29"/>
      <c r="R47" s="2"/>
      <c r="S47" s="3"/>
    </row>
    <row r="48" spans="1:19" x14ac:dyDescent="0.2">
      <c r="A48" s="1" t="s">
        <v>195</v>
      </c>
      <c r="B48" s="1" t="s">
        <v>196</v>
      </c>
      <c r="C48" s="1" t="s">
        <v>17</v>
      </c>
      <c r="D48" s="1" t="s">
        <v>197</v>
      </c>
      <c r="E48" s="37">
        <v>7984</v>
      </c>
      <c r="F48" s="1" t="s">
        <v>19</v>
      </c>
      <c r="G48" s="37" t="s">
        <v>802</v>
      </c>
      <c r="H48" s="1">
        <v>1597</v>
      </c>
      <c r="I48" s="1" t="s">
        <v>198</v>
      </c>
      <c r="J48" s="1"/>
      <c r="K48" s="4"/>
      <c r="L48" s="44" t="s">
        <v>634</v>
      </c>
      <c r="M48" s="15"/>
      <c r="N48" s="1"/>
      <c r="O48" s="1"/>
      <c r="P48" s="1"/>
      <c r="Q48" s="29"/>
      <c r="R48" s="2"/>
      <c r="S48" s="3"/>
    </row>
    <row r="49" spans="1:19" x14ac:dyDescent="0.2">
      <c r="A49" s="1" t="s">
        <v>199</v>
      </c>
      <c r="B49" s="1" t="s">
        <v>200</v>
      </c>
      <c r="C49" s="1" t="s">
        <v>17</v>
      </c>
      <c r="D49" s="1" t="s">
        <v>201</v>
      </c>
      <c r="E49" s="37">
        <v>9459</v>
      </c>
      <c r="F49" s="1" t="s">
        <v>19</v>
      </c>
      <c r="G49" s="37" t="s">
        <v>803</v>
      </c>
      <c r="H49" s="1">
        <v>773</v>
      </c>
      <c r="I49" s="1" t="s">
        <v>202</v>
      </c>
      <c r="J49" s="1"/>
      <c r="K49" s="4" t="s">
        <v>739</v>
      </c>
      <c r="L49" s="44" t="s">
        <v>635</v>
      </c>
      <c r="M49" s="14"/>
      <c r="N49" s="1"/>
      <c r="O49" s="1"/>
      <c r="P49" s="1"/>
      <c r="Q49" s="29"/>
      <c r="R49" s="2"/>
      <c r="S49" s="3"/>
    </row>
    <row r="50" spans="1:19" x14ac:dyDescent="0.2">
      <c r="A50" s="1" t="s">
        <v>203</v>
      </c>
      <c r="B50" s="1" t="s">
        <v>204</v>
      </c>
      <c r="C50" s="1" t="s">
        <v>17</v>
      </c>
      <c r="D50" s="1" t="s">
        <v>205</v>
      </c>
      <c r="E50" s="37">
        <v>8874</v>
      </c>
      <c r="F50" s="1" t="s">
        <v>19</v>
      </c>
      <c r="G50" s="37" t="s">
        <v>804</v>
      </c>
      <c r="H50" s="1">
        <v>803</v>
      </c>
      <c r="I50" s="1" t="s">
        <v>206</v>
      </c>
      <c r="J50" s="1" t="s">
        <v>36</v>
      </c>
      <c r="K50" s="4"/>
      <c r="L50" s="44" t="s">
        <v>636</v>
      </c>
      <c r="M50" s="14"/>
      <c r="N50" s="1"/>
      <c r="O50" s="1"/>
      <c r="P50" s="13"/>
      <c r="Q50" s="29"/>
      <c r="R50" s="2"/>
      <c r="S50" s="3"/>
    </row>
    <row r="51" spans="1:19" x14ac:dyDescent="0.2">
      <c r="A51" s="1" t="s">
        <v>207</v>
      </c>
      <c r="B51" s="1" t="s">
        <v>208</v>
      </c>
      <c r="C51" s="1" t="s">
        <v>17</v>
      </c>
      <c r="D51" s="1" t="s">
        <v>209</v>
      </c>
      <c r="E51" s="37">
        <v>23229</v>
      </c>
      <c r="F51" s="1" t="s">
        <v>19</v>
      </c>
      <c r="G51" s="37" t="s">
        <v>805</v>
      </c>
      <c r="H51" s="1">
        <v>516</v>
      </c>
      <c r="I51" s="1" t="s">
        <v>210</v>
      </c>
      <c r="J51" s="1"/>
      <c r="K51" s="4"/>
      <c r="L51" s="44" t="s">
        <v>637</v>
      </c>
      <c r="M51" s="14"/>
      <c r="N51" s="1"/>
      <c r="O51" s="1"/>
      <c r="P51" s="1"/>
      <c r="Q51" s="29"/>
      <c r="R51" s="2"/>
      <c r="S51" s="3"/>
    </row>
    <row r="52" spans="1:19" x14ac:dyDescent="0.2">
      <c r="A52" s="1" t="s">
        <v>211</v>
      </c>
      <c r="B52" s="1" t="s">
        <v>212</v>
      </c>
      <c r="C52" s="1" t="s">
        <v>17</v>
      </c>
      <c r="D52" s="1" t="s">
        <v>213</v>
      </c>
      <c r="E52" s="37">
        <v>9639</v>
      </c>
      <c r="F52" s="1" t="s">
        <v>19</v>
      </c>
      <c r="G52" s="37" t="s">
        <v>806</v>
      </c>
      <c r="H52" s="1">
        <v>1406</v>
      </c>
      <c r="I52" s="1" t="s">
        <v>214</v>
      </c>
      <c r="J52" s="1"/>
      <c r="K52" s="4" t="s">
        <v>740</v>
      </c>
      <c r="L52" s="44" t="s">
        <v>638</v>
      </c>
      <c r="M52" s="14"/>
      <c r="N52" s="1"/>
      <c r="O52" s="14"/>
      <c r="P52" s="16"/>
      <c r="Q52" s="29"/>
      <c r="R52" s="2"/>
      <c r="S52" s="3"/>
    </row>
    <row r="53" spans="1:19" x14ac:dyDescent="0.2">
      <c r="A53" s="1" t="s">
        <v>215</v>
      </c>
      <c r="B53" s="1" t="s">
        <v>216</v>
      </c>
      <c r="C53" s="1" t="s">
        <v>17</v>
      </c>
      <c r="D53" s="1" t="s">
        <v>217</v>
      </c>
      <c r="E53" s="37">
        <v>55160</v>
      </c>
      <c r="F53" s="1" t="s">
        <v>19</v>
      </c>
      <c r="G53" s="37" t="s">
        <v>807</v>
      </c>
      <c r="H53" s="1">
        <v>1279</v>
      </c>
      <c r="I53" s="1" t="s">
        <v>218</v>
      </c>
      <c r="J53" s="1"/>
      <c r="K53" s="4"/>
      <c r="L53" s="44" t="s">
        <v>639</v>
      </c>
      <c r="M53" s="14"/>
      <c r="N53" s="1"/>
      <c r="O53" s="1"/>
      <c r="P53" s="1"/>
      <c r="Q53" s="29"/>
      <c r="R53" s="2"/>
      <c r="S53" s="3"/>
    </row>
    <row r="54" spans="1:19" x14ac:dyDescent="0.2">
      <c r="A54" s="1" t="s">
        <v>219</v>
      </c>
      <c r="B54" s="1" t="s">
        <v>220</v>
      </c>
      <c r="C54" s="1" t="s">
        <v>17</v>
      </c>
      <c r="D54" s="1" t="s">
        <v>221</v>
      </c>
      <c r="E54" s="37">
        <v>9826</v>
      </c>
      <c r="F54" s="1" t="s">
        <v>19</v>
      </c>
      <c r="G54" s="37" t="s">
        <v>808</v>
      </c>
      <c r="H54" s="1">
        <v>1522</v>
      </c>
      <c r="I54" s="1" t="s">
        <v>222</v>
      </c>
      <c r="J54" s="1"/>
      <c r="K54" s="4"/>
      <c r="L54" s="44" t="s">
        <v>640</v>
      </c>
      <c r="M54" s="14"/>
      <c r="N54" s="16"/>
      <c r="O54" s="14"/>
      <c r="P54" s="1"/>
      <c r="Q54" s="29"/>
      <c r="R54" s="2"/>
      <c r="S54" s="3"/>
    </row>
    <row r="55" spans="1:19" x14ac:dyDescent="0.2">
      <c r="A55" s="1" t="s">
        <v>223</v>
      </c>
      <c r="B55" s="1" t="s">
        <v>224</v>
      </c>
      <c r="C55" s="1" t="s">
        <v>17</v>
      </c>
      <c r="D55" s="1" t="s">
        <v>225</v>
      </c>
      <c r="E55" s="37">
        <v>23365</v>
      </c>
      <c r="F55" s="1" t="s">
        <v>19</v>
      </c>
      <c r="G55" s="37" t="s">
        <v>809</v>
      </c>
      <c r="H55" s="1">
        <v>1544</v>
      </c>
      <c r="I55" s="1" t="s">
        <v>226</v>
      </c>
      <c r="J55" s="1"/>
      <c r="K55" s="4"/>
      <c r="L55" s="44" t="s">
        <v>641</v>
      </c>
      <c r="M55" s="14"/>
      <c r="N55" s="16"/>
      <c r="O55" s="1"/>
      <c r="P55" s="1"/>
      <c r="Q55" s="29"/>
      <c r="R55" s="2"/>
      <c r="S55" s="3"/>
    </row>
    <row r="56" spans="1:19" x14ac:dyDescent="0.2">
      <c r="A56" s="1" t="s">
        <v>227</v>
      </c>
      <c r="B56" s="1" t="s">
        <v>228</v>
      </c>
      <c r="C56" s="1" t="s">
        <v>17</v>
      </c>
      <c r="D56" s="1" t="s">
        <v>229</v>
      </c>
      <c r="E56" s="37">
        <v>22899</v>
      </c>
      <c r="F56" s="1" t="s">
        <v>19</v>
      </c>
      <c r="G56" s="37" t="s">
        <v>810</v>
      </c>
      <c r="H56" s="1">
        <v>841</v>
      </c>
      <c r="I56" s="1" t="s">
        <v>230</v>
      </c>
      <c r="J56" s="1"/>
      <c r="K56" s="4"/>
      <c r="L56" s="44" t="s">
        <v>642</v>
      </c>
      <c r="M56" s="14"/>
      <c r="N56" s="1"/>
      <c r="O56" s="1"/>
      <c r="P56" s="1"/>
      <c r="Q56" s="29"/>
      <c r="R56" s="2"/>
      <c r="S56" s="3"/>
    </row>
    <row r="57" spans="1:19" x14ac:dyDescent="0.2">
      <c r="A57" s="1" t="s">
        <v>231</v>
      </c>
      <c r="B57" s="1" t="s">
        <v>232</v>
      </c>
      <c r="C57" s="1" t="s">
        <v>17</v>
      </c>
      <c r="D57" s="1" t="s">
        <v>233</v>
      </c>
      <c r="E57" s="37">
        <v>27237</v>
      </c>
      <c r="F57" s="1" t="s">
        <v>19</v>
      </c>
      <c r="G57" s="37" t="s">
        <v>811</v>
      </c>
      <c r="H57" s="1">
        <v>709</v>
      </c>
      <c r="I57" s="1" t="s">
        <v>234</v>
      </c>
      <c r="J57" s="1" t="s">
        <v>36</v>
      </c>
      <c r="K57" s="4"/>
      <c r="L57" s="44" t="s">
        <v>643</v>
      </c>
      <c r="M57" s="14"/>
      <c r="N57" s="1"/>
      <c r="O57" s="1"/>
      <c r="P57" s="1"/>
      <c r="Q57" s="29"/>
      <c r="R57" s="2"/>
      <c r="S57" s="3"/>
    </row>
    <row r="58" spans="1:19" x14ac:dyDescent="0.2">
      <c r="A58" s="1" t="s">
        <v>235</v>
      </c>
      <c r="B58" s="1" t="s">
        <v>236</v>
      </c>
      <c r="C58" s="1" t="s">
        <v>17</v>
      </c>
      <c r="D58" s="1" t="s">
        <v>237</v>
      </c>
      <c r="E58" s="37">
        <v>9828</v>
      </c>
      <c r="F58" s="1" t="s">
        <v>19</v>
      </c>
      <c r="G58" s="37" t="s">
        <v>812</v>
      </c>
      <c r="H58" s="1">
        <v>2063</v>
      </c>
      <c r="I58" s="1" t="s">
        <v>238</v>
      </c>
      <c r="J58" s="1" t="s">
        <v>36</v>
      </c>
      <c r="K58" s="4"/>
      <c r="L58" s="44" t="s">
        <v>644</v>
      </c>
      <c r="M58" s="14"/>
      <c r="N58" s="1"/>
      <c r="O58" s="1"/>
      <c r="P58" s="19"/>
      <c r="Q58" s="29"/>
      <c r="R58" s="2"/>
      <c r="S58" s="3"/>
    </row>
    <row r="59" spans="1:19" x14ac:dyDescent="0.2">
      <c r="A59" s="1" t="s">
        <v>239</v>
      </c>
      <c r="B59" s="1" t="s">
        <v>240</v>
      </c>
      <c r="C59" s="1" t="s">
        <v>17</v>
      </c>
      <c r="D59" s="1" t="s">
        <v>241</v>
      </c>
      <c r="E59" s="37">
        <v>23370</v>
      </c>
      <c r="F59" s="1" t="s">
        <v>19</v>
      </c>
      <c r="G59" s="37" t="s">
        <v>813</v>
      </c>
      <c r="H59" s="1">
        <v>1015</v>
      </c>
      <c r="I59" s="1" t="s">
        <v>242</v>
      </c>
      <c r="J59" s="1"/>
      <c r="K59" s="4" t="s">
        <v>730</v>
      </c>
      <c r="L59" s="44" t="s">
        <v>645</v>
      </c>
      <c r="M59" s="14"/>
      <c r="N59" s="1"/>
      <c r="O59" s="1"/>
      <c r="P59" s="1"/>
      <c r="Q59" s="29"/>
      <c r="R59" s="2"/>
      <c r="S59" s="3"/>
    </row>
    <row r="60" spans="1:19" x14ac:dyDescent="0.2">
      <c r="A60" s="1" t="s">
        <v>243</v>
      </c>
      <c r="B60" s="1" t="s">
        <v>244</v>
      </c>
      <c r="C60" s="1" t="s">
        <v>17</v>
      </c>
      <c r="D60" s="1" t="s">
        <v>245</v>
      </c>
      <c r="E60" s="37">
        <v>128272</v>
      </c>
      <c r="F60" s="1" t="s">
        <v>19</v>
      </c>
      <c r="G60" s="37" t="s">
        <v>814</v>
      </c>
      <c r="H60" s="1">
        <v>802</v>
      </c>
      <c r="I60" s="1" t="s">
        <v>246</v>
      </c>
      <c r="J60" s="1"/>
      <c r="K60" s="4"/>
      <c r="L60" s="44" t="s">
        <v>646</v>
      </c>
      <c r="M60" s="14"/>
      <c r="N60" s="1"/>
      <c r="O60" s="1"/>
      <c r="P60" s="1"/>
      <c r="Q60" s="29"/>
      <c r="R60" s="2"/>
      <c r="S60" s="3"/>
    </row>
    <row r="61" spans="1:19" x14ac:dyDescent="0.2">
      <c r="A61" s="1" t="s">
        <v>247</v>
      </c>
      <c r="B61" s="1" t="s">
        <v>248</v>
      </c>
      <c r="C61" s="1" t="s">
        <v>17</v>
      </c>
      <c r="D61" s="1" t="s">
        <v>249</v>
      </c>
      <c r="E61" s="37">
        <v>115557</v>
      </c>
      <c r="F61" s="1" t="s">
        <v>19</v>
      </c>
      <c r="G61" s="37" t="s">
        <v>815</v>
      </c>
      <c r="H61" s="1">
        <v>580</v>
      </c>
      <c r="I61" s="1" t="s">
        <v>250</v>
      </c>
      <c r="J61" s="1" t="s">
        <v>251</v>
      </c>
      <c r="K61" s="4"/>
      <c r="L61" s="44" t="s">
        <v>647</v>
      </c>
      <c r="M61" s="14"/>
      <c r="N61" s="1"/>
      <c r="O61" s="1"/>
      <c r="P61" s="1"/>
      <c r="Q61" s="29"/>
      <c r="R61" s="2"/>
      <c r="S61" s="3"/>
    </row>
    <row r="62" spans="1:19" x14ac:dyDescent="0.2">
      <c r="A62" s="1" t="s">
        <v>252</v>
      </c>
      <c r="B62" s="1" t="s">
        <v>253</v>
      </c>
      <c r="C62" s="1" t="s">
        <v>17</v>
      </c>
      <c r="D62" s="1" t="s">
        <v>254</v>
      </c>
      <c r="E62" s="37">
        <v>26084</v>
      </c>
      <c r="F62" s="1" t="s">
        <v>19</v>
      </c>
      <c r="G62" s="37" t="s">
        <v>816</v>
      </c>
      <c r="H62" s="1">
        <v>871</v>
      </c>
      <c r="I62" s="1" t="s">
        <v>255</v>
      </c>
      <c r="J62" s="1"/>
      <c r="K62" s="4"/>
      <c r="L62" s="44" t="s">
        <v>648</v>
      </c>
      <c r="M62" s="14"/>
      <c r="N62" s="1"/>
      <c r="O62" s="1"/>
      <c r="P62" s="1"/>
      <c r="Q62" s="29"/>
      <c r="R62" s="2"/>
      <c r="S62" s="3"/>
    </row>
    <row r="63" spans="1:19" x14ac:dyDescent="0.2">
      <c r="A63" s="1" t="s">
        <v>256</v>
      </c>
      <c r="B63" s="1" t="s">
        <v>257</v>
      </c>
      <c r="C63" s="1" t="s">
        <v>17</v>
      </c>
      <c r="D63" s="1" t="s">
        <v>258</v>
      </c>
      <c r="E63" s="37">
        <v>64283</v>
      </c>
      <c r="F63" s="1" t="s">
        <v>19</v>
      </c>
      <c r="G63" s="37" t="s">
        <v>817</v>
      </c>
      <c r="H63" s="1">
        <v>1731</v>
      </c>
      <c r="I63" s="1" t="s">
        <v>259</v>
      </c>
      <c r="J63" s="1" t="s">
        <v>36</v>
      </c>
      <c r="K63" s="4"/>
      <c r="L63" s="44" t="s">
        <v>649</v>
      </c>
      <c r="M63" s="14"/>
      <c r="N63" s="1"/>
      <c r="O63" s="1"/>
      <c r="P63" s="1"/>
      <c r="Q63" s="29"/>
      <c r="R63" s="2"/>
      <c r="S63" s="1"/>
    </row>
    <row r="64" spans="1:19" x14ac:dyDescent="0.2">
      <c r="A64" s="1" t="s">
        <v>260</v>
      </c>
      <c r="B64" s="1" t="s">
        <v>261</v>
      </c>
      <c r="C64" s="1" t="s">
        <v>17</v>
      </c>
      <c r="D64" s="1" t="s">
        <v>262</v>
      </c>
      <c r="E64" s="37">
        <v>84904</v>
      </c>
      <c r="F64" s="1" t="s">
        <v>19</v>
      </c>
      <c r="G64" s="37" t="s">
        <v>818</v>
      </c>
      <c r="H64" s="1">
        <v>335</v>
      </c>
      <c r="I64" s="1" t="s">
        <v>263</v>
      </c>
      <c r="J64" s="1"/>
      <c r="K64" s="4"/>
      <c r="L64" s="44" t="s">
        <v>650</v>
      </c>
      <c r="M64" s="14"/>
      <c r="N64" s="1"/>
      <c r="O64" s="1"/>
      <c r="P64" s="1"/>
      <c r="Q64" s="29"/>
      <c r="R64" s="2"/>
      <c r="S64" s="3"/>
    </row>
    <row r="65" spans="1:19" x14ac:dyDescent="0.2">
      <c r="A65" s="1" t="s">
        <v>264</v>
      </c>
      <c r="B65" s="1" t="s">
        <v>265</v>
      </c>
      <c r="C65" s="1" t="s">
        <v>17</v>
      </c>
      <c r="D65" s="1" t="s">
        <v>266</v>
      </c>
      <c r="E65" s="37">
        <v>55701</v>
      </c>
      <c r="F65" s="1" t="s">
        <v>19</v>
      </c>
      <c r="G65" s="37" t="s">
        <v>819</v>
      </c>
      <c r="H65" s="1">
        <v>1519</v>
      </c>
      <c r="I65" s="1" t="s">
        <v>267</v>
      </c>
      <c r="J65" s="1" t="s">
        <v>36</v>
      </c>
      <c r="K65" s="4"/>
      <c r="L65" s="44" t="s">
        <v>651</v>
      </c>
      <c r="M65" s="14"/>
      <c r="N65" s="16"/>
      <c r="O65" s="14"/>
      <c r="P65" s="1"/>
      <c r="Q65" s="29"/>
      <c r="R65" s="2"/>
      <c r="S65" s="3"/>
    </row>
    <row r="66" spans="1:19" x14ac:dyDescent="0.2">
      <c r="A66" s="1" t="s">
        <v>268</v>
      </c>
      <c r="B66" s="1" t="s">
        <v>269</v>
      </c>
      <c r="C66" s="1" t="s">
        <v>10</v>
      </c>
      <c r="D66" s="1" t="s">
        <v>270</v>
      </c>
      <c r="E66" s="37">
        <v>613</v>
      </c>
      <c r="F66" s="1" t="s">
        <v>19</v>
      </c>
      <c r="G66" s="37" t="s">
        <v>820</v>
      </c>
      <c r="H66" s="1">
        <v>1271</v>
      </c>
      <c r="I66" s="1" t="s">
        <v>271</v>
      </c>
      <c r="J66" s="1"/>
      <c r="K66" s="4"/>
      <c r="L66" s="44" t="s">
        <v>652</v>
      </c>
      <c r="M66" s="14"/>
      <c r="N66" s="1"/>
      <c r="O66" s="14"/>
      <c r="P66" s="13"/>
      <c r="Q66" s="29"/>
      <c r="R66" s="2"/>
      <c r="S66" s="3"/>
    </row>
    <row r="67" spans="1:19" x14ac:dyDescent="0.2">
      <c r="A67" s="1" t="s">
        <v>272</v>
      </c>
      <c r="B67" s="1" t="s">
        <v>273</v>
      </c>
      <c r="C67" s="1" t="s">
        <v>28</v>
      </c>
      <c r="D67" s="1" t="s">
        <v>274</v>
      </c>
      <c r="E67" s="37">
        <v>1123</v>
      </c>
      <c r="F67" s="1" t="s">
        <v>19</v>
      </c>
      <c r="G67" s="37" t="s">
        <v>821</v>
      </c>
      <c r="H67" s="1">
        <v>459</v>
      </c>
      <c r="I67" s="1" t="s">
        <v>275</v>
      </c>
      <c r="J67" s="1"/>
      <c r="K67" s="4" t="s">
        <v>276</v>
      </c>
      <c r="L67" s="44" t="s">
        <v>653</v>
      </c>
      <c r="M67" s="14"/>
      <c r="N67" s="1"/>
      <c r="O67" s="1"/>
      <c r="P67" s="1"/>
      <c r="Q67" s="29"/>
      <c r="R67" s="2"/>
      <c r="S67" s="3"/>
    </row>
    <row r="68" spans="1:19" x14ac:dyDescent="0.2">
      <c r="A68" s="1" t="s">
        <v>277</v>
      </c>
      <c r="B68" s="1" t="s">
        <v>278</v>
      </c>
      <c r="C68" s="1" t="s">
        <v>28</v>
      </c>
      <c r="D68" s="1" t="s">
        <v>279</v>
      </c>
      <c r="E68" s="37">
        <v>1124</v>
      </c>
      <c r="F68" s="1" t="s">
        <v>19</v>
      </c>
      <c r="G68" s="37" t="s">
        <v>822</v>
      </c>
      <c r="H68" s="1">
        <v>468</v>
      </c>
      <c r="I68" s="1" t="s">
        <v>280</v>
      </c>
      <c r="J68" s="1"/>
      <c r="K68" s="4"/>
      <c r="L68" s="44" t="s">
        <v>654</v>
      </c>
      <c r="M68" s="14"/>
      <c r="N68" s="1"/>
      <c r="O68" s="1"/>
      <c r="P68" s="1"/>
      <c r="Q68" s="29"/>
      <c r="R68" s="2"/>
      <c r="S68" s="3"/>
    </row>
    <row r="69" spans="1:19" x14ac:dyDescent="0.2">
      <c r="A69" s="1" t="s">
        <v>281</v>
      </c>
      <c r="B69" s="1" t="s">
        <v>282</v>
      </c>
      <c r="C69" s="1" t="s">
        <v>34</v>
      </c>
      <c r="D69" s="1" t="s">
        <v>283</v>
      </c>
      <c r="E69" s="37">
        <v>55635</v>
      </c>
      <c r="F69" s="1" t="s">
        <v>12</v>
      </c>
      <c r="G69" s="37" t="s">
        <v>758</v>
      </c>
      <c r="H69" s="1">
        <v>804</v>
      </c>
      <c r="I69" s="1" t="s">
        <v>284</v>
      </c>
      <c r="J69" s="1"/>
      <c r="K69" s="4"/>
      <c r="L69" s="44" t="s">
        <v>655</v>
      </c>
      <c r="M69" s="14"/>
      <c r="N69" s="1"/>
      <c r="O69" s="1"/>
      <c r="P69" s="1"/>
      <c r="Q69" s="29"/>
      <c r="R69" s="2"/>
      <c r="S69" s="3"/>
    </row>
    <row r="70" spans="1:19" x14ac:dyDescent="0.2">
      <c r="A70" s="1" t="s">
        <v>285</v>
      </c>
      <c r="B70" s="1" t="s">
        <v>286</v>
      </c>
      <c r="C70" s="1" t="s">
        <v>34</v>
      </c>
      <c r="D70" s="1" t="s">
        <v>287</v>
      </c>
      <c r="E70" s="37">
        <v>55789</v>
      </c>
      <c r="F70" s="1" t="s">
        <v>19</v>
      </c>
      <c r="G70" s="37" t="s">
        <v>823</v>
      </c>
      <c r="H70" s="1">
        <v>529</v>
      </c>
      <c r="I70" s="1" t="s">
        <v>288</v>
      </c>
      <c r="J70" s="1"/>
      <c r="K70" s="4"/>
      <c r="L70" s="44" t="s">
        <v>656</v>
      </c>
      <c r="M70" s="14"/>
      <c r="N70" s="1"/>
      <c r="O70" s="1"/>
      <c r="P70" s="1"/>
      <c r="Q70" s="29"/>
      <c r="R70" s="2"/>
      <c r="S70" s="3"/>
    </row>
    <row r="71" spans="1:19" x14ac:dyDescent="0.2">
      <c r="A71" s="1" t="s">
        <v>289</v>
      </c>
      <c r="B71" s="1" t="s">
        <v>290</v>
      </c>
      <c r="C71" s="1" t="s">
        <v>28</v>
      </c>
      <c r="D71" s="1" t="s">
        <v>291</v>
      </c>
      <c r="E71" s="37">
        <v>10395</v>
      </c>
      <c r="F71" s="1" t="s">
        <v>19</v>
      </c>
      <c r="G71" s="37" t="s">
        <v>824</v>
      </c>
      <c r="H71" s="1">
        <v>1528</v>
      </c>
      <c r="I71" s="1" t="s">
        <v>292</v>
      </c>
      <c r="J71" s="1"/>
      <c r="K71" s="4"/>
      <c r="L71" s="44" t="s">
        <v>657</v>
      </c>
      <c r="M71" s="14"/>
      <c r="N71" s="19"/>
      <c r="O71" s="1"/>
      <c r="P71" s="19"/>
      <c r="Q71" s="29"/>
      <c r="R71" s="2"/>
      <c r="S71" s="3"/>
    </row>
    <row r="72" spans="1:19" x14ac:dyDescent="0.2">
      <c r="A72" s="1" t="s">
        <v>293</v>
      </c>
      <c r="B72" s="1" t="s">
        <v>294</v>
      </c>
      <c r="C72" s="1" t="s">
        <v>17</v>
      </c>
      <c r="D72" s="1" t="s">
        <v>295</v>
      </c>
      <c r="E72" s="37">
        <v>23268</v>
      </c>
      <c r="F72" s="1" t="s">
        <v>19</v>
      </c>
      <c r="G72" s="37" t="s">
        <v>825</v>
      </c>
      <c r="H72" s="1">
        <v>1577</v>
      </c>
      <c r="I72" s="1" t="s">
        <v>296</v>
      </c>
      <c r="J72" s="1"/>
      <c r="K72" s="4"/>
      <c r="L72" s="44" t="s">
        <v>658</v>
      </c>
      <c r="M72" s="14"/>
      <c r="N72" s="1"/>
      <c r="O72" s="1"/>
      <c r="P72" s="1"/>
      <c r="Q72" s="29"/>
      <c r="R72" s="2"/>
      <c r="S72" s="3"/>
    </row>
    <row r="73" spans="1:19" x14ac:dyDescent="0.2">
      <c r="A73" s="1" t="s">
        <v>297</v>
      </c>
      <c r="B73" s="1" t="s">
        <v>581</v>
      </c>
      <c r="C73" s="1" t="s">
        <v>17</v>
      </c>
      <c r="D73" s="1" t="s">
        <v>298</v>
      </c>
      <c r="E73" s="37">
        <v>1793</v>
      </c>
      <c r="F73" s="1" t="s">
        <v>19</v>
      </c>
      <c r="G73" s="37" t="s">
        <v>826</v>
      </c>
      <c r="H73" s="1">
        <v>1865</v>
      </c>
      <c r="I73" s="1" t="s">
        <v>299</v>
      </c>
      <c r="J73" s="1" t="s">
        <v>300</v>
      </c>
      <c r="K73" s="45" t="s">
        <v>301</v>
      </c>
      <c r="L73" s="44" t="s">
        <v>659</v>
      </c>
      <c r="M73" s="14"/>
      <c r="N73" s="1"/>
      <c r="O73" s="14"/>
      <c r="P73" s="19"/>
      <c r="Q73" s="29"/>
      <c r="R73" s="2"/>
      <c r="S73" s="3"/>
    </row>
    <row r="74" spans="1:19" x14ac:dyDescent="0.2">
      <c r="A74" s="1" t="s">
        <v>302</v>
      </c>
      <c r="B74" s="1" t="s">
        <v>303</v>
      </c>
      <c r="C74" s="1" t="s">
        <v>17</v>
      </c>
      <c r="D74" s="1" t="s">
        <v>304</v>
      </c>
      <c r="E74" s="37">
        <v>1794</v>
      </c>
      <c r="F74" s="1" t="s">
        <v>19</v>
      </c>
      <c r="G74" s="37" t="s">
        <v>827</v>
      </c>
      <c r="H74" s="1">
        <v>1830</v>
      </c>
      <c r="I74" s="1" t="s">
        <v>305</v>
      </c>
      <c r="J74" s="1" t="s">
        <v>36</v>
      </c>
      <c r="K74" s="4"/>
      <c r="L74" s="44" t="s">
        <v>660</v>
      </c>
      <c r="M74" s="14"/>
      <c r="N74" s="1"/>
      <c r="O74" s="1"/>
      <c r="P74" s="1"/>
      <c r="Q74" s="29"/>
      <c r="R74" s="2"/>
      <c r="S74" s="3"/>
    </row>
    <row r="75" spans="1:19" x14ac:dyDescent="0.2">
      <c r="A75" s="1" t="s">
        <v>306</v>
      </c>
      <c r="B75" s="1" t="s">
        <v>307</v>
      </c>
      <c r="C75" s="1" t="s">
        <v>17</v>
      </c>
      <c r="D75" s="1" t="s">
        <v>308</v>
      </c>
      <c r="E75" s="37">
        <v>1795</v>
      </c>
      <c r="F75" s="1" t="s">
        <v>19</v>
      </c>
      <c r="G75" s="37" t="s">
        <v>828</v>
      </c>
      <c r="H75" s="1">
        <v>2030</v>
      </c>
      <c r="I75" s="1" t="s">
        <v>309</v>
      </c>
      <c r="J75" s="1" t="s">
        <v>36</v>
      </c>
      <c r="K75" s="4"/>
      <c r="L75" s="44" t="s">
        <v>661</v>
      </c>
      <c r="M75" s="14"/>
      <c r="N75" s="16"/>
      <c r="O75" s="1"/>
      <c r="P75" s="1"/>
      <c r="Q75" s="29"/>
      <c r="R75" s="2"/>
      <c r="S75" s="3"/>
    </row>
    <row r="76" spans="1:19" x14ac:dyDescent="0.2">
      <c r="A76" s="1" t="s">
        <v>310</v>
      </c>
      <c r="B76" s="1" t="s">
        <v>311</v>
      </c>
      <c r="C76" s="1" t="s">
        <v>17</v>
      </c>
      <c r="D76" s="1" t="s">
        <v>312</v>
      </c>
      <c r="E76" s="37">
        <v>9732</v>
      </c>
      <c r="F76" s="1" t="s">
        <v>19</v>
      </c>
      <c r="G76" s="37" t="s">
        <v>829</v>
      </c>
      <c r="H76" s="1">
        <v>2011</v>
      </c>
      <c r="I76" s="1" t="s">
        <v>313</v>
      </c>
      <c r="J76" s="1"/>
      <c r="K76" s="4" t="s">
        <v>741</v>
      </c>
      <c r="L76" s="44" t="s">
        <v>662</v>
      </c>
      <c r="M76" s="14"/>
      <c r="N76" s="1"/>
      <c r="O76" s="1"/>
      <c r="P76" s="1"/>
      <c r="Q76" s="29"/>
      <c r="R76" s="2"/>
      <c r="S76" s="3"/>
    </row>
    <row r="77" spans="1:19" x14ac:dyDescent="0.2">
      <c r="A77" s="1" t="s">
        <v>314</v>
      </c>
      <c r="B77" s="1" t="s">
        <v>315</v>
      </c>
      <c r="C77" s="1" t="s">
        <v>17</v>
      </c>
      <c r="D77" s="1" t="s">
        <v>316</v>
      </c>
      <c r="E77" s="37">
        <v>80005</v>
      </c>
      <c r="F77" s="1" t="s">
        <v>19</v>
      </c>
      <c r="G77" s="37" t="s">
        <v>830</v>
      </c>
      <c r="H77" s="1">
        <v>1870</v>
      </c>
      <c r="I77" s="1" t="s">
        <v>317</v>
      </c>
      <c r="J77" s="1" t="s">
        <v>36</v>
      </c>
      <c r="K77" s="4"/>
      <c r="L77" s="44" t="s">
        <v>663</v>
      </c>
      <c r="M77" s="14"/>
      <c r="N77" s="19"/>
      <c r="O77" s="1"/>
      <c r="P77" s="1"/>
      <c r="Q77" s="29"/>
      <c r="R77" s="2"/>
      <c r="S77" s="3"/>
    </row>
    <row r="78" spans="1:19" x14ac:dyDescent="0.2">
      <c r="A78" s="1" t="s">
        <v>318</v>
      </c>
      <c r="B78" s="1" t="s">
        <v>319</v>
      </c>
      <c r="C78" s="1" t="s">
        <v>17</v>
      </c>
      <c r="D78" s="1" t="s">
        <v>320</v>
      </c>
      <c r="E78" s="37">
        <v>57572</v>
      </c>
      <c r="F78" s="1" t="s">
        <v>19</v>
      </c>
      <c r="G78" s="37" t="s">
        <v>831</v>
      </c>
      <c r="H78" s="1">
        <v>2047</v>
      </c>
      <c r="I78" s="1" t="s">
        <v>321</v>
      </c>
      <c r="J78" s="1" t="s">
        <v>36</v>
      </c>
      <c r="K78" s="4"/>
      <c r="L78" s="44" t="s">
        <v>664</v>
      </c>
      <c r="M78" s="14"/>
      <c r="N78" s="1"/>
      <c r="O78" s="1"/>
      <c r="P78" s="1"/>
      <c r="Q78" s="29"/>
      <c r="R78" s="2"/>
      <c r="S78" s="3"/>
    </row>
    <row r="79" spans="1:19" x14ac:dyDescent="0.2">
      <c r="A79" s="1" t="s">
        <v>322</v>
      </c>
      <c r="B79" s="1" t="s">
        <v>323</v>
      </c>
      <c r="C79" s="1" t="s">
        <v>17</v>
      </c>
      <c r="D79" s="1" t="s">
        <v>324</v>
      </c>
      <c r="E79" s="37">
        <v>85440</v>
      </c>
      <c r="F79" s="1" t="s">
        <v>19</v>
      </c>
      <c r="G79" s="37" t="s">
        <v>832</v>
      </c>
      <c r="H79" s="1">
        <v>6338</v>
      </c>
      <c r="I79" s="1" t="s">
        <v>888</v>
      </c>
      <c r="J79" s="1" t="s">
        <v>36</v>
      </c>
      <c r="K79" s="45" t="s">
        <v>889</v>
      </c>
      <c r="L79" s="46" t="s">
        <v>665</v>
      </c>
      <c r="M79" s="14"/>
      <c r="N79" s="16"/>
      <c r="O79" s="1"/>
      <c r="P79" s="16"/>
      <c r="Q79" s="29"/>
      <c r="R79" s="2"/>
      <c r="S79" s="3"/>
    </row>
    <row r="80" spans="1:19" x14ac:dyDescent="0.2">
      <c r="A80" s="1" t="s">
        <v>325</v>
      </c>
      <c r="B80" s="1" t="s">
        <v>326</v>
      </c>
      <c r="C80" s="1" t="s">
        <v>17</v>
      </c>
      <c r="D80" s="1" t="s">
        <v>327</v>
      </c>
      <c r="E80" s="37">
        <v>81704</v>
      </c>
      <c r="F80" s="1" t="s">
        <v>19</v>
      </c>
      <c r="G80" s="37" t="s">
        <v>833</v>
      </c>
      <c r="H80" s="1">
        <v>2031</v>
      </c>
      <c r="I80" s="1" t="s">
        <v>328</v>
      </c>
      <c r="J80" s="1" t="s">
        <v>36</v>
      </c>
      <c r="K80" s="4" t="s">
        <v>733</v>
      </c>
      <c r="L80" s="44" t="s">
        <v>666</v>
      </c>
      <c r="M80" s="14"/>
      <c r="N80" s="16"/>
      <c r="O80" s="1"/>
      <c r="P80" s="16"/>
      <c r="Q80" s="29"/>
      <c r="R80" s="2"/>
      <c r="S80" s="3"/>
    </row>
    <row r="81" spans="1:19" x14ac:dyDescent="0.2">
      <c r="A81" s="1" t="s">
        <v>329</v>
      </c>
      <c r="B81" s="1" t="s">
        <v>330</v>
      </c>
      <c r="C81" s="1" t="s">
        <v>17</v>
      </c>
      <c r="D81" s="1" t="s">
        <v>331</v>
      </c>
      <c r="E81" s="37">
        <v>23348</v>
      </c>
      <c r="F81" s="1" t="s">
        <v>19</v>
      </c>
      <c r="G81" s="38" t="s">
        <v>834</v>
      </c>
      <c r="H81" s="1">
        <v>2069</v>
      </c>
      <c r="I81" s="1" t="s">
        <v>332</v>
      </c>
      <c r="J81" s="1"/>
      <c r="K81" s="4"/>
      <c r="L81" s="44" t="s">
        <v>667</v>
      </c>
      <c r="M81" s="14"/>
      <c r="N81" s="1"/>
      <c r="O81" s="1"/>
      <c r="P81" s="1"/>
      <c r="Q81" s="29"/>
      <c r="R81" s="2"/>
      <c r="S81" s="3"/>
    </row>
    <row r="82" spans="1:19" x14ac:dyDescent="0.2">
      <c r="A82" s="5" t="s">
        <v>333</v>
      </c>
      <c r="B82" s="1" t="s">
        <v>334</v>
      </c>
      <c r="C82" s="5" t="s">
        <v>17</v>
      </c>
      <c r="D82" s="5" t="s">
        <v>335</v>
      </c>
      <c r="E82" s="37">
        <v>55619</v>
      </c>
      <c r="F82" s="5" t="s">
        <v>12</v>
      </c>
      <c r="G82" s="39" t="s">
        <v>881</v>
      </c>
      <c r="H82" s="5">
        <v>2150</v>
      </c>
      <c r="I82" s="1" t="s">
        <v>336</v>
      </c>
      <c r="J82" s="1" t="s">
        <v>337</v>
      </c>
      <c r="K82" s="4"/>
      <c r="L82" s="44" t="s">
        <v>668</v>
      </c>
      <c r="M82" s="20"/>
      <c r="Q82" s="29"/>
      <c r="R82" s="2"/>
      <c r="S82" s="3"/>
    </row>
    <row r="83" spans="1:19" x14ac:dyDescent="0.2">
      <c r="A83" s="5" t="s">
        <v>338</v>
      </c>
      <c r="B83" s="1" t="s">
        <v>339</v>
      </c>
      <c r="C83" s="5" t="s">
        <v>17</v>
      </c>
      <c r="D83" s="5" t="s">
        <v>340</v>
      </c>
      <c r="E83" s="37">
        <v>139818</v>
      </c>
      <c r="F83" s="5" t="s">
        <v>12</v>
      </c>
      <c r="G83" s="37" t="s">
        <v>759</v>
      </c>
      <c r="H83" s="5">
        <v>2073</v>
      </c>
      <c r="I83" s="1" t="s">
        <v>341</v>
      </c>
      <c r="J83" s="5" t="s">
        <v>342</v>
      </c>
      <c r="K83" s="4" t="s">
        <v>584</v>
      </c>
      <c r="L83" s="46" t="s">
        <v>669</v>
      </c>
      <c r="M83" s="20"/>
      <c r="Q83" s="29"/>
      <c r="R83" s="2"/>
      <c r="S83" s="3"/>
    </row>
    <row r="84" spans="1:19" x14ac:dyDescent="0.2">
      <c r="A84" s="5" t="s">
        <v>343</v>
      </c>
      <c r="B84" s="1" t="s">
        <v>344</v>
      </c>
      <c r="C84" s="5" t="s">
        <v>17</v>
      </c>
      <c r="D84" s="5" t="s">
        <v>345</v>
      </c>
      <c r="E84" s="37">
        <v>1894</v>
      </c>
      <c r="F84" s="5" t="s">
        <v>12</v>
      </c>
      <c r="G84" s="37" t="s">
        <v>760</v>
      </c>
      <c r="H84" s="5">
        <v>913</v>
      </c>
      <c r="I84" s="5" t="s">
        <v>346</v>
      </c>
      <c r="J84" s="1"/>
      <c r="K84" s="4"/>
      <c r="L84" s="44" t="s">
        <v>670</v>
      </c>
      <c r="M84" s="20"/>
      <c r="N84" s="21"/>
      <c r="Q84" s="29"/>
      <c r="R84" s="2"/>
      <c r="S84" s="3"/>
    </row>
    <row r="85" spans="1:19" x14ac:dyDescent="0.2">
      <c r="A85" s="5" t="s">
        <v>347</v>
      </c>
      <c r="B85" s="1" t="s">
        <v>348</v>
      </c>
      <c r="C85" s="5" t="s">
        <v>17</v>
      </c>
      <c r="D85" s="5" t="s">
        <v>349</v>
      </c>
      <c r="E85" s="37">
        <v>345930</v>
      </c>
      <c r="F85" s="5" t="s">
        <v>19</v>
      </c>
      <c r="G85" s="39" t="s">
        <v>835</v>
      </c>
      <c r="H85" s="5">
        <v>904</v>
      </c>
      <c r="I85" s="5" t="s">
        <v>350</v>
      </c>
      <c r="J85" s="1" t="s">
        <v>36</v>
      </c>
      <c r="K85" s="4"/>
      <c r="L85" s="44" t="s">
        <v>671</v>
      </c>
      <c r="M85" s="20"/>
      <c r="N85" s="1"/>
      <c r="O85" s="1"/>
      <c r="P85" s="1"/>
      <c r="Q85" s="29"/>
      <c r="R85" s="2"/>
      <c r="S85" s="3"/>
    </row>
    <row r="86" spans="1:19" x14ac:dyDescent="0.2">
      <c r="A86" s="5" t="s">
        <v>351</v>
      </c>
      <c r="B86" s="5" t="s">
        <v>352</v>
      </c>
      <c r="C86" s="5" t="s">
        <v>28</v>
      </c>
      <c r="D86" s="5" t="s">
        <v>353</v>
      </c>
      <c r="E86" s="37">
        <v>10144</v>
      </c>
      <c r="F86" s="5" t="s">
        <v>19</v>
      </c>
      <c r="G86" s="39" t="s">
        <v>836</v>
      </c>
      <c r="H86" s="5">
        <v>1023</v>
      </c>
      <c r="I86" s="36" t="s">
        <v>885</v>
      </c>
      <c r="J86" s="1" t="s">
        <v>36</v>
      </c>
      <c r="K86" s="4"/>
      <c r="L86" s="44" t="s">
        <v>672</v>
      </c>
      <c r="M86" s="20"/>
      <c r="Q86" s="29"/>
      <c r="R86" s="2"/>
      <c r="S86" s="3"/>
    </row>
    <row r="87" spans="1:19" x14ac:dyDescent="0.2">
      <c r="A87" s="5" t="s">
        <v>354</v>
      </c>
      <c r="B87" s="5" t="s">
        <v>355</v>
      </c>
      <c r="C87" s="5" t="s">
        <v>34</v>
      </c>
      <c r="D87" s="5" t="s">
        <v>356</v>
      </c>
      <c r="E87" s="37">
        <v>51306</v>
      </c>
      <c r="F87" s="5" t="s">
        <v>19</v>
      </c>
      <c r="G87" s="39" t="s">
        <v>837</v>
      </c>
      <c r="H87" s="5">
        <v>915</v>
      </c>
      <c r="I87" s="1" t="s">
        <v>357</v>
      </c>
      <c r="J87" s="1"/>
      <c r="K87" s="4"/>
      <c r="L87" s="44" t="s">
        <v>673</v>
      </c>
      <c r="M87" s="20"/>
      <c r="Q87" s="29"/>
      <c r="R87" s="2"/>
      <c r="S87" s="3"/>
    </row>
    <row r="88" spans="1:19" x14ac:dyDescent="0.2">
      <c r="A88" s="5" t="s">
        <v>358</v>
      </c>
      <c r="B88" s="1" t="s">
        <v>359</v>
      </c>
      <c r="C88" s="5" t="s">
        <v>17</v>
      </c>
      <c r="D88" s="5" t="s">
        <v>360</v>
      </c>
      <c r="E88" s="37">
        <v>10160</v>
      </c>
      <c r="F88" s="5" t="s">
        <v>19</v>
      </c>
      <c r="G88" s="39" t="s">
        <v>891</v>
      </c>
      <c r="H88" s="5">
        <v>1076</v>
      </c>
      <c r="I88" s="1" t="s">
        <v>361</v>
      </c>
      <c r="J88" s="1"/>
      <c r="K88" s="4"/>
      <c r="L88" s="44" t="s">
        <v>674</v>
      </c>
      <c r="M88" s="20"/>
      <c r="Q88" s="29"/>
      <c r="R88" s="2"/>
      <c r="S88" s="3"/>
    </row>
    <row r="89" spans="1:19" x14ac:dyDescent="0.2">
      <c r="A89" s="5" t="s">
        <v>362</v>
      </c>
      <c r="B89" s="1" t="s">
        <v>363</v>
      </c>
      <c r="C89" s="5" t="s">
        <v>17</v>
      </c>
      <c r="D89" s="5" t="s">
        <v>364</v>
      </c>
      <c r="E89" s="37">
        <v>9855</v>
      </c>
      <c r="F89" s="5" t="s">
        <v>19</v>
      </c>
      <c r="G89" s="39" t="s">
        <v>838</v>
      </c>
      <c r="H89" s="5">
        <v>1054</v>
      </c>
      <c r="I89" s="5" t="s">
        <v>365</v>
      </c>
      <c r="J89" s="1"/>
      <c r="K89" s="4"/>
      <c r="L89" s="44" t="s">
        <v>675</v>
      </c>
      <c r="M89" s="20"/>
      <c r="Q89" s="29"/>
      <c r="R89" s="2"/>
      <c r="S89" s="3"/>
    </row>
    <row r="90" spans="1:19" x14ac:dyDescent="0.2">
      <c r="A90" s="5" t="s">
        <v>366</v>
      </c>
      <c r="B90" s="1" t="s">
        <v>367</v>
      </c>
      <c r="C90" s="5" t="s">
        <v>17</v>
      </c>
      <c r="D90" s="5" t="s">
        <v>368</v>
      </c>
      <c r="E90" s="37">
        <v>2245</v>
      </c>
      <c r="F90" s="5" t="s">
        <v>19</v>
      </c>
      <c r="G90" s="39" t="s">
        <v>839</v>
      </c>
      <c r="H90" s="5">
        <v>961</v>
      </c>
      <c r="I90" s="5" t="s">
        <v>369</v>
      </c>
      <c r="J90" s="1"/>
      <c r="K90" s="4"/>
      <c r="L90" s="44" t="s">
        <v>676</v>
      </c>
      <c r="M90" s="20"/>
      <c r="P90" s="13"/>
      <c r="Q90" s="29"/>
      <c r="R90" s="2"/>
      <c r="S90" s="3"/>
    </row>
    <row r="91" spans="1:19" x14ac:dyDescent="0.2">
      <c r="A91" s="5" t="s">
        <v>370</v>
      </c>
      <c r="B91" s="1" t="s">
        <v>371</v>
      </c>
      <c r="C91" s="5" t="s">
        <v>17</v>
      </c>
      <c r="D91" s="5" t="s">
        <v>372</v>
      </c>
      <c r="E91" s="37">
        <v>221472</v>
      </c>
      <c r="F91" s="5" t="s">
        <v>19</v>
      </c>
      <c r="G91" s="39" t="s">
        <v>840</v>
      </c>
      <c r="H91" s="5">
        <v>655</v>
      </c>
      <c r="I91" s="5" t="s">
        <v>373</v>
      </c>
      <c r="J91" s="1"/>
      <c r="K91" s="4"/>
      <c r="L91" s="44" t="s">
        <v>677</v>
      </c>
      <c r="M91" s="20"/>
      <c r="Q91" s="29"/>
      <c r="R91" s="2"/>
      <c r="S91" s="3"/>
    </row>
    <row r="92" spans="1:19" x14ac:dyDescent="0.2">
      <c r="A92" s="5" t="s">
        <v>374</v>
      </c>
      <c r="B92" s="1" t="s">
        <v>375</v>
      </c>
      <c r="C92" s="5" t="s">
        <v>17</v>
      </c>
      <c r="D92" s="5" t="s">
        <v>376</v>
      </c>
      <c r="E92" s="37">
        <v>89846</v>
      </c>
      <c r="F92" s="5" t="s">
        <v>19</v>
      </c>
      <c r="G92" s="39" t="s">
        <v>841</v>
      </c>
      <c r="H92" s="5">
        <v>725</v>
      </c>
      <c r="I92" s="5" t="s">
        <v>377</v>
      </c>
      <c r="J92" s="1"/>
      <c r="K92" s="4"/>
      <c r="L92" s="44" t="s">
        <v>678</v>
      </c>
      <c r="M92" s="20"/>
      <c r="Q92" s="29"/>
      <c r="R92" s="2"/>
      <c r="S92" s="3"/>
    </row>
    <row r="93" spans="1:19" x14ac:dyDescent="0.2">
      <c r="A93" s="5" t="s">
        <v>378</v>
      </c>
      <c r="B93" s="1" t="s">
        <v>379</v>
      </c>
      <c r="C93" s="5" t="s">
        <v>17</v>
      </c>
      <c r="D93" s="5" t="s">
        <v>380</v>
      </c>
      <c r="E93" s="37">
        <v>121512</v>
      </c>
      <c r="F93" s="5" t="s">
        <v>19</v>
      </c>
      <c r="G93" s="39" t="s">
        <v>842</v>
      </c>
      <c r="H93" s="5">
        <v>766</v>
      </c>
      <c r="I93" s="5" t="s">
        <v>381</v>
      </c>
      <c r="J93" s="1" t="s">
        <v>36</v>
      </c>
      <c r="K93" s="4"/>
      <c r="L93" s="44" t="s">
        <v>679</v>
      </c>
      <c r="M93" s="20"/>
      <c r="Q93" s="29"/>
      <c r="R93" s="2"/>
      <c r="S93" s="3"/>
    </row>
    <row r="94" spans="1:19" x14ac:dyDescent="0.2">
      <c r="A94" s="5" t="s">
        <v>382</v>
      </c>
      <c r="B94" s="1" t="s">
        <v>383</v>
      </c>
      <c r="C94" s="5" t="s">
        <v>17</v>
      </c>
      <c r="D94" s="5" t="s">
        <v>384</v>
      </c>
      <c r="E94" s="37">
        <v>152273</v>
      </c>
      <c r="F94" s="5" t="s">
        <v>19</v>
      </c>
      <c r="G94" s="39" t="s">
        <v>843</v>
      </c>
      <c r="H94" s="5">
        <v>1462</v>
      </c>
      <c r="I94" s="5" t="s">
        <v>385</v>
      </c>
      <c r="J94" s="1" t="s">
        <v>36</v>
      </c>
      <c r="K94" s="4"/>
      <c r="L94" s="44" t="s">
        <v>680</v>
      </c>
      <c r="M94" s="20"/>
      <c r="N94" s="1"/>
      <c r="P94" s="1"/>
      <c r="Q94" s="29"/>
      <c r="R94" s="2"/>
      <c r="S94" s="3"/>
    </row>
    <row r="95" spans="1:19" x14ac:dyDescent="0.2">
      <c r="A95" s="5" t="s">
        <v>386</v>
      </c>
      <c r="B95" s="1" t="s">
        <v>387</v>
      </c>
      <c r="C95" s="5" t="s">
        <v>17</v>
      </c>
      <c r="D95" s="5" t="s">
        <v>388</v>
      </c>
      <c r="E95" s="37">
        <v>55785</v>
      </c>
      <c r="F95" s="5" t="s">
        <v>19</v>
      </c>
      <c r="G95" s="39" t="s">
        <v>844</v>
      </c>
      <c r="H95" s="5">
        <v>1430</v>
      </c>
      <c r="I95" s="5" t="s">
        <v>389</v>
      </c>
      <c r="J95" s="1" t="s">
        <v>36</v>
      </c>
      <c r="K95" s="4"/>
      <c r="L95" s="44" t="s">
        <v>681</v>
      </c>
      <c r="M95" s="20"/>
      <c r="Q95" s="29"/>
      <c r="R95" s="2"/>
      <c r="S95" s="3"/>
    </row>
    <row r="96" spans="1:19" x14ac:dyDescent="0.2">
      <c r="A96" s="5" t="s">
        <v>390</v>
      </c>
      <c r="B96" s="1" t="s">
        <v>391</v>
      </c>
      <c r="C96" s="5" t="s">
        <v>28</v>
      </c>
      <c r="D96" s="5" t="s">
        <v>392</v>
      </c>
      <c r="E96" s="37">
        <v>51291</v>
      </c>
      <c r="F96" s="5" t="s">
        <v>19</v>
      </c>
      <c r="G96" s="39" t="s">
        <v>845</v>
      </c>
      <c r="H96" s="5">
        <v>970</v>
      </c>
      <c r="I96" s="1" t="s">
        <v>393</v>
      </c>
      <c r="J96" s="1"/>
      <c r="K96" s="4"/>
      <c r="L96" s="47" t="s">
        <v>729</v>
      </c>
      <c r="M96" s="20"/>
      <c r="Q96" s="29"/>
      <c r="R96" s="2"/>
      <c r="S96" s="3"/>
    </row>
    <row r="97" spans="1:19" x14ac:dyDescent="0.2">
      <c r="A97" s="5" t="s">
        <v>397</v>
      </c>
      <c r="B97" s="1" t="s">
        <v>398</v>
      </c>
      <c r="C97" s="5" t="s">
        <v>34</v>
      </c>
      <c r="D97" s="5" t="s">
        <v>399</v>
      </c>
      <c r="E97" s="37">
        <v>3633</v>
      </c>
      <c r="F97" s="5" t="s">
        <v>12</v>
      </c>
      <c r="G97" s="37" t="s">
        <v>761</v>
      </c>
      <c r="H97" s="5">
        <v>993</v>
      </c>
      <c r="I97" s="5" t="s">
        <v>400</v>
      </c>
      <c r="J97" s="1"/>
      <c r="K97" s="4"/>
      <c r="L97" s="44" t="s">
        <v>682</v>
      </c>
      <c r="M97" s="20"/>
      <c r="Q97" s="29"/>
      <c r="R97" s="2"/>
      <c r="S97" s="1"/>
    </row>
    <row r="98" spans="1:19" x14ac:dyDescent="0.2">
      <c r="A98" s="5" t="s">
        <v>401</v>
      </c>
      <c r="B98" s="1" t="s">
        <v>402</v>
      </c>
      <c r="C98" s="5" t="s">
        <v>17</v>
      </c>
      <c r="D98" s="5" t="s">
        <v>403</v>
      </c>
      <c r="E98" s="37">
        <v>6453</v>
      </c>
      <c r="F98" s="5" t="s">
        <v>19</v>
      </c>
      <c r="G98" s="39" t="s">
        <v>846</v>
      </c>
      <c r="H98" s="5">
        <v>1721</v>
      </c>
      <c r="I98" s="5" t="s">
        <v>404</v>
      </c>
      <c r="J98" s="1"/>
      <c r="K98" s="4"/>
      <c r="L98" s="44" t="s">
        <v>683</v>
      </c>
      <c r="M98" s="20"/>
      <c r="Q98" s="29"/>
      <c r="R98" s="2"/>
      <c r="S98" s="3"/>
    </row>
    <row r="99" spans="1:19" x14ac:dyDescent="0.2">
      <c r="A99" s="5" t="s">
        <v>405</v>
      </c>
      <c r="B99" s="1" t="s">
        <v>406</v>
      </c>
      <c r="C99" s="5" t="s">
        <v>17</v>
      </c>
      <c r="D99" s="5" t="s">
        <v>407</v>
      </c>
      <c r="E99" s="37">
        <v>50618</v>
      </c>
      <c r="F99" s="5" t="s">
        <v>19</v>
      </c>
      <c r="G99" s="39" t="s">
        <v>847</v>
      </c>
      <c r="H99" s="5">
        <v>1669</v>
      </c>
      <c r="I99" s="5" t="s">
        <v>408</v>
      </c>
      <c r="J99" s="1"/>
      <c r="K99" s="4" t="s">
        <v>730</v>
      </c>
      <c r="L99" s="44" t="s">
        <v>684</v>
      </c>
      <c r="M99" s="20"/>
      <c r="Q99" s="29"/>
      <c r="R99" s="2"/>
      <c r="S99" s="3"/>
    </row>
    <row r="100" spans="1:19" x14ac:dyDescent="0.2">
      <c r="A100" s="5" t="s">
        <v>409</v>
      </c>
      <c r="B100" s="5" t="s">
        <v>410</v>
      </c>
      <c r="C100" s="5" t="s">
        <v>17</v>
      </c>
      <c r="D100" s="5" t="s">
        <v>411</v>
      </c>
      <c r="E100" s="37">
        <v>8997</v>
      </c>
      <c r="F100" s="5" t="s">
        <v>412</v>
      </c>
      <c r="G100" s="37" t="s">
        <v>746</v>
      </c>
      <c r="H100" s="5">
        <v>2959</v>
      </c>
      <c r="I100" s="5" t="s">
        <v>413</v>
      </c>
      <c r="J100" s="1"/>
      <c r="K100" s="4"/>
      <c r="L100" s="44" t="s">
        <v>685</v>
      </c>
      <c r="M100" s="20"/>
      <c r="O100" s="20"/>
      <c r="Q100" s="29"/>
      <c r="R100" s="2"/>
      <c r="S100" s="3"/>
    </row>
    <row r="101" spans="1:19" x14ac:dyDescent="0.2">
      <c r="A101" s="5" t="s">
        <v>414</v>
      </c>
      <c r="B101" s="1" t="s">
        <v>415</v>
      </c>
      <c r="C101" s="5" t="s">
        <v>17</v>
      </c>
      <c r="D101" s="5" t="s">
        <v>416</v>
      </c>
      <c r="E101" s="37">
        <v>4168</v>
      </c>
      <c r="F101" s="5" t="s">
        <v>19</v>
      </c>
      <c r="G101" s="39" t="s">
        <v>848</v>
      </c>
      <c r="H101" s="5">
        <v>985</v>
      </c>
      <c r="I101" s="1" t="s">
        <v>417</v>
      </c>
      <c r="J101" s="1"/>
      <c r="K101" s="4" t="s">
        <v>733</v>
      </c>
      <c r="L101" s="44" t="s">
        <v>686</v>
      </c>
      <c r="M101" s="20"/>
      <c r="N101" s="22"/>
      <c r="Q101" s="29"/>
      <c r="R101" s="2"/>
      <c r="S101" s="3"/>
    </row>
    <row r="102" spans="1:19" x14ac:dyDescent="0.2">
      <c r="A102" s="5" t="s">
        <v>418</v>
      </c>
      <c r="B102" s="1" t="s">
        <v>419</v>
      </c>
      <c r="C102" s="5" t="s">
        <v>17</v>
      </c>
      <c r="D102" s="5" t="s">
        <v>420</v>
      </c>
      <c r="E102" s="37">
        <v>23263</v>
      </c>
      <c r="F102" s="5" t="s">
        <v>19</v>
      </c>
      <c r="G102" s="39" t="s">
        <v>849</v>
      </c>
      <c r="H102" s="5">
        <v>1182</v>
      </c>
      <c r="I102" s="5" t="s">
        <v>421</v>
      </c>
      <c r="J102" s="1" t="s">
        <v>36</v>
      </c>
      <c r="K102" s="4" t="s">
        <v>585</v>
      </c>
      <c r="L102" s="44" t="s">
        <v>687</v>
      </c>
      <c r="M102" s="20"/>
      <c r="N102" s="22"/>
      <c r="P102" s="22"/>
      <c r="Q102" s="29"/>
      <c r="R102" s="2"/>
      <c r="S102" s="3"/>
    </row>
    <row r="103" spans="1:19" x14ac:dyDescent="0.2">
      <c r="A103" s="5" t="s">
        <v>422</v>
      </c>
      <c r="B103" s="1" t="s">
        <v>423</v>
      </c>
      <c r="C103" s="5" t="s">
        <v>17</v>
      </c>
      <c r="D103" s="5" t="s">
        <v>424</v>
      </c>
      <c r="E103" s="37">
        <v>23101</v>
      </c>
      <c r="F103" s="5" t="s">
        <v>19</v>
      </c>
      <c r="G103" s="38" t="s">
        <v>850</v>
      </c>
      <c r="H103" s="5">
        <v>1114</v>
      </c>
      <c r="I103" s="5" t="s">
        <v>425</v>
      </c>
      <c r="J103" s="1" t="s">
        <v>36</v>
      </c>
      <c r="K103" s="4"/>
      <c r="L103" s="44" t="s">
        <v>688</v>
      </c>
      <c r="M103" s="20"/>
      <c r="Q103" s="29"/>
      <c r="R103" s="2"/>
      <c r="S103" s="3"/>
    </row>
    <row r="104" spans="1:19" x14ac:dyDescent="0.2">
      <c r="A104" s="5" t="s">
        <v>426</v>
      </c>
      <c r="B104" s="1" t="s">
        <v>427</v>
      </c>
      <c r="C104" s="5" t="s">
        <v>28</v>
      </c>
      <c r="D104" s="5" t="s">
        <v>428</v>
      </c>
      <c r="E104" s="37">
        <v>4649</v>
      </c>
      <c r="F104" s="5" t="s">
        <v>19</v>
      </c>
      <c r="G104" s="39" t="s">
        <v>851</v>
      </c>
      <c r="H104" s="5">
        <v>2548</v>
      </c>
      <c r="I104" s="5" t="s">
        <v>429</v>
      </c>
      <c r="J104" s="1"/>
      <c r="K104" s="4"/>
      <c r="L104" s="44" t="s">
        <v>689</v>
      </c>
      <c r="M104" s="20"/>
      <c r="Q104" s="29"/>
      <c r="R104" s="2"/>
      <c r="S104" s="3"/>
    </row>
    <row r="105" spans="1:19" x14ac:dyDescent="0.2">
      <c r="A105" s="5" t="s">
        <v>430</v>
      </c>
      <c r="B105" s="1" t="s">
        <v>431</v>
      </c>
      <c r="C105" s="5" t="s">
        <v>28</v>
      </c>
      <c r="D105" s="5" t="s">
        <v>432</v>
      </c>
      <c r="E105" s="37">
        <v>4650</v>
      </c>
      <c r="F105" s="5" t="s">
        <v>412</v>
      </c>
      <c r="G105" s="37" t="s">
        <v>745</v>
      </c>
      <c r="H105" s="5">
        <v>1980</v>
      </c>
      <c r="I105" s="5" t="s">
        <v>433</v>
      </c>
      <c r="J105" s="1"/>
      <c r="K105" s="4"/>
      <c r="L105" s="44" t="s">
        <v>690</v>
      </c>
      <c r="M105" s="20"/>
      <c r="Q105" s="29"/>
      <c r="R105" s="2"/>
      <c r="S105" s="3"/>
    </row>
    <row r="106" spans="1:19" x14ac:dyDescent="0.2">
      <c r="A106" s="5" t="s">
        <v>434</v>
      </c>
      <c r="B106" s="1" t="s">
        <v>435</v>
      </c>
      <c r="C106" s="5" t="s">
        <v>17</v>
      </c>
      <c r="D106" s="5" t="s">
        <v>436</v>
      </c>
      <c r="E106" s="37">
        <v>10276</v>
      </c>
      <c r="F106" s="5" t="s">
        <v>19</v>
      </c>
      <c r="G106" s="39" t="s">
        <v>852</v>
      </c>
      <c r="H106" s="5">
        <v>542</v>
      </c>
      <c r="I106" s="5" t="s">
        <v>437</v>
      </c>
      <c r="J106" s="1"/>
      <c r="K106" s="4" t="s">
        <v>730</v>
      </c>
      <c r="L106" s="44" t="s">
        <v>691</v>
      </c>
      <c r="M106" s="20"/>
      <c r="Q106" s="29"/>
      <c r="R106" s="2"/>
      <c r="S106" s="3"/>
    </row>
    <row r="107" spans="1:19" x14ac:dyDescent="0.2">
      <c r="A107" s="5" t="s">
        <v>438</v>
      </c>
      <c r="B107" s="1" t="s">
        <v>439</v>
      </c>
      <c r="C107" s="5" t="s">
        <v>17</v>
      </c>
      <c r="D107" s="5" t="s">
        <v>440</v>
      </c>
      <c r="E107" s="37">
        <v>25791</v>
      </c>
      <c r="F107" s="5" t="s">
        <v>19</v>
      </c>
      <c r="G107" s="39" t="s">
        <v>853</v>
      </c>
      <c r="H107" s="5">
        <v>710</v>
      </c>
      <c r="I107" s="5" t="s">
        <v>441</v>
      </c>
      <c r="J107" s="1"/>
      <c r="K107" s="4"/>
      <c r="L107" s="44" t="s">
        <v>692</v>
      </c>
      <c r="M107" s="20"/>
      <c r="Q107" s="29"/>
      <c r="R107" s="2"/>
      <c r="S107" s="3"/>
    </row>
    <row r="108" spans="1:19" x14ac:dyDescent="0.2">
      <c r="A108" s="5" t="s">
        <v>442</v>
      </c>
      <c r="B108" s="1" t="s">
        <v>443</v>
      </c>
      <c r="C108" s="5" t="s">
        <v>34</v>
      </c>
      <c r="D108" s="5" t="s">
        <v>444</v>
      </c>
      <c r="E108" s="37">
        <v>4952</v>
      </c>
      <c r="F108" s="5" t="s">
        <v>19</v>
      </c>
      <c r="G108" s="39" t="s">
        <v>854</v>
      </c>
      <c r="H108" s="5">
        <v>894</v>
      </c>
      <c r="I108" s="5" t="s">
        <v>445</v>
      </c>
      <c r="J108" s="1"/>
      <c r="K108" s="4" t="s">
        <v>742</v>
      </c>
      <c r="L108" s="44" t="s">
        <v>693</v>
      </c>
      <c r="M108" s="20"/>
      <c r="Q108" s="29"/>
      <c r="R108" s="2"/>
      <c r="S108" s="3"/>
    </row>
    <row r="109" spans="1:19" x14ac:dyDescent="0.2">
      <c r="A109" s="5" t="s">
        <v>446</v>
      </c>
      <c r="B109" s="1" t="s">
        <v>447</v>
      </c>
      <c r="C109" s="5" t="s">
        <v>28</v>
      </c>
      <c r="D109" s="5" t="s">
        <v>448</v>
      </c>
      <c r="E109" s="37">
        <v>4983</v>
      </c>
      <c r="F109" s="5" t="s">
        <v>12</v>
      </c>
      <c r="G109" s="37" t="s">
        <v>762</v>
      </c>
      <c r="H109" s="5">
        <v>802</v>
      </c>
      <c r="I109" s="5" t="s">
        <v>449</v>
      </c>
      <c r="J109" s="1"/>
      <c r="K109" s="4"/>
      <c r="L109" s="44" t="s">
        <v>694</v>
      </c>
      <c r="M109" s="20"/>
      <c r="Q109" s="29"/>
      <c r="R109" s="2"/>
      <c r="S109" s="3"/>
    </row>
    <row r="110" spans="1:19" x14ac:dyDescent="0.2">
      <c r="A110" s="5" t="s">
        <v>450</v>
      </c>
      <c r="B110" s="1" t="s">
        <v>451</v>
      </c>
      <c r="C110" s="5" t="s">
        <v>583</v>
      </c>
      <c r="D110" s="5" t="s">
        <v>452</v>
      </c>
      <c r="E110" s="37">
        <v>5295</v>
      </c>
      <c r="F110" s="5" t="s">
        <v>19</v>
      </c>
      <c r="G110" s="39" t="s">
        <v>855</v>
      </c>
      <c r="H110" s="5">
        <v>725</v>
      </c>
      <c r="I110" s="5" t="s">
        <v>453</v>
      </c>
      <c r="J110" s="1"/>
      <c r="K110" s="4"/>
      <c r="L110" s="44" t="s">
        <v>695</v>
      </c>
      <c r="M110" s="20"/>
      <c r="Q110" s="29"/>
      <c r="R110" s="2"/>
      <c r="S110" s="3"/>
    </row>
    <row r="111" spans="1:19" x14ac:dyDescent="0.2">
      <c r="A111" s="5" t="s">
        <v>454</v>
      </c>
      <c r="B111" s="1" t="s">
        <v>455</v>
      </c>
      <c r="C111" s="5" t="s">
        <v>583</v>
      </c>
      <c r="D111" s="5" t="s">
        <v>456</v>
      </c>
      <c r="E111" s="37">
        <v>5296</v>
      </c>
      <c r="F111" s="5" t="s">
        <v>12</v>
      </c>
      <c r="G111" s="37" t="s">
        <v>763</v>
      </c>
      <c r="H111" s="5">
        <v>722</v>
      </c>
      <c r="I111" s="5" t="s">
        <v>457</v>
      </c>
      <c r="J111" s="1"/>
      <c r="K111" s="4"/>
      <c r="L111" s="44" t="s">
        <v>696</v>
      </c>
      <c r="M111" s="20"/>
      <c r="Q111" s="29"/>
      <c r="R111" s="2"/>
      <c r="S111" s="3"/>
    </row>
    <row r="112" spans="1:19" x14ac:dyDescent="0.2">
      <c r="A112" s="5" t="s">
        <v>458</v>
      </c>
      <c r="B112" s="1" t="s">
        <v>459</v>
      </c>
      <c r="C112" s="5" t="s">
        <v>17</v>
      </c>
      <c r="D112" s="5" t="s">
        <v>460</v>
      </c>
      <c r="E112" s="37">
        <v>57480</v>
      </c>
      <c r="F112" s="5" t="s">
        <v>19</v>
      </c>
      <c r="G112" s="39" t="s">
        <v>856</v>
      </c>
      <c r="H112" s="5">
        <v>1385</v>
      </c>
      <c r="I112" s="6" t="s">
        <v>461</v>
      </c>
      <c r="J112" s="1"/>
      <c r="K112" s="4"/>
      <c r="L112" s="44" t="s">
        <v>697</v>
      </c>
      <c r="M112" s="20"/>
      <c r="Q112" s="29"/>
      <c r="R112" s="2"/>
      <c r="S112" s="3"/>
    </row>
    <row r="113" spans="1:19" x14ac:dyDescent="0.2">
      <c r="A113" s="5" t="s">
        <v>462</v>
      </c>
      <c r="B113" s="5" t="s">
        <v>463</v>
      </c>
      <c r="C113" s="5" t="s">
        <v>17</v>
      </c>
      <c r="D113" s="5" t="s">
        <v>464</v>
      </c>
      <c r="E113" s="37">
        <v>64857</v>
      </c>
      <c r="F113" s="5" t="s">
        <v>12</v>
      </c>
      <c r="G113" s="37" t="s">
        <v>764</v>
      </c>
      <c r="H113" s="5">
        <v>1341</v>
      </c>
      <c r="I113" s="5" t="s">
        <v>465</v>
      </c>
      <c r="J113" s="1"/>
      <c r="K113" s="4" t="s">
        <v>743</v>
      </c>
      <c r="L113" s="44" t="s">
        <v>698</v>
      </c>
      <c r="M113" s="20"/>
      <c r="Q113" s="29"/>
      <c r="R113" s="2"/>
      <c r="S113" s="3"/>
    </row>
    <row r="114" spans="1:19" x14ac:dyDescent="0.2">
      <c r="A114" s="5" t="s">
        <v>466</v>
      </c>
      <c r="B114" s="5" t="s">
        <v>467</v>
      </c>
      <c r="C114" s="5" t="s">
        <v>17</v>
      </c>
      <c r="D114" s="5" t="s">
        <v>468</v>
      </c>
      <c r="E114" s="37">
        <v>26030</v>
      </c>
      <c r="F114" s="5" t="s">
        <v>19</v>
      </c>
      <c r="G114" s="39" t="s">
        <v>857</v>
      </c>
      <c r="H114" s="5">
        <v>1219</v>
      </c>
      <c r="I114" s="1" t="s">
        <v>469</v>
      </c>
      <c r="J114" s="1"/>
      <c r="K114" s="4"/>
      <c r="L114" s="44" t="s">
        <v>699</v>
      </c>
      <c r="M114" s="20"/>
      <c r="Q114" s="29"/>
      <c r="R114" s="2"/>
      <c r="S114" s="3"/>
    </row>
    <row r="115" spans="1:19" x14ac:dyDescent="0.2">
      <c r="A115" s="5" t="s">
        <v>470</v>
      </c>
      <c r="B115" s="5" t="s">
        <v>471</v>
      </c>
      <c r="C115" s="5" t="s">
        <v>17</v>
      </c>
      <c r="D115" s="5" t="s">
        <v>472</v>
      </c>
      <c r="E115" s="37">
        <v>25894</v>
      </c>
      <c r="F115" s="5" t="s">
        <v>19</v>
      </c>
      <c r="G115" s="39" t="s">
        <v>858</v>
      </c>
      <c r="H115" s="5">
        <v>1191</v>
      </c>
      <c r="I115" s="5" t="s">
        <v>473</v>
      </c>
      <c r="J115" s="1"/>
      <c r="K115" s="4"/>
      <c r="L115" s="44" t="s">
        <v>700</v>
      </c>
      <c r="M115" s="20"/>
      <c r="Q115" s="29"/>
      <c r="R115" s="2"/>
      <c r="S115" s="3"/>
    </row>
    <row r="116" spans="1:19" x14ac:dyDescent="0.2">
      <c r="A116" s="5" t="s">
        <v>474</v>
      </c>
      <c r="B116" s="1" t="s">
        <v>475</v>
      </c>
      <c r="C116" s="5" t="s">
        <v>17</v>
      </c>
      <c r="D116" s="5" t="s">
        <v>476</v>
      </c>
      <c r="E116" s="37">
        <v>153478</v>
      </c>
      <c r="F116" s="5" t="s">
        <v>19</v>
      </c>
      <c r="G116" s="39" t="s">
        <v>859</v>
      </c>
      <c r="H116" s="5">
        <v>1272</v>
      </c>
      <c r="I116" s="1" t="s">
        <v>477</v>
      </c>
      <c r="J116" s="1"/>
      <c r="K116" s="4"/>
      <c r="L116" s="44" t="s">
        <v>701</v>
      </c>
      <c r="M116" s="20"/>
      <c r="Q116" s="29"/>
      <c r="R116" s="2"/>
      <c r="S116" s="3"/>
    </row>
    <row r="117" spans="1:19" x14ac:dyDescent="0.2">
      <c r="A117" s="5" t="s">
        <v>478</v>
      </c>
      <c r="B117" s="1" t="s">
        <v>479</v>
      </c>
      <c r="C117" s="5" t="s">
        <v>17</v>
      </c>
      <c r="D117" s="5" t="s">
        <v>480</v>
      </c>
      <c r="E117" s="37">
        <v>57449</v>
      </c>
      <c r="F117" s="5" t="s">
        <v>12</v>
      </c>
      <c r="G117" s="37" t="s">
        <v>765</v>
      </c>
      <c r="H117" s="5">
        <v>1073</v>
      </c>
      <c r="I117" s="1" t="s">
        <v>481</v>
      </c>
      <c r="J117" s="1"/>
      <c r="K117" s="4"/>
      <c r="L117" s="44" t="s">
        <v>702</v>
      </c>
      <c r="M117" s="20"/>
      <c r="O117" s="1"/>
      <c r="P117" s="1"/>
      <c r="Q117" s="29"/>
      <c r="R117" s="2"/>
      <c r="S117" s="3"/>
    </row>
    <row r="118" spans="1:19" x14ac:dyDescent="0.2">
      <c r="A118" s="5" t="s">
        <v>482</v>
      </c>
      <c r="B118" s="5" t="s">
        <v>483</v>
      </c>
      <c r="C118" s="5" t="s">
        <v>17</v>
      </c>
      <c r="D118" s="5" t="s">
        <v>484</v>
      </c>
      <c r="E118" s="37">
        <v>55200</v>
      </c>
      <c r="F118" s="5" t="s">
        <v>19</v>
      </c>
      <c r="G118" s="39" t="s">
        <v>860</v>
      </c>
      <c r="H118" s="5">
        <v>790</v>
      </c>
      <c r="I118" s="5" t="s">
        <v>485</v>
      </c>
      <c r="J118" s="1"/>
      <c r="K118" s="4"/>
      <c r="L118" s="44" t="s">
        <v>703</v>
      </c>
      <c r="M118" s="20"/>
      <c r="P118" s="22"/>
      <c r="Q118" s="29"/>
      <c r="R118" s="2"/>
      <c r="S118" s="3"/>
    </row>
    <row r="119" spans="1:19" x14ac:dyDescent="0.2">
      <c r="A119" s="5" t="s">
        <v>486</v>
      </c>
      <c r="B119" s="1" t="s">
        <v>487</v>
      </c>
      <c r="C119" s="5" t="s">
        <v>17</v>
      </c>
      <c r="D119" s="5" t="s">
        <v>488</v>
      </c>
      <c r="E119" s="37">
        <v>440107</v>
      </c>
      <c r="F119" s="5" t="s">
        <v>19</v>
      </c>
      <c r="G119" s="39" t="s">
        <v>861</v>
      </c>
      <c r="H119" s="5">
        <v>379</v>
      </c>
      <c r="I119" s="7" t="s">
        <v>489</v>
      </c>
      <c r="J119" s="1" t="s">
        <v>36</v>
      </c>
      <c r="K119" s="4"/>
      <c r="L119" s="44" t="s">
        <v>704</v>
      </c>
      <c r="M119" s="20"/>
      <c r="Q119" s="29"/>
      <c r="R119" s="2"/>
      <c r="S119" s="3"/>
    </row>
    <row r="120" spans="1:19" x14ac:dyDescent="0.2">
      <c r="A120" s="5" t="s">
        <v>490</v>
      </c>
      <c r="B120" s="1" t="s">
        <v>491</v>
      </c>
      <c r="C120" s="5" t="s">
        <v>17</v>
      </c>
      <c r="D120" s="5" t="s">
        <v>492</v>
      </c>
      <c r="E120" s="37">
        <v>57580</v>
      </c>
      <c r="F120" s="5" t="s">
        <v>19</v>
      </c>
      <c r="G120" s="39" t="s">
        <v>862</v>
      </c>
      <c r="H120" s="5">
        <v>1659</v>
      </c>
      <c r="I120" s="5" t="s">
        <v>493</v>
      </c>
      <c r="J120" s="1"/>
      <c r="K120" s="4"/>
      <c r="L120" s="44" t="s">
        <v>705</v>
      </c>
      <c r="M120" s="20"/>
      <c r="Q120" s="29"/>
      <c r="R120" s="2"/>
      <c r="S120" s="3"/>
    </row>
    <row r="121" spans="1:19" x14ac:dyDescent="0.2">
      <c r="A121" s="5" t="s">
        <v>494</v>
      </c>
      <c r="B121" s="31" t="s">
        <v>495</v>
      </c>
      <c r="C121" s="5" t="s">
        <v>17</v>
      </c>
      <c r="D121" s="5" t="s">
        <v>496</v>
      </c>
      <c r="E121" s="37">
        <v>80243</v>
      </c>
      <c r="F121" s="5" t="s">
        <v>19</v>
      </c>
      <c r="G121" s="39" t="s">
        <v>863</v>
      </c>
      <c r="H121" s="5">
        <v>1606</v>
      </c>
      <c r="I121" s="1" t="s">
        <v>497</v>
      </c>
      <c r="J121" s="1" t="s">
        <v>36</v>
      </c>
      <c r="K121" s="4"/>
      <c r="L121" s="44" t="s">
        <v>706</v>
      </c>
      <c r="M121" s="20"/>
      <c r="Q121" s="29"/>
      <c r="R121" s="2"/>
      <c r="S121" s="3"/>
    </row>
    <row r="122" spans="1:19" x14ac:dyDescent="0.2">
      <c r="A122" s="5" t="s">
        <v>498</v>
      </c>
      <c r="B122" s="1" t="s">
        <v>499</v>
      </c>
      <c r="C122" s="5" t="s">
        <v>28</v>
      </c>
      <c r="D122" s="5" t="s">
        <v>500</v>
      </c>
      <c r="E122" s="37">
        <v>29127</v>
      </c>
      <c r="F122" s="5" t="s">
        <v>19</v>
      </c>
      <c r="G122" s="39" t="s">
        <v>864</v>
      </c>
      <c r="H122" s="5">
        <v>632</v>
      </c>
      <c r="I122" s="5" t="s">
        <v>501</v>
      </c>
      <c r="J122" s="1"/>
      <c r="K122" s="4"/>
      <c r="L122" s="44" t="s">
        <v>707</v>
      </c>
      <c r="M122" s="20"/>
      <c r="Q122" s="29"/>
      <c r="R122" s="2"/>
      <c r="S122" s="3"/>
    </row>
    <row r="123" spans="1:19" x14ac:dyDescent="0.2">
      <c r="A123" s="5" t="s">
        <v>502</v>
      </c>
      <c r="B123" s="1" t="s">
        <v>503</v>
      </c>
      <c r="C123" s="5" t="s">
        <v>28</v>
      </c>
      <c r="D123" s="5" t="s">
        <v>504</v>
      </c>
      <c r="E123" s="37">
        <v>10928</v>
      </c>
      <c r="F123" s="5" t="s">
        <v>19</v>
      </c>
      <c r="G123" s="39" t="s">
        <v>865</v>
      </c>
      <c r="H123" s="5">
        <v>655</v>
      </c>
      <c r="I123" s="5" t="s">
        <v>505</v>
      </c>
      <c r="J123" s="1"/>
      <c r="K123" s="4"/>
      <c r="L123" s="44" t="s">
        <v>708</v>
      </c>
      <c r="M123" s="20"/>
      <c r="Q123" s="29"/>
      <c r="R123" s="2"/>
      <c r="S123" s="3"/>
    </row>
    <row r="124" spans="1:19" x14ac:dyDescent="0.2">
      <c r="A124" s="5" t="s">
        <v>506</v>
      </c>
      <c r="B124" s="5" t="s">
        <v>507</v>
      </c>
      <c r="C124" s="5" t="s">
        <v>17</v>
      </c>
      <c r="D124" s="5" t="s">
        <v>508</v>
      </c>
      <c r="E124" s="37">
        <v>5923</v>
      </c>
      <c r="F124" s="5" t="s">
        <v>19</v>
      </c>
      <c r="G124" s="39" t="s">
        <v>868</v>
      </c>
      <c r="H124" s="5">
        <v>1181</v>
      </c>
      <c r="I124" s="8" t="s">
        <v>509</v>
      </c>
      <c r="J124" s="1"/>
      <c r="K124" s="4" t="s">
        <v>586</v>
      </c>
      <c r="L124" s="44" t="s">
        <v>709</v>
      </c>
      <c r="M124" s="20"/>
      <c r="Q124" s="29"/>
      <c r="R124" s="2"/>
      <c r="S124" s="3"/>
    </row>
    <row r="125" spans="1:19" x14ac:dyDescent="0.2">
      <c r="A125" s="5" t="s">
        <v>510</v>
      </c>
      <c r="B125" s="5" t="s">
        <v>511</v>
      </c>
      <c r="C125" s="5" t="s">
        <v>17</v>
      </c>
      <c r="D125" s="5" t="s">
        <v>512</v>
      </c>
      <c r="E125" s="37">
        <v>5924</v>
      </c>
      <c r="F125" s="5" t="s">
        <v>19</v>
      </c>
      <c r="G125" s="39" t="s">
        <v>866</v>
      </c>
      <c r="H125" s="5">
        <v>1237</v>
      </c>
      <c r="I125" s="9" t="s">
        <v>513</v>
      </c>
      <c r="J125" s="1"/>
      <c r="K125" s="4"/>
      <c r="L125" s="44" t="s">
        <v>710</v>
      </c>
      <c r="M125" s="20"/>
      <c r="Q125" s="29"/>
      <c r="R125" s="2"/>
      <c r="S125" s="3"/>
    </row>
    <row r="126" spans="1:19" x14ac:dyDescent="0.2">
      <c r="A126" s="5" t="s">
        <v>514</v>
      </c>
      <c r="B126" s="1" t="s">
        <v>515</v>
      </c>
      <c r="C126" s="5" t="s">
        <v>28</v>
      </c>
      <c r="D126" s="5" t="s">
        <v>516</v>
      </c>
      <c r="E126" s="37">
        <v>23616</v>
      </c>
      <c r="F126" s="5" t="s">
        <v>19</v>
      </c>
      <c r="G126" s="39" t="s">
        <v>867</v>
      </c>
      <c r="H126" s="5">
        <v>701</v>
      </c>
      <c r="I126" s="8" t="s">
        <v>517</v>
      </c>
      <c r="J126" s="1"/>
      <c r="K126" s="4"/>
      <c r="L126" s="44" t="s">
        <v>711</v>
      </c>
      <c r="M126" s="20"/>
      <c r="Q126" s="29"/>
      <c r="R126" s="2"/>
      <c r="S126" s="3"/>
    </row>
    <row r="127" spans="1:19" x14ac:dyDescent="0.2">
      <c r="A127" s="5" t="s">
        <v>518</v>
      </c>
      <c r="B127" s="5" t="s">
        <v>519</v>
      </c>
      <c r="C127" s="5" t="s">
        <v>17</v>
      </c>
      <c r="D127" s="5" t="s">
        <v>520</v>
      </c>
      <c r="E127" s="37">
        <v>6654</v>
      </c>
      <c r="F127" s="5" t="s">
        <v>19</v>
      </c>
      <c r="G127" s="39" t="s">
        <v>869</v>
      </c>
      <c r="H127" s="5">
        <v>1333</v>
      </c>
      <c r="I127" s="5" t="s">
        <v>521</v>
      </c>
      <c r="J127" s="1"/>
      <c r="K127" s="4"/>
      <c r="L127" s="44" t="s">
        <v>712</v>
      </c>
      <c r="M127" s="20"/>
      <c r="Q127" s="29"/>
      <c r="R127" s="2"/>
      <c r="S127" s="3"/>
    </row>
    <row r="128" spans="1:19" x14ac:dyDescent="0.2">
      <c r="A128" s="5" t="s">
        <v>522</v>
      </c>
      <c r="B128" s="5"/>
      <c r="C128" s="5" t="s">
        <v>17</v>
      </c>
      <c r="D128" s="5" t="s">
        <v>523</v>
      </c>
      <c r="E128" s="37">
        <v>6655</v>
      </c>
      <c r="F128" s="5" t="s">
        <v>19</v>
      </c>
      <c r="G128" s="39" t="s">
        <v>870</v>
      </c>
      <c r="H128" s="5">
        <v>1333</v>
      </c>
      <c r="I128" s="5" t="s">
        <v>524</v>
      </c>
      <c r="J128" s="1"/>
      <c r="K128" s="4"/>
      <c r="L128" s="44" t="s">
        <v>713</v>
      </c>
      <c r="M128" s="20"/>
      <c r="Q128" s="29"/>
      <c r="R128" s="2"/>
      <c r="S128" s="3"/>
    </row>
    <row r="129" spans="1:19" x14ac:dyDescent="0.2">
      <c r="A129" s="5" t="s">
        <v>525</v>
      </c>
      <c r="B129" s="1" t="s">
        <v>526</v>
      </c>
      <c r="C129" s="5" t="s">
        <v>17</v>
      </c>
      <c r="D129" s="5" t="s">
        <v>527</v>
      </c>
      <c r="E129" s="37">
        <v>221178</v>
      </c>
      <c r="F129" s="5" t="s">
        <v>19</v>
      </c>
      <c r="G129" s="39" t="s">
        <v>871</v>
      </c>
      <c r="H129" s="5">
        <v>652</v>
      </c>
      <c r="I129" s="5" t="s">
        <v>528</v>
      </c>
      <c r="J129" s="1"/>
      <c r="K129" s="4"/>
      <c r="L129" s="44" t="s">
        <v>714</v>
      </c>
      <c r="M129" s="20"/>
      <c r="O129" s="20"/>
      <c r="Q129" s="29"/>
      <c r="R129" s="2"/>
      <c r="S129" s="3"/>
    </row>
    <row r="130" spans="1:19" x14ac:dyDescent="0.2">
      <c r="A130" s="5" t="s">
        <v>529</v>
      </c>
      <c r="B130" s="1" t="s">
        <v>530</v>
      </c>
      <c r="C130" s="5" t="s">
        <v>28</v>
      </c>
      <c r="D130" s="5" t="s">
        <v>531</v>
      </c>
      <c r="E130" s="37">
        <v>57522</v>
      </c>
      <c r="F130" s="5" t="s">
        <v>19</v>
      </c>
      <c r="G130" s="39" t="s">
        <v>872</v>
      </c>
      <c r="H130" s="5">
        <v>1085</v>
      </c>
      <c r="I130" s="5" t="s">
        <v>532</v>
      </c>
      <c r="J130" s="1"/>
      <c r="K130" s="4"/>
      <c r="L130" s="44" t="s">
        <v>715</v>
      </c>
      <c r="Q130" s="29"/>
      <c r="R130" s="2"/>
      <c r="S130" s="3"/>
    </row>
    <row r="131" spans="1:19" x14ac:dyDescent="0.2">
      <c r="A131" s="5" t="s">
        <v>533</v>
      </c>
      <c r="B131" s="1" t="s">
        <v>534</v>
      </c>
      <c r="C131" s="5" t="s">
        <v>28</v>
      </c>
      <c r="D131" s="5" t="s">
        <v>535</v>
      </c>
      <c r="E131" s="37">
        <v>23380</v>
      </c>
      <c r="F131" s="5" t="s">
        <v>12</v>
      </c>
      <c r="G131" s="37" t="s">
        <v>766</v>
      </c>
      <c r="H131" s="5">
        <v>1071</v>
      </c>
      <c r="I131" s="5" t="s">
        <v>536</v>
      </c>
      <c r="J131" s="1"/>
      <c r="K131" s="4"/>
      <c r="L131" s="44" t="s">
        <v>716</v>
      </c>
      <c r="M131" s="20"/>
      <c r="Q131" s="29"/>
      <c r="R131" s="2"/>
      <c r="S131" s="3"/>
    </row>
    <row r="132" spans="1:19" x14ac:dyDescent="0.2">
      <c r="A132" s="5" t="s">
        <v>537</v>
      </c>
      <c r="B132" s="1" t="s">
        <v>538</v>
      </c>
      <c r="C132" s="5" t="s">
        <v>28</v>
      </c>
      <c r="D132" s="5" t="s">
        <v>539</v>
      </c>
      <c r="E132" s="37">
        <v>9901</v>
      </c>
      <c r="F132" s="5" t="s">
        <v>19</v>
      </c>
      <c r="G132" s="39" t="s">
        <v>873</v>
      </c>
      <c r="H132" s="5">
        <v>1099</v>
      </c>
      <c r="I132" s="5" t="s">
        <v>540</v>
      </c>
      <c r="J132" s="1"/>
      <c r="K132" s="4"/>
      <c r="L132" s="44" t="s">
        <v>717</v>
      </c>
      <c r="M132" s="20"/>
      <c r="Q132" s="29"/>
      <c r="R132" s="2"/>
      <c r="S132" s="3"/>
    </row>
    <row r="133" spans="1:19" x14ac:dyDescent="0.2">
      <c r="A133" s="5" t="s">
        <v>541</v>
      </c>
      <c r="B133" s="5" t="s">
        <v>542</v>
      </c>
      <c r="C133" s="5" t="s">
        <v>28</v>
      </c>
      <c r="D133" s="5" t="s">
        <v>543</v>
      </c>
      <c r="E133" s="37">
        <v>9754</v>
      </c>
      <c r="F133" s="5" t="s">
        <v>19</v>
      </c>
      <c r="G133" s="39" t="s">
        <v>874</v>
      </c>
      <c r="H133" s="5">
        <v>1023</v>
      </c>
      <c r="I133" s="10" t="s">
        <v>544</v>
      </c>
      <c r="J133" s="1"/>
      <c r="K133" s="4"/>
      <c r="L133" s="44" t="s">
        <v>718</v>
      </c>
      <c r="M133" s="20"/>
      <c r="N133" s="21"/>
      <c r="O133" s="20"/>
      <c r="P133" s="21"/>
      <c r="Q133" s="29"/>
      <c r="R133" s="2"/>
      <c r="S133" s="3"/>
    </row>
    <row r="134" spans="1:19" x14ac:dyDescent="0.2">
      <c r="A134" s="5" t="s">
        <v>545</v>
      </c>
      <c r="B134" s="5" t="s">
        <v>546</v>
      </c>
      <c r="C134" s="5" t="s">
        <v>28</v>
      </c>
      <c r="D134" s="5" t="s">
        <v>547</v>
      </c>
      <c r="E134" s="37">
        <v>90627</v>
      </c>
      <c r="F134" s="5" t="s">
        <v>12</v>
      </c>
      <c r="G134" s="37" t="s">
        <v>767</v>
      </c>
      <c r="H134" s="5">
        <v>1113</v>
      </c>
      <c r="I134" s="1" t="s">
        <v>548</v>
      </c>
      <c r="J134" s="1"/>
      <c r="K134" s="4"/>
      <c r="L134" s="44" t="s">
        <v>719</v>
      </c>
      <c r="M134" s="20"/>
      <c r="N134" s="21"/>
      <c r="P134" s="21"/>
      <c r="Q134" s="29"/>
      <c r="R134" s="2"/>
      <c r="S134" s="3"/>
    </row>
    <row r="135" spans="1:19" x14ac:dyDescent="0.2">
      <c r="A135" s="5" t="s">
        <v>549</v>
      </c>
      <c r="B135" s="5" t="s">
        <v>550</v>
      </c>
      <c r="C135" s="5" t="s">
        <v>28</v>
      </c>
      <c r="D135" s="5" t="s">
        <v>551</v>
      </c>
      <c r="E135" s="37">
        <v>85360</v>
      </c>
      <c r="F135" s="5" t="s">
        <v>19</v>
      </c>
      <c r="G135" s="39" t="s">
        <v>875</v>
      </c>
      <c r="H135" s="5">
        <v>735</v>
      </c>
      <c r="I135" s="5" t="s">
        <v>552</v>
      </c>
      <c r="J135" s="1" t="s">
        <v>36</v>
      </c>
      <c r="K135" s="4"/>
      <c r="L135" s="44" t="s">
        <v>720</v>
      </c>
      <c r="M135" s="20"/>
      <c r="Q135" s="29"/>
      <c r="R135" s="2"/>
      <c r="S135" s="3"/>
    </row>
    <row r="136" spans="1:19" x14ac:dyDescent="0.2">
      <c r="A136" s="5" t="s">
        <v>553</v>
      </c>
      <c r="B136" s="5" t="s">
        <v>554</v>
      </c>
      <c r="C136" s="5" t="s">
        <v>28</v>
      </c>
      <c r="D136" s="5" t="s">
        <v>555</v>
      </c>
      <c r="E136" s="37">
        <v>84144</v>
      </c>
      <c r="F136" s="5" t="s">
        <v>19</v>
      </c>
      <c r="G136" s="39" t="s">
        <v>876</v>
      </c>
      <c r="H136" s="5">
        <v>1194</v>
      </c>
      <c r="I136" s="5" t="s">
        <v>556</v>
      </c>
      <c r="J136" s="1"/>
      <c r="K136" s="4"/>
      <c r="L136" s="44" t="s">
        <v>721</v>
      </c>
      <c r="M136" s="20"/>
      <c r="Q136" s="29"/>
      <c r="R136" s="2"/>
      <c r="S136" s="3"/>
    </row>
    <row r="137" spans="1:19" x14ac:dyDescent="0.2">
      <c r="A137" s="5" t="s">
        <v>557</v>
      </c>
      <c r="B137" s="1" t="s">
        <v>558</v>
      </c>
      <c r="C137" s="5" t="s">
        <v>28</v>
      </c>
      <c r="D137" s="5" t="s">
        <v>559</v>
      </c>
      <c r="E137" s="37">
        <v>117289</v>
      </c>
      <c r="F137" s="5" t="s">
        <v>12</v>
      </c>
      <c r="G137" s="37" t="s">
        <v>768</v>
      </c>
      <c r="H137" s="5">
        <v>714</v>
      </c>
      <c r="I137" s="5" t="s">
        <v>560</v>
      </c>
      <c r="J137" s="1"/>
      <c r="K137" s="4"/>
      <c r="L137" s="44" t="s">
        <v>722</v>
      </c>
      <c r="M137" s="20"/>
      <c r="Q137" s="29"/>
      <c r="R137" s="2"/>
      <c r="S137" s="3"/>
    </row>
    <row r="138" spans="1:19" x14ac:dyDescent="0.2">
      <c r="A138" s="5" t="s">
        <v>561</v>
      </c>
      <c r="B138" s="1"/>
      <c r="C138" s="5" t="s">
        <v>17</v>
      </c>
      <c r="D138" s="5" t="s">
        <v>562</v>
      </c>
      <c r="E138" s="37">
        <v>7074</v>
      </c>
      <c r="F138" s="5" t="s">
        <v>19</v>
      </c>
      <c r="G138" s="39" t="s">
        <v>877</v>
      </c>
      <c r="H138" s="5">
        <v>1591</v>
      </c>
      <c r="I138" s="5" t="s">
        <v>563</v>
      </c>
      <c r="J138" s="1"/>
      <c r="K138" s="4"/>
      <c r="L138" s="44" t="s">
        <v>723</v>
      </c>
      <c r="M138" s="20"/>
      <c r="N138" s="21"/>
      <c r="O138" s="20"/>
      <c r="Q138" s="29"/>
      <c r="R138" s="2"/>
      <c r="S138" s="3"/>
    </row>
    <row r="139" spans="1:19" x14ac:dyDescent="0.2">
      <c r="A139" s="5" t="s">
        <v>564</v>
      </c>
      <c r="B139" s="1" t="s">
        <v>565</v>
      </c>
      <c r="C139" s="5" t="s">
        <v>17</v>
      </c>
      <c r="D139" s="5" t="s">
        <v>566</v>
      </c>
      <c r="E139" s="37">
        <v>26230</v>
      </c>
      <c r="F139" s="5" t="s">
        <v>12</v>
      </c>
      <c r="G139" s="37" t="s">
        <v>769</v>
      </c>
      <c r="H139" s="5">
        <v>1715</v>
      </c>
      <c r="I139" s="5" t="s">
        <v>567</v>
      </c>
      <c r="J139" s="1"/>
      <c r="K139" s="4"/>
      <c r="L139" s="44" t="s">
        <v>724</v>
      </c>
      <c r="M139" s="20"/>
      <c r="Q139" s="29"/>
      <c r="R139" s="2"/>
      <c r="S139" s="3"/>
    </row>
    <row r="140" spans="1:19" x14ac:dyDescent="0.2">
      <c r="A140" s="5" t="s">
        <v>568</v>
      </c>
      <c r="B140" s="1" t="s">
        <v>569</v>
      </c>
      <c r="C140" s="5" t="s">
        <v>17</v>
      </c>
      <c r="D140" s="5" t="s">
        <v>570</v>
      </c>
      <c r="E140" s="37">
        <v>7204</v>
      </c>
      <c r="F140" s="5" t="s">
        <v>19</v>
      </c>
      <c r="G140" s="39" t="s">
        <v>878</v>
      </c>
      <c r="H140" s="5">
        <v>3038</v>
      </c>
      <c r="I140" s="5" t="s">
        <v>571</v>
      </c>
      <c r="J140" s="1"/>
      <c r="K140" s="4" t="s">
        <v>731</v>
      </c>
      <c r="L140" s="44" t="s">
        <v>725</v>
      </c>
      <c r="M140" s="20"/>
      <c r="Q140" s="29"/>
      <c r="R140" s="2"/>
      <c r="S140" s="3"/>
    </row>
    <row r="141" spans="1:19" x14ac:dyDescent="0.2">
      <c r="A141" s="5" t="s">
        <v>572</v>
      </c>
      <c r="B141" s="1"/>
      <c r="C141" s="5" t="s">
        <v>17</v>
      </c>
      <c r="D141" s="5" t="s">
        <v>573</v>
      </c>
      <c r="E141" s="37">
        <v>7409</v>
      </c>
      <c r="F141" s="5" t="s">
        <v>19</v>
      </c>
      <c r="G141" s="39" t="s">
        <v>879</v>
      </c>
      <c r="H141" s="5">
        <v>790</v>
      </c>
      <c r="I141" s="5" t="s">
        <v>574</v>
      </c>
      <c r="J141" s="1"/>
      <c r="K141" s="4"/>
      <c r="L141" s="44" t="s">
        <v>726</v>
      </c>
      <c r="M141" s="20"/>
      <c r="Q141" s="29"/>
      <c r="R141" s="2"/>
      <c r="S141" s="1"/>
    </row>
    <row r="142" spans="1:19" x14ac:dyDescent="0.2">
      <c r="A142" s="5" t="s">
        <v>575</v>
      </c>
      <c r="B142" s="1"/>
      <c r="C142" s="5" t="s">
        <v>17</v>
      </c>
      <c r="D142" s="5" t="s">
        <v>576</v>
      </c>
      <c r="E142" s="37">
        <v>7410</v>
      </c>
      <c r="F142" s="5" t="s">
        <v>12</v>
      </c>
      <c r="G142" s="37" t="s">
        <v>587</v>
      </c>
      <c r="H142" s="5">
        <v>829</v>
      </c>
      <c r="I142" s="5" t="s">
        <v>577</v>
      </c>
      <c r="J142" s="1"/>
      <c r="K142" s="4" t="s">
        <v>587</v>
      </c>
      <c r="L142" s="44" t="s">
        <v>727</v>
      </c>
      <c r="M142" s="20"/>
      <c r="O142" s="1"/>
      <c r="P142" s="1"/>
      <c r="Q142" s="29"/>
      <c r="R142" s="2"/>
      <c r="S142" s="1"/>
    </row>
    <row r="143" spans="1:19" x14ac:dyDescent="0.2">
      <c r="A143" s="5" t="s">
        <v>578</v>
      </c>
      <c r="B143" s="1"/>
      <c r="C143" s="5" t="s">
        <v>17</v>
      </c>
      <c r="D143" s="5" t="s">
        <v>579</v>
      </c>
      <c r="E143" s="37">
        <v>10451</v>
      </c>
      <c r="F143" s="5" t="s">
        <v>19</v>
      </c>
      <c r="G143" s="39" t="s">
        <v>880</v>
      </c>
      <c r="H143" s="5">
        <v>847</v>
      </c>
      <c r="I143" s="5" t="s">
        <v>580</v>
      </c>
      <c r="J143" s="1"/>
      <c r="K143" s="4"/>
      <c r="L143" s="44" t="s">
        <v>728</v>
      </c>
      <c r="N143" s="1"/>
      <c r="P143" s="1"/>
      <c r="Q143" s="29"/>
      <c r="R143" s="2"/>
      <c r="S143" s="1"/>
    </row>
    <row r="144" spans="1:19" x14ac:dyDescent="0.2">
      <c r="B144" s="1"/>
      <c r="I144" s="1"/>
      <c r="J144" s="1"/>
      <c r="M144" s="23"/>
      <c r="S144" s="3"/>
    </row>
    <row r="145" spans="2:19" x14ac:dyDescent="0.2">
      <c r="B145" s="1"/>
      <c r="I145" s="1"/>
      <c r="J145" s="1"/>
      <c r="M145" s="1"/>
      <c r="Q145" s="30"/>
      <c r="R145" s="2"/>
      <c r="S145" s="3"/>
    </row>
    <row r="146" spans="2:19" x14ac:dyDescent="0.2">
      <c r="B146" s="1"/>
      <c r="F146" s="12"/>
      <c r="I146" s="1"/>
      <c r="J146" s="1"/>
      <c r="M146" s="1"/>
      <c r="Q146" s="30"/>
      <c r="R146" s="2"/>
      <c r="S146" s="3"/>
    </row>
    <row r="147" spans="2:19" x14ac:dyDescent="0.2">
      <c r="B147" s="1"/>
      <c r="F147" s="12"/>
      <c r="I147" s="1"/>
      <c r="J147" s="1"/>
      <c r="M147" s="1"/>
      <c r="Q147" s="30"/>
      <c r="R147" s="2"/>
      <c r="S147" s="3"/>
    </row>
    <row r="148" spans="2:19" x14ac:dyDescent="0.2">
      <c r="B148" s="1"/>
      <c r="F148" s="12"/>
      <c r="I148" s="1"/>
      <c r="J148" s="1"/>
      <c r="M148" s="1"/>
      <c r="Q148" s="30"/>
      <c r="R148" s="2"/>
      <c r="S148" s="3"/>
    </row>
    <row r="149" spans="2:19" x14ac:dyDescent="0.2">
      <c r="B149" s="1"/>
      <c r="I149" s="1"/>
      <c r="J149" s="1"/>
      <c r="M149" s="1"/>
      <c r="Q149" s="30"/>
      <c r="R149" s="30"/>
      <c r="S149" s="3"/>
    </row>
    <row r="150" spans="2:19" x14ac:dyDescent="0.2">
      <c r="B150" s="1"/>
      <c r="I150" s="1"/>
      <c r="J150" s="1"/>
      <c r="M150" s="1"/>
      <c r="Q150" s="30"/>
      <c r="R150" s="30"/>
      <c r="S150" s="3"/>
    </row>
    <row r="151" spans="2:19" x14ac:dyDescent="0.2">
      <c r="B151" s="1"/>
      <c r="I151" s="1"/>
      <c r="J151" s="1"/>
      <c r="M151" s="1"/>
      <c r="Q151" s="30"/>
      <c r="R151" s="30"/>
      <c r="S151" s="3"/>
    </row>
    <row r="152" spans="2:19" x14ac:dyDescent="0.2">
      <c r="B152" s="1"/>
      <c r="I152" s="1"/>
      <c r="J152" s="1"/>
      <c r="M152" s="1"/>
      <c r="Q152" s="30"/>
      <c r="R152" s="30"/>
      <c r="S152" s="3"/>
    </row>
    <row r="153" spans="2:19" x14ac:dyDescent="0.2">
      <c r="B153" s="1"/>
      <c r="I153" s="1"/>
      <c r="J153" s="1"/>
      <c r="M153" s="1"/>
      <c r="Q153" s="30"/>
      <c r="R153" s="30"/>
      <c r="S153" s="3"/>
    </row>
    <row r="154" spans="2:19" x14ac:dyDescent="0.2">
      <c r="B154" s="1"/>
      <c r="I154" s="1"/>
      <c r="J154" s="1"/>
      <c r="M154" s="1"/>
      <c r="Q154" s="30"/>
      <c r="R154" s="30"/>
      <c r="S154" s="3"/>
    </row>
    <row r="155" spans="2:19" x14ac:dyDescent="0.2">
      <c r="B155" s="1"/>
      <c r="I155" s="1"/>
      <c r="J155" s="1"/>
      <c r="M155" s="1"/>
      <c r="Q155" s="30"/>
      <c r="R155" s="30"/>
      <c r="S155" s="3"/>
    </row>
    <row r="156" spans="2:19" x14ac:dyDescent="0.2">
      <c r="B156" s="1"/>
      <c r="I156" s="1"/>
      <c r="J156" s="1"/>
      <c r="M156" s="1"/>
      <c r="Q156" s="30"/>
      <c r="R156" s="30"/>
      <c r="S156" s="3"/>
    </row>
    <row r="157" spans="2:19" x14ac:dyDescent="0.2">
      <c r="B157" s="1"/>
      <c r="I157" s="1"/>
      <c r="J157" s="1"/>
      <c r="M157" s="1"/>
      <c r="Q157" s="30"/>
      <c r="R157" s="30"/>
      <c r="S157" s="3"/>
    </row>
    <row r="158" spans="2:19" x14ac:dyDescent="0.2">
      <c r="B158" s="1"/>
      <c r="I158" s="1"/>
      <c r="J158" s="1"/>
      <c r="M158" s="1"/>
      <c r="Q158" s="30"/>
      <c r="R158" s="30"/>
      <c r="S158" s="3"/>
    </row>
    <row r="159" spans="2:19" x14ac:dyDescent="0.2">
      <c r="B159" s="1"/>
      <c r="I159" s="1"/>
      <c r="J159" s="1"/>
      <c r="M159" s="1"/>
      <c r="Q159" s="30"/>
      <c r="R159" s="30"/>
      <c r="S159" s="3"/>
    </row>
    <row r="160" spans="2:19" x14ac:dyDescent="0.2">
      <c r="B160" s="1"/>
      <c r="I160" s="1"/>
      <c r="J160" s="1"/>
      <c r="M160" s="1"/>
      <c r="Q160" s="30"/>
      <c r="R160" s="30"/>
      <c r="S160" s="3"/>
    </row>
    <row r="161" spans="2:19" x14ac:dyDescent="0.2">
      <c r="B161" s="1"/>
      <c r="I161" s="1"/>
      <c r="J161" s="1"/>
      <c r="M161" s="1"/>
      <c r="Q161" s="30"/>
      <c r="R161" s="30"/>
      <c r="S161" s="3"/>
    </row>
    <row r="162" spans="2:19" x14ac:dyDescent="0.2">
      <c r="B162" s="1"/>
      <c r="I162" s="1"/>
      <c r="J162" s="1"/>
      <c r="M162" s="1"/>
      <c r="Q162" s="30"/>
      <c r="R162" s="30"/>
      <c r="S162" s="3"/>
    </row>
    <row r="163" spans="2:19" x14ac:dyDescent="0.2">
      <c r="B163" s="1"/>
      <c r="I163" s="1"/>
      <c r="J163" s="1"/>
      <c r="M163" s="1"/>
      <c r="Q163" s="30"/>
      <c r="R163" s="30"/>
      <c r="S163" s="3"/>
    </row>
    <row r="164" spans="2:19" x14ac:dyDescent="0.2">
      <c r="B164" s="1"/>
      <c r="I164" s="1"/>
      <c r="J164" s="1"/>
      <c r="M164" s="1"/>
      <c r="Q164" s="30"/>
      <c r="R164" s="30"/>
      <c r="S164" s="3"/>
    </row>
    <row r="165" spans="2:19" x14ac:dyDescent="0.2">
      <c r="B165" s="1"/>
      <c r="I165" s="1"/>
      <c r="J165" s="1"/>
      <c r="M165" s="1"/>
      <c r="Q165" s="30"/>
      <c r="R165" s="30"/>
      <c r="S165" s="3"/>
    </row>
    <row r="166" spans="2:19" x14ac:dyDescent="0.2">
      <c r="B166" s="1"/>
      <c r="I166" s="1"/>
      <c r="J166" s="1"/>
      <c r="M166" s="1"/>
      <c r="Q166" s="30"/>
      <c r="R166" s="30"/>
      <c r="S166" s="3"/>
    </row>
    <row r="167" spans="2:19" x14ac:dyDescent="0.2">
      <c r="B167" s="1"/>
      <c r="I167" s="1"/>
      <c r="J167" s="1"/>
      <c r="S167" s="3"/>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4DE7D-EAE1-EF45-8DD0-D165BF23BDA0}">
  <dimension ref="A1:AO151"/>
  <sheetViews>
    <sheetView workbookViewId="0">
      <selection activeCell="F14" sqref="F14"/>
    </sheetView>
  </sheetViews>
  <sheetFormatPr baseColWidth="10" defaultRowHeight="15" x14ac:dyDescent="0.2"/>
  <cols>
    <col min="31" max="31" width="10.83203125" customWidth="1"/>
    <col min="32" max="32" width="20" customWidth="1"/>
  </cols>
  <sheetData>
    <row r="1" spans="1:41" ht="23" x14ac:dyDescent="0.2">
      <c r="A1" s="48" t="s">
        <v>892</v>
      </c>
      <c r="B1" s="49"/>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1"/>
      <c r="AG1" s="52"/>
      <c r="AH1" s="52"/>
      <c r="AI1" s="52"/>
      <c r="AJ1" s="52"/>
      <c r="AK1" s="52"/>
      <c r="AL1" s="52"/>
      <c r="AM1" s="52"/>
      <c r="AN1" s="52"/>
      <c r="AO1" s="52"/>
    </row>
    <row r="2" spans="1:41" ht="16" x14ac:dyDescent="0.2">
      <c r="A2" s="53"/>
      <c r="B2" s="53"/>
      <c r="C2" s="54" t="s">
        <v>893</v>
      </c>
      <c r="D2" s="54"/>
      <c r="E2" s="54"/>
      <c r="F2" s="55"/>
      <c r="G2" s="55"/>
      <c r="H2" s="55"/>
      <c r="I2" s="55"/>
      <c r="J2" s="55"/>
      <c r="K2" s="55"/>
      <c r="L2" s="53"/>
      <c r="M2" s="56" t="s">
        <v>894</v>
      </c>
      <c r="N2" s="56"/>
      <c r="O2" s="56"/>
      <c r="P2" s="56"/>
      <c r="Q2" s="56"/>
      <c r="R2" s="56"/>
      <c r="S2" s="56"/>
      <c r="T2" s="56"/>
      <c r="U2" s="56"/>
      <c r="V2" s="56"/>
      <c r="W2" s="56"/>
      <c r="X2" s="56"/>
      <c r="Y2" s="57"/>
      <c r="Z2" s="57"/>
      <c r="AA2" s="57"/>
      <c r="AB2" s="57"/>
      <c r="AC2" s="57"/>
      <c r="AD2" s="57"/>
      <c r="AE2" s="57"/>
      <c r="AF2" s="58" t="s">
        <v>895</v>
      </c>
      <c r="AG2" s="54" t="s">
        <v>896</v>
      </c>
      <c r="AH2" s="54"/>
      <c r="AI2" s="54"/>
      <c r="AJ2" s="54"/>
      <c r="AK2" s="54"/>
      <c r="AL2" s="54"/>
      <c r="AM2" s="54"/>
      <c r="AN2" s="54"/>
      <c r="AO2" s="54"/>
    </row>
    <row r="3" spans="1:41" ht="35" thickBot="1" x14ac:dyDescent="0.25">
      <c r="A3" s="57" t="s">
        <v>897</v>
      </c>
      <c r="B3" s="55" t="s">
        <v>898</v>
      </c>
      <c r="C3" s="54"/>
      <c r="D3" s="54"/>
      <c r="E3" s="54"/>
      <c r="F3" s="55"/>
      <c r="G3" s="55"/>
      <c r="H3" s="55"/>
      <c r="I3" s="55"/>
      <c r="J3" s="55"/>
      <c r="K3" s="55"/>
      <c r="L3" s="59"/>
      <c r="M3" s="60" t="s">
        <v>899</v>
      </c>
      <c r="N3" s="60"/>
      <c r="O3" s="60"/>
      <c r="P3" s="61" t="s">
        <v>900</v>
      </c>
      <c r="Q3" s="61"/>
      <c r="R3" s="61"/>
      <c r="S3" s="61" t="s">
        <v>901</v>
      </c>
      <c r="T3" s="61"/>
      <c r="U3" s="61"/>
      <c r="V3" s="61" t="s">
        <v>902</v>
      </c>
      <c r="W3" s="61"/>
      <c r="X3" s="61"/>
      <c r="Y3" s="57"/>
      <c r="Z3" s="57"/>
      <c r="AA3" s="57"/>
      <c r="AB3" s="57"/>
      <c r="AC3" s="57"/>
      <c r="AD3" s="57"/>
      <c r="AE3" s="57"/>
      <c r="AF3" s="58"/>
      <c r="AG3" s="54"/>
      <c r="AH3" s="54"/>
      <c r="AI3" s="54"/>
      <c r="AJ3" s="54"/>
      <c r="AK3" s="54"/>
      <c r="AL3" s="54"/>
      <c r="AM3" s="54"/>
      <c r="AN3" s="54"/>
      <c r="AO3" s="54"/>
    </row>
    <row r="4" spans="1:41" ht="32" x14ac:dyDescent="0.2">
      <c r="A4" s="53"/>
      <c r="B4" s="53"/>
      <c r="C4" s="62" t="s">
        <v>903</v>
      </c>
      <c r="D4" s="63" t="s">
        <v>904</v>
      </c>
      <c r="E4" s="64" t="s">
        <v>905</v>
      </c>
      <c r="F4" s="65" t="s">
        <v>903</v>
      </c>
      <c r="G4" s="65" t="s">
        <v>904</v>
      </c>
      <c r="H4" s="65" t="s">
        <v>905</v>
      </c>
      <c r="I4" s="65" t="s">
        <v>906</v>
      </c>
      <c r="J4" s="65" t="s">
        <v>907</v>
      </c>
      <c r="K4" s="65" t="s">
        <v>908</v>
      </c>
      <c r="L4" s="66" t="s">
        <v>909</v>
      </c>
      <c r="M4" s="67" t="s">
        <v>903</v>
      </c>
      <c r="N4" s="67" t="s">
        <v>904</v>
      </c>
      <c r="O4" s="68" t="s">
        <v>905</v>
      </c>
      <c r="P4" s="69" t="s">
        <v>903</v>
      </c>
      <c r="Q4" s="67" t="s">
        <v>904</v>
      </c>
      <c r="R4" s="68" t="s">
        <v>905</v>
      </c>
      <c r="S4" s="69" t="s">
        <v>903</v>
      </c>
      <c r="T4" s="67" t="s">
        <v>904</v>
      </c>
      <c r="U4" s="68" t="s">
        <v>905</v>
      </c>
      <c r="V4" s="70" t="s">
        <v>903</v>
      </c>
      <c r="W4" s="71" t="s">
        <v>904</v>
      </c>
      <c r="X4" s="72" t="s">
        <v>905</v>
      </c>
      <c r="Y4" s="73" t="s">
        <v>903</v>
      </c>
      <c r="Z4" s="65" t="s">
        <v>904</v>
      </c>
      <c r="AA4" s="65" t="s">
        <v>905</v>
      </c>
      <c r="AB4" s="65" t="s">
        <v>906</v>
      </c>
      <c r="AC4" s="65" t="s">
        <v>907</v>
      </c>
      <c r="AD4" s="65" t="s">
        <v>908</v>
      </c>
      <c r="AE4" s="66" t="s">
        <v>909</v>
      </c>
      <c r="AF4" s="74"/>
      <c r="AG4" s="75"/>
      <c r="AH4" s="75"/>
      <c r="AI4" s="75"/>
      <c r="AJ4" s="75"/>
      <c r="AK4" s="75"/>
      <c r="AL4" s="75"/>
      <c r="AM4" s="75"/>
      <c r="AN4" s="75"/>
      <c r="AO4" s="75"/>
    </row>
    <row r="5" spans="1:41" x14ac:dyDescent="0.2">
      <c r="A5" s="76" t="s">
        <v>26</v>
      </c>
      <c r="B5" s="76" t="s">
        <v>28</v>
      </c>
      <c r="C5" s="77" t="s">
        <v>910</v>
      </c>
      <c r="D5" s="78" t="s">
        <v>911</v>
      </c>
      <c r="E5" s="79" t="s">
        <v>911</v>
      </c>
      <c r="F5" s="80">
        <f>IF(AND($C5="+",$D5&lt;&gt;"+",$E5&lt;&gt;"+"),1,0)</f>
        <v>0</v>
      </c>
      <c r="G5" s="80">
        <f>IF(AND($C5&lt;&gt;"+",$D5="+",$E5&lt;&gt;"+"),1,0)</f>
        <v>0</v>
      </c>
      <c r="H5" s="80">
        <f>IF(AND($C5&lt;&gt;"+",$D5&lt;&gt;"+",$E5="+"),1,0)</f>
        <v>0</v>
      </c>
      <c r="I5" s="80">
        <f>IF(AND($C5="+",$D5="+",$E5&lt;&gt;"+"),1,0)</f>
        <v>0</v>
      </c>
      <c r="J5" s="80">
        <f>IF(AND($C5="+",$D5&lt;&gt;"+",$E5="+"),1,0)</f>
        <v>0</v>
      </c>
      <c r="K5" s="80">
        <f>IF(AND($C5&lt;&gt;"+",$D5="+",$E5="+"),1,0)</f>
        <v>1</v>
      </c>
      <c r="L5" s="80">
        <f>IF(AND($C5="+",$D5="+",$E5="+"),1,0)</f>
        <v>0</v>
      </c>
      <c r="M5" s="81" t="s">
        <v>911</v>
      </c>
      <c r="N5" s="81" t="s">
        <v>910</v>
      </c>
      <c r="O5" s="81" t="s">
        <v>911</v>
      </c>
      <c r="P5" s="82" t="s">
        <v>911</v>
      </c>
      <c r="Q5" s="81" t="s">
        <v>910</v>
      </c>
      <c r="R5" s="83" t="s">
        <v>911</v>
      </c>
      <c r="S5" s="81" t="s">
        <v>912</v>
      </c>
      <c r="T5" s="81" t="s">
        <v>912</v>
      </c>
      <c r="U5" s="81"/>
      <c r="V5" s="82" t="s">
        <v>911</v>
      </c>
      <c r="W5" s="81" t="s">
        <v>910</v>
      </c>
      <c r="X5" s="80" t="s">
        <v>911</v>
      </c>
      <c r="Y5" s="80">
        <f>IF(AND($V5="+",$W5&lt;&gt;"+",$X5&lt;&gt;"+"),1,0)</f>
        <v>0</v>
      </c>
      <c r="Z5" s="80">
        <f>IF(AND($V5&lt;&gt;"+",$W5="+",$X5&lt;&gt;"+"),1,0)</f>
        <v>0</v>
      </c>
      <c r="AA5" s="80">
        <f>IF(AND($V5&lt;&gt;"+",$W5&lt;&gt;"+",$X5="+"),1,0)</f>
        <v>0</v>
      </c>
      <c r="AB5" s="80">
        <f>IF(AND($V5="+",$W5="+",$X5&lt;&gt;"+"),1,0)</f>
        <v>0</v>
      </c>
      <c r="AC5" s="80">
        <f>IF(AND($V5="+",$W5&lt;&gt;"+",$X5="+"),1,0)</f>
        <v>1</v>
      </c>
      <c r="AD5" s="80">
        <f>IF(AND($V5&lt;&gt;"+",$W5="+",$X5="+"),1,0)</f>
        <v>0</v>
      </c>
      <c r="AE5" s="80">
        <f>IF(AND($V5="+",$W5="+",$X5="+"),1,0)</f>
        <v>0</v>
      </c>
      <c r="AF5" s="84"/>
      <c r="AG5" s="85">
        <v>11804590</v>
      </c>
      <c r="AH5" s="86"/>
      <c r="AI5" s="86"/>
      <c r="AJ5" s="86"/>
      <c r="AK5" s="86"/>
      <c r="AL5" s="86"/>
      <c r="AM5" s="86"/>
      <c r="AN5" s="86"/>
      <c r="AO5" s="87"/>
    </row>
    <row r="6" spans="1:41" x14ac:dyDescent="0.2">
      <c r="A6" s="88" t="s">
        <v>32</v>
      </c>
      <c r="B6" s="88" t="s">
        <v>913</v>
      </c>
      <c r="C6" s="89" t="s">
        <v>911</v>
      </c>
      <c r="D6" s="90" t="s">
        <v>911</v>
      </c>
      <c r="E6" s="91" t="s">
        <v>911</v>
      </c>
      <c r="F6" s="92">
        <f t="shared" ref="F6:F69" si="0">IF(AND($C6="+",$D6&lt;&gt;"+",$E6&lt;&gt;"+"),1,0)</f>
        <v>0</v>
      </c>
      <c r="G6" s="92">
        <f t="shared" ref="G6:G69" si="1">IF(AND($C6&lt;&gt;"+",$D6="+",$E6&lt;&gt;"+"),1,0)</f>
        <v>0</v>
      </c>
      <c r="H6" s="92">
        <f t="shared" ref="H6:H69" si="2">IF(AND($C6&lt;&gt;"+",$D6&lt;&gt;"+",$E6="+"),1,0)</f>
        <v>0</v>
      </c>
      <c r="I6" s="92">
        <f t="shared" ref="I6:I69" si="3">IF(AND($C6="+",$D6="+",$E6&lt;&gt;"+"),1,0)</f>
        <v>0</v>
      </c>
      <c r="J6" s="92">
        <f t="shared" ref="J6:J69" si="4">IF(AND($C6="+",$D6&lt;&gt;"+",$E6="+"),1,0)</f>
        <v>0</v>
      </c>
      <c r="K6" s="92">
        <f t="shared" ref="K6:K69" si="5">IF(AND($C6&lt;&gt;"+",$D6="+",$E6="+"),1,0)</f>
        <v>0</v>
      </c>
      <c r="L6" s="92">
        <f t="shared" ref="L6:L69" si="6">IF(AND($C6="+",$D6="+",$E6="+"),1,0)</f>
        <v>1</v>
      </c>
      <c r="M6" s="93" t="s">
        <v>910</v>
      </c>
      <c r="N6" s="93" t="s">
        <v>910</v>
      </c>
      <c r="O6" s="93" t="s">
        <v>910</v>
      </c>
      <c r="P6" s="94" t="s">
        <v>910</v>
      </c>
      <c r="Q6" s="93" t="s">
        <v>910</v>
      </c>
      <c r="R6" s="95" t="s">
        <v>910</v>
      </c>
      <c r="S6" s="93" t="s">
        <v>910</v>
      </c>
      <c r="T6" s="93" t="s">
        <v>910</v>
      </c>
      <c r="U6" s="93" t="s">
        <v>910</v>
      </c>
      <c r="V6" s="96" t="s">
        <v>910</v>
      </c>
      <c r="W6" s="97" t="s">
        <v>910</v>
      </c>
      <c r="X6" s="92" t="s">
        <v>910</v>
      </c>
      <c r="Y6" s="92">
        <f t="shared" ref="Y6:Y69" si="7">IF(AND($V6="+",$W6&lt;&gt;"+",$X6&lt;&gt;"+"),1,0)</f>
        <v>0</v>
      </c>
      <c r="Z6" s="92">
        <f t="shared" ref="Z6:Z69" si="8">IF(AND($V6&lt;&gt;"+",$W6="+",$X6&lt;&gt;"+"),1,0)</f>
        <v>0</v>
      </c>
      <c r="AA6" s="92">
        <f t="shared" ref="AA6:AA69" si="9">IF(AND($V6&lt;&gt;"+",$W6&lt;&gt;"+",$X6="+"),1,0)</f>
        <v>0</v>
      </c>
      <c r="AB6" s="92">
        <f t="shared" ref="AB6:AB69" si="10">IF(AND($V6="+",$W6="+",$X6&lt;&gt;"+"),1,0)</f>
        <v>0</v>
      </c>
      <c r="AC6" s="92">
        <f t="shared" ref="AC6:AC69" si="11">IF(AND($V6="+",$W6&lt;&gt;"+",$X6="+"),1,0)</f>
        <v>0</v>
      </c>
      <c r="AD6" s="92">
        <f t="shared" ref="AD6:AD69" si="12">IF(AND($V6&lt;&gt;"+",$W6="+",$X6="+"),1,0)</f>
        <v>0</v>
      </c>
      <c r="AE6" s="92">
        <f t="shared" ref="AE6:AE69" si="13">IF(AND($V6="+",$W6="+",$X6="+"),1,0)</f>
        <v>0</v>
      </c>
      <c r="AF6" s="98"/>
      <c r="AG6" s="99">
        <v>17077126</v>
      </c>
      <c r="AH6" s="99"/>
      <c r="AI6" s="100"/>
      <c r="AJ6" s="100"/>
      <c r="AK6" s="100"/>
      <c r="AL6" s="100"/>
      <c r="AM6" s="100"/>
      <c r="AN6" s="100"/>
      <c r="AO6" s="101"/>
    </row>
    <row r="7" spans="1:41" x14ac:dyDescent="0.2">
      <c r="A7" s="76" t="s">
        <v>37</v>
      </c>
      <c r="B7" s="76" t="s">
        <v>28</v>
      </c>
      <c r="C7" s="102" t="s">
        <v>910</v>
      </c>
      <c r="D7" s="103" t="s">
        <v>911</v>
      </c>
      <c r="E7" s="104" t="s">
        <v>911</v>
      </c>
      <c r="F7" s="105">
        <f t="shared" si="0"/>
        <v>0</v>
      </c>
      <c r="G7" s="105">
        <f t="shared" si="1"/>
        <v>0</v>
      </c>
      <c r="H7" s="105">
        <f t="shared" si="2"/>
        <v>0</v>
      </c>
      <c r="I7" s="105">
        <f t="shared" si="3"/>
        <v>0</v>
      </c>
      <c r="J7" s="105">
        <f t="shared" si="4"/>
        <v>0</v>
      </c>
      <c r="K7" s="105">
        <f t="shared" si="5"/>
        <v>1</v>
      </c>
      <c r="L7" s="105">
        <f t="shared" si="6"/>
        <v>0</v>
      </c>
      <c r="M7" s="50" t="s">
        <v>911</v>
      </c>
      <c r="N7" s="50" t="s">
        <v>914</v>
      </c>
      <c r="O7" s="50" t="s">
        <v>914</v>
      </c>
      <c r="P7" s="106" t="s">
        <v>911</v>
      </c>
      <c r="Q7" s="50" t="s">
        <v>914</v>
      </c>
      <c r="R7" s="107" t="s">
        <v>914</v>
      </c>
      <c r="S7" s="50" t="s">
        <v>911</v>
      </c>
      <c r="T7" s="50" t="s">
        <v>910</v>
      </c>
      <c r="U7" s="50"/>
      <c r="V7" s="106" t="s">
        <v>911</v>
      </c>
      <c r="W7" s="50" t="s">
        <v>910</v>
      </c>
      <c r="X7" s="105" t="s">
        <v>914</v>
      </c>
      <c r="Y7" s="105">
        <f t="shared" si="7"/>
        <v>1</v>
      </c>
      <c r="Z7" s="105">
        <f t="shared" si="8"/>
        <v>0</v>
      </c>
      <c r="AA7" s="105">
        <f t="shared" si="9"/>
        <v>0</v>
      </c>
      <c r="AB7" s="105">
        <f t="shared" si="10"/>
        <v>0</v>
      </c>
      <c r="AC7" s="105">
        <f t="shared" si="11"/>
        <v>0</v>
      </c>
      <c r="AD7" s="105">
        <f t="shared" si="12"/>
        <v>0</v>
      </c>
      <c r="AE7" s="105">
        <f t="shared" si="13"/>
        <v>0</v>
      </c>
      <c r="AF7" s="108"/>
      <c r="AG7" s="109">
        <v>11804589</v>
      </c>
      <c r="AH7" s="109">
        <v>15296756</v>
      </c>
      <c r="AI7" s="109">
        <v>21490342</v>
      </c>
      <c r="AJ7" s="109">
        <v>15546919</v>
      </c>
      <c r="AK7" s="109">
        <v>15296756</v>
      </c>
      <c r="AL7" s="110"/>
      <c r="AM7" s="110"/>
      <c r="AN7" s="110"/>
      <c r="AO7" s="111"/>
    </row>
    <row r="8" spans="1:41" x14ac:dyDescent="0.2">
      <c r="A8" s="88" t="s">
        <v>41</v>
      </c>
      <c r="B8" s="88" t="s">
        <v>28</v>
      </c>
      <c r="C8" s="89" t="s">
        <v>911</v>
      </c>
      <c r="D8" s="90" t="s">
        <v>910</v>
      </c>
      <c r="E8" s="91" t="s">
        <v>911</v>
      </c>
      <c r="F8" s="92">
        <f t="shared" si="0"/>
        <v>0</v>
      </c>
      <c r="G8" s="92">
        <f t="shared" si="1"/>
        <v>0</v>
      </c>
      <c r="H8" s="92">
        <f t="shared" si="2"/>
        <v>0</v>
      </c>
      <c r="I8" s="92">
        <f t="shared" si="3"/>
        <v>0</v>
      </c>
      <c r="J8" s="92">
        <f t="shared" si="4"/>
        <v>1</v>
      </c>
      <c r="K8" s="92">
        <f t="shared" si="5"/>
        <v>0</v>
      </c>
      <c r="L8" s="92">
        <f t="shared" si="6"/>
        <v>0</v>
      </c>
      <c r="M8" s="93" t="s">
        <v>914</v>
      </c>
      <c r="N8" s="93" t="s">
        <v>914</v>
      </c>
      <c r="O8" s="93" t="s">
        <v>911</v>
      </c>
      <c r="P8" s="94" t="s">
        <v>914</v>
      </c>
      <c r="Q8" s="93" t="s">
        <v>914</v>
      </c>
      <c r="R8" s="95" t="s">
        <v>911</v>
      </c>
      <c r="S8" s="93" t="s">
        <v>914</v>
      </c>
      <c r="T8" s="93" t="s">
        <v>910</v>
      </c>
      <c r="U8" s="93" t="s">
        <v>911</v>
      </c>
      <c r="V8" s="96" t="s">
        <v>914</v>
      </c>
      <c r="W8" s="97" t="s">
        <v>910</v>
      </c>
      <c r="X8" s="92" t="s">
        <v>911</v>
      </c>
      <c r="Y8" s="92">
        <f t="shared" si="7"/>
        <v>0</v>
      </c>
      <c r="Z8" s="92">
        <f t="shared" si="8"/>
        <v>0</v>
      </c>
      <c r="AA8" s="92">
        <f t="shared" si="9"/>
        <v>1</v>
      </c>
      <c r="AB8" s="92">
        <f t="shared" si="10"/>
        <v>0</v>
      </c>
      <c r="AC8" s="92">
        <f t="shared" si="11"/>
        <v>0</v>
      </c>
      <c r="AD8" s="92">
        <f t="shared" si="12"/>
        <v>0</v>
      </c>
      <c r="AE8" s="92">
        <f t="shared" si="13"/>
        <v>0</v>
      </c>
      <c r="AF8" s="98"/>
      <c r="AG8" s="99">
        <v>16914516</v>
      </c>
      <c r="AH8" s="99">
        <v>12195014</v>
      </c>
      <c r="AI8" s="99">
        <v>20660160</v>
      </c>
      <c r="AJ8" s="99">
        <v>8288572</v>
      </c>
      <c r="AK8" s="99">
        <v>8262058</v>
      </c>
      <c r="AL8" s="99">
        <v>16157885</v>
      </c>
      <c r="AM8" s="99">
        <v>8253717</v>
      </c>
      <c r="AN8" s="99">
        <v>27481945</v>
      </c>
      <c r="AO8" s="101"/>
    </row>
    <row r="9" spans="1:41" x14ac:dyDescent="0.2">
      <c r="A9" s="76" t="s">
        <v>45</v>
      </c>
      <c r="B9" s="76" t="s">
        <v>28</v>
      </c>
      <c r="C9" s="102" t="s">
        <v>910</v>
      </c>
      <c r="D9" s="103" t="s">
        <v>911</v>
      </c>
      <c r="E9" s="104" t="s">
        <v>910</v>
      </c>
      <c r="F9" s="105">
        <f t="shared" si="0"/>
        <v>0</v>
      </c>
      <c r="G9" s="105">
        <f t="shared" si="1"/>
        <v>1</v>
      </c>
      <c r="H9" s="105">
        <f t="shared" si="2"/>
        <v>0</v>
      </c>
      <c r="I9" s="105">
        <f t="shared" si="3"/>
        <v>0</v>
      </c>
      <c r="J9" s="105">
        <f t="shared" si="4"/>
        <v>0</v>
      </c>
      <c r="K9" s="105">
        <f t="shared" si="5"/>
        <v>0</v>
      </c>
      <c r="L9" s="105">
        <f t="shared" si="6"/>
        <v>0</v>
      </c>
      <c r="M9" s="50" t="s">
        <v>911</v>
      </c>
      <c r="N9" s="50" t="s">
        <v>911</v>
      </c>
      <c r="O9" s="50" t="s">
        <v>911</v>
      </c>
      <c r="P9" s="106" t="s">
        <v>911</v>
      </c>
      <c r="Q9" s="50" t="s">
        <v>911</v>
      </c>
      <c r="R9" s="107" t="s">
        <v>911</v>
      </c>
      <c r="S9" s="50" t="s">
        <v>912</v>
      </c>
      <c r="T9" s="50" t="s">
        <v>912</v>
      </c>
      <c r="U9" s="50" t="s">
        <v>912</v>
      </c>
      <c r="V9" s="106" t="s">
        <v>911</v>
      </c>
      <c r="W9" s="50" t="s">
        <v>911</v>
      </c>
      <c r="X9" s="105" t="s">
        <v>911</v>
      </c>
      <c r="Y9" s="105">
        <f t="shared" si="7"/>
        <v>0</v>
      </c>
      <c r="Z9" s="105">
        <f t="shared" si="8"/>
        <v>0</v>
      </c>
      <c r="AA9" s="105">
        <f t="shared" si="9"/>
        <v>0</v>
      </c>
      <c r="AB9" s="105">
        <f t="shared" si="10"/>
        <v>0</v>
      </c>
      <c r="AC9" s="105">
        <f t="shared" si="11"/>
        <v>0</v>
      </c>
      <c r="AD9" s="105">
        <f t="shared" si="12"/>
        <v>0</v>
      </c>
      <c r="AE9" s="105">
        <f t="shared" si="13"/>
        <v>1</v>
      </c>
      <c r="AF9" s="108"/>
      <c r="AG9" s="109">
        <v>12414125</v>
      </c>
      <c r="AH9" s="109">
        <v>17804252</v>
      </c>
      <c r="AI9" s="110"/>
      <c r="AJ9" s="110"/>
      <c r="AK9" s="110"/>
      <c r="AL9" s="110"/>
      <c r="AM9" s="110"/>
      <c r="AN9" s="110"/>
      <c r="AO9" s="111"/>
    </row>
    <row r="10" spans="1:41" x14ac:dyDescent="0.2">
      <c r="A10" s="88" t="s">
        <v>49</v>
      </c>
      <c r="B10" s="88" t="s">
        <v>28</v>
      </c>
      <c r="C10" s="89" t="s">
        <v>911</v>
      </c>
      <c r="D10" s="90" t="s">
        <v>910</v>
      </c>
      <c r="E10" s="91" t="s">
        <v>910</v>
      </c>
      <c r="F10" s="92">
        <f t="shared" si="0"/>
        <v>1</v>
      </c>
      <c r="G10" s="92">
        <f t="shared" si="1"/>
        <v>0</v>
      </c>
      <c r="H10" s="92">
        <f t="shared" si="2"/>
        <v>0</v>
      </c>
      <c r="I10" s="92">
        <f t="shared" si="3"/>
        <v>0</v>
      </c>
      <c r="J10" s="92">
        <f t="shared" si="4"/>
        <v>0</v>
      </c>
      <c r="K10" s="92">
        <f t="shared" si="5"/>
        <v>0</v>
      </c>
      <c r="L10" s="92">
        <f t="shared" si="6"/>
        <v>0</v>
      </c>
      <c r="M10" s="93" t="s">
        <v>911</v>
      </c>
      <c r="N10" s="93" t="s">
        <v>911</v>
      </c>
      <c r="O10" s="93" t="s">
        <v>911</v>
      </c>
      <c r="P10" s="94" t="s">
        <v>911</v>
      </c>
      <c r="Q10" s="93" t="s">
        <v>911</v>
      </c>
      <c r="R10" s="95" t="s">
        <v>911</v>
      </c>
      <c r="S10" s="93" t="s">
        <v>911</v>
      </c>
      <c r="T10" s="93" t="s">
        <v>912</v>
      </c>
      <c r="U10" s="93" t="s">
        <v>912</v>
      </c>
      <c r="V10" s="96" t="s">
        <v>911</v>
      </c>
      <c r="W10" s="97" t="s">
        <v>911</v>
      </c>
      <c r="X10" s="92" t="s">
        <v>911</v>
      </c>
      <c r="Y10" s="92">
        <f t="shared" si="7"/>
        <v>0</v>
      </c>
      <c r="Z10" s="92">
        <f t="shared" si="8"/>
        <v>0</v>
      </c>
      <c r="AA10" s="92">
        <f t="shared" si="9"/>
        <v>0</v>
      </c>
      <c r="AB10" s="92">
        <f t="shared" si="10"/>
        <v>0</v>
      </c>
      <c r="AC10" s="92">
        <f t="shared" si="11"/>
        <v>0</v>
      </c>
      <c r="AD10" s="92">
        <f t="shared" si="12"/>
        <v>0</v>
      </c>
      <c r="AE10" s="92">
        <f t="shared" si="13"/>
        <v>1</v>
      </c>
      <c r="AF10" s="98"/>
      <c r="AG10" s="99">
        <v>18948007</v>
      </c>
      <c r="AH10" s="99">
        <v>8537347</v>
      </c>
      <c r="AI10" s="99">
        <v>23552690</v>
      </c>
      <c r="AJ10" s="100"/>
      <c r="AK10" s="100"/>
      <c r="AL10" s="100"/>
      <c r="AM10" s="100"/>
      <c r="AN10" s="100"/>
      <c r="AO10" s="101"/>
    </row>
    <row r="11" spans="1:41" x14ac:dyDescent="0.2">
      <c r="A11" s="76" t="s">
        <v>53</v>
      </c>
      <c r="B11" s="76" t="s">
        <v>28</v>
      </c>
      <c r="C11" s="102" t="s">
        <v>911</v>
      </c>
      <c r="D11" s="103" t="s">
        <v>910</v>
      </c>
      <c r="E11" s="104" t="s">
        <v>910</v>
      </c>
      <c r="F11" s="105">
        <f t="shared" si="0"/>
        <v>1</v>
      </c>
      <c r="G11" s="105">
        <f t="shared" si="1"/>
        <v>0</v>
      </c>
      <c r="H11" s="105">
        <f t="shared" si="2"/>
        <v>0</v>
      </c>
      <c r="I11" s="105">
        <f t="shared" si="3"/>
        <v>0</v>
      </c>
      <c r="J11" s="105">
        <f t="shared" si="4"/>
        <v>0</v>
      </c>
      <c r="K11" s="105">
        <f t="shared" si="5"/>
        <v>0</v>
      </c>
      <c r="L11" s="105">
        <f t="shared" si="6"/>
        <v>0</v>
      </c>
      <c r="M11" s="50" t="s">
        <v>911</v>
      </c>
      <c r="N11" s="50" t="s">
        <v>910</v>
      </c>
      <c r="O11" s="50" t="s">
        <v>910</v>
      </c>
      <c r="P11" s="106" t="s">
        <v>911</v>
      </c>
      <c r="Q11" s="50" t="s">
        <v>910</v>
      </c>
      <c r="R11" s="107" t="s">
        <v>910</v>
      </c>
      <c r="S11" s="50" t="s">
        <v>912</v>
      </c>
      <c r="T11" s="50" t="s">
        <v>912</v>
      </c>
      <c r="U11" s="50" t="s">
        <v>912</v>
      </c>
      <c r="V11" s="106" t="s">
        <v>911</v>
      </c>
      <c r="W11" s="50" t="s">
        <v>910</v>
      </c>
      <c r="X11" s="105" t="s">
        <v>910</v>
      </c>
      <c r="Y11" s="105">
        <f t="shared" si="7"/>
        <v>1</v>
      </c>
      <c r="Z11" s="105">
        <f t="shared" si="8"/>
        <v>0</v>
      </c>
      <c r="AA11" s="105">
        <f t="shared" si="9"/>
        <v>0</v>
      </c>
      <c r="AB11" s="105">
        <f t="shared" si="10"/>
        <v>0</v>
      </c>
      <c r="AC11" s="105">
        <f t="shared" si="11"/>
        <v>0</v>
      </c>
      <c r="AD11" s="105">
        <f t="shared" si="12"/>
        <v>0</v>
      </c>
      <c r="AE11" s="105">
        <f t="shared" si="13"/>
        <v>0</v>
      </c>
      <c r="AF11" s="108"/>
      <c r="AG11" s="109">
        <v>10699171</v>
      </c>
      <c r="AH11" s="110"/>
      <c r="AI11" s="110"/>
      <c r="AJ11" s="110"/>
      <c r="AK11" s="110"/>
      <c r="AL11" s="110"/>
      <c r="AM11" s="110"/>
      <c r="AN11" s="110"/>
      <c r="AO11" s="111"/>
    </row>
    <row r="12" spans="1:41" x14ac:dyDescent="0.2">
      <c r="A12" s="88" t="s">
        <v>57</v>
      </c>
      <c r="B12" s="88" t="s">
        <v>28</v>
      </c>
      <c r="C12" s="89" t="s">
        <v>911</v>
      </c>
      <c r="D12" s="90" t="s">
        <v>910</v>
      </c>
      <c r="E12" s="91" t="s">
        <v>910</v>
      </c>
      <c r="F12" s="92">
        <f t="shared" si="0"/>
        <v>1</v>
      </c>
      <c r="G12" s="92">
        <f t="shared" si="1"/>
        <v>0</v>
      </c>
      <c r="H12" s="92">
        <f t="shared" si="2"/>
        <v>0</v>
      </c>
      <c r="I12" s="92">
        <f t="shared" si="3"/>
        <v>0</v>
      </c>
      <c r="J12" s="92">
        <f t="shared" si="4"/>
        <v>0</v>
      </c>
      <c r="K12" s="92">
        <f t="shared" si="5"/>
        <v>0</v>
      </c>
      <c r="L12" s="92">
        <f t="shared" si="6"/>
        <v>0</v>
      </c>
      <c r="M12" s="93" t="s">
        <v>911</v>
      </c>
      <c r="N12" s="93" t="s">
        <v>910</v>
      </c>
      <c r="O12" s="93" t="s">
        <v>914</v>
      </c>
      <c r="P12" s="94" t="s">
        <v>911</v>
      </c>
      <c r="Q12" s="93" t="s">
        <v>910</v>
      </c>
      <c r="R12" s="95" t="s">
        <v>911</v>
      </c>
      <c r="S12" s="93" t="s">
        <v>911</v>
      </c>
      <c r="T12" s="93" t="s">
        <v>910</v>
      </c>
      <c r="U12" s="93" t="s">
        <v>910</v>
      </c>
      <c r="V12" s="96" t="s">
        <v>911</v>
      </c>
      <c r="W12" s="97" t="s">
        <v>910</v>
      </c>
      <c r="X12" s="92" t="s">
        <v>914</v>
      </c>
      <c r="Y12" s="92">
        <f t="shared" si="7"/>
        <v>1</v>
      </c>
      <c r="Z12" s="92">
        <f t="shared" si="8"/>
        <v>0</v>
      </c>
      <c r="AA12" s="92">
        <f t="shared" si="9"/>
        <v>0</v>
      </c>
      <c r="AB12" s="92">
        <f t="shared" si="10"/>
        <v>0</v>
      </c>
      <c r="AC12" s="92">
        <f t="shared" si="11"/>
        <v>0</v>
      </c>
      <c r="AD12" s="92">
        <f t="shared" si="12"/>
        <v>0</v>
      </c>
      <c r="AE12" s="92">
        <f t="shared" si="13"/>
        <v>0</v>
      </c>
      <c r="AF12" s="98"/>
      <c r="AG12" s="99">
        <v>12944407</v>
      </c>
      <c r="AH12" s="99"/>
      <c r="AI12" s="100"/>
      <c r="AJ12" s="100"/>
      <c r="AK12" s="100"/>
      <c r="AL12" s="100"/>
      <c r="AM12" s="100"/>
      <c r="AN12" s="100"/>
      <c r="AO12" s="101"/>
    </row>
    <row r="13" spans="1:41" x14ac:dyDescent="0.2">
      <c r="A13" s="76" t="s">
        <v>61</v>
      </c>
      <c r="B13" s="76" t="s">
        <v>28</v>
      </c>
      <c r="C13" s="102" t="s">
        <v>910</v>
      </c>
      <c r="D13" s="103" t="s">
        <v>911</v>
      </c>
      <c r="E13" s="104" t="s">
        <v>910</v>
      </c>
      <c r="F13" s="105">
        <f t="shared" si="0"/>
        <v>0</v>
      </c>
      <c r="G13" s="105">
        <f t="shared" si="1"/>
        <v>1</v>
      </c>
      <c r="H13" s="105">
        <f t="shared" si="2"/>
        <v>0</v>
      </c>
      <c r="I13" s="105">
        <f t="shared" si="3"/>
        <v>0</v>
      </c>
      <c r="J13" s="105">
        <f t="shared" si="4"/>
        <v>0</v>
      </c>
      <c r="K13" s="105">
        <f t="shared" si="5"/>
        <v>0</v>
      </c>
      <c r="L13" s="105">
        <f t="shared" si="6"/>
        <v>0</v>
      </c>
      <c r="M13" s="50" t="s">
        <v>910</v>
      </c>
      <c r="N13" s="50" t="s">
        <v>911</v>
      </c>
      <c r="O13" s="50" t="s">
        <v>911</v>
      </c>
      <c r="P13" s="106" t="s">
        <v>910</v>
      </c>
      <c r="Q13" s="50" t="s">
        <v>911</v>
      </c>
      <c r="R13" s="107" t="s">
        <v>911</v>
      </c>
      <c r="S13" s="50" t="s">
        <v>912</v>
      </c>
      <c r="T13" s="50" t="s">
        <v>912</v>
      </c>
      <c r="U13" s="50" t="s">
        <v>912</v>
      </c>
      <c r="V13" s="106" t="s">
        <v>910</v>
      </c>
      <c r="W13" s="50" t="s">
        <v>911</v>
      </c>
      <c r="X13" s="105" t="s">
        <v>911</v>
      </c>
      <c r="Y13" s="105">
        <f t="shared" si="7"/>
        <v>0</v>
      </c>
      <c r="Z13" s="105">
        <f t="shared" si="8"/>
        <v>0</v>
      </c>
      <c r="AA13" s="105">
        <f t="shared" si="9"/>
        <v>0</v>
      </c>
      <c r="AB13" s="105">
        <f t="shared" si="10"/>
        <v>0</v>
      </c>
      <c r="AC13" s="105">
        <f t="shared" si="11"/>
        <v>0</v>
      </c>
      <c r="AD13" s="105">
        <f t="shared" si="12"/>
        <v>1</v>
      </c>
      <c r="AE13" s="105">
        <f t="shared" si="13"/>
        <v>0</v>
      </c>
      <c r="AF13" s="108"/>
      <c r="AG13" s="109">
        <v>11396949</v>
      </c>
      <c r="AH13" s="110"/>
      <c r="AI13" s="110"/>
      <c r="AJ13" s="110"/>
      <c r="AK13" s="110"/>
      <c r="AL13" s="110"/>
      <c r="AM13" s="110"/>
      <c r="AN13" s="110"/>
      <c r="AO13" s="111"/>
    </row>
    <row r="14" spans="1:41" x14ac:dyDescent="0.2">
      <c r="A14" s="88" t="s">
        <v>65</v>
      </c>
      <c r="B14" s="88" t="s">
        <v>28</v>
      </c>
      <c r="C14" s="89" t="s">
        <v>911</v>
      </c>
      <c r="D14" s="90" t="s">
        <v>910</v>
      </c>
      <c r="E14" s="91" t="s">
        <v>910</v>
      </c>
      <c r="F14" s="92">
        <f t="shared" si="0"/>
        <v>1</v>
      </c>
      <c r="G14" s="92">
        <f t="shared" si="1"/>
        <v>0</v>
      </c>
      <c r="H14" s="92">
        <f t="shared" si="2"/>
        <v>0</v>
      </c>
      <c r="I14" s="92">
        <f t="shared" si="3"/>
        <v>0</v>
      </c>
      <c r="J14" s="92">
        <f t="shared" si="4"/>
        <v>0</v>
      </c>
      <c r="K14" s="92">
        <f t="shared" si="5"/>
        <v>0</v>
      </c>
      <c r="L14" s="92">
        <f t="shared" si="6"/>
        <v>0</v>
      </c>
      <c r="M14" s="93" t="s">
        <v>911</v>
      </c>
      <c r="N14" s="93" t="s">
        <v>910</v>
      </c>
      <c r="O14" s="93" t="s">
        <v>911</v>
      </c>
      <c r="P14" s="94" t="s">
        <v>911</v>
      </c>
      <c r="Q14" s="93" t="s">
        <v>910</v>
      </c>
      <c r="R14" s="95" t="s">
        <v>911</v>
      </c>
      <c r="S14" s="93" t="s">
        <v>911</v>
      </c>
      <c r="T14" s="93" t="s">
        <v>910</v>
      </c>
      <c r="U14" s="93" t="s">
        <v>911</v>
      </c>
      <c r="V14" s="96" t="s">
        <v>911</v>
      </c>
      <c r="W14" s="97" t="s">
        <v>910</v>
      </c>
      <c r="X14" s="92" t="s">
        <v>911</v>
      </c>
      <c r="Y14" s="92">
        <f t="shared" si="7"/>
        <v>0</v>
      </c>
      <c r="Z14" s="92">
        <f t="shared" si="8"/>
        <v>0</v>
      </c>
      <c r="AA14" s="92">
        <f t="shared" si="9"/>
        <v>0</v>
      </c>
      <c r="AB14" s="92">
        <f t="shared" si="10"/>
        <v>0</v>
      </c>
      <c r="AC14" s="92">
        <f t="shared" si="11"/>
        <v>1</v>
      </c>
      <c r="AD14" s="92">
        <f t="shared" si="12"/>
        <v>0</v>
      </c>
      <c r="AE14" s="92">
        <f t="shared" si="13"/>
        <v>0</v>
      </c>
      <c r="AF14" s="98"/>
      <c r="AG14" s="99">
        <v>11432776</v>
      </c>
      <c r="AH14" s="99">
        <v>11238453</v>
      </c>
      <c r="AI14" s="100"/>
      <c r="AJ14" s="100"/>
      <c r="AK14" s="100"/>
      <c r="AL14" s="100"/>
      <c r="AM14" s="100"/>
      <c r="AN14" s="100"/>
      <c r="AO14" s="101"/>
    </row>
    <row r="15" spans="1:41" x14ac:dyDescent="0.2">
      <c r="A15" s="76" t="s">
        <v>70</v>
      </c>
      <c r="B15" s="76" t="s">
        <v>28</v>
      </c>
      <c r="C15" s="102" t="s">
        <v>911</v>
      </c>
      <c r="D15" s="103" t="s">
        <v>910</v>
      </c>
      <c r="E15" s="104" t="s">
        <v>910</v>
      </c>
      <c r="F15" s="105">
        <f t="shared" si="0"/>
        <v>1</v>
      </c>
      <c r="G15" s="105">
        <f t="shared" si="1"/>
        <v>0</v>
      </c>
      <c r="H15" s="105">
        <f t="shared" si="2"/>
        <v>0</v>
      </c>
      <c r="I15" s="105">
        <f t="shared" si="3"/>
        <v>0</v>
      </c>
      <c r="J15" s="105">
        <f t="shared" si="4"/>
        <v>0</v>
      </c>
      <c r="K15" s="105">
        <f t="shared" si="5"/>
        <v>0</v>
      </c>
      <c r="L15" s="105">
        <f t="shared" si="6"/>
        <v>0</v>
      </c>
      <c r="M15" s="50" t="s">
        <v>911</v>
      </c>
      <c r="N15" s="50" t="s">
        <v>910</v>
      </c>
      <c r="O15" s="50" t="s">
        <v>910</v>
      </c>
      <c r="P15" s="106" t="s">
        <v>912</v>
      </c>
      <c r="Q15" s="50" t="s">
        <v>912</v>
      </c>
      <c r="R15" s="107" t="s">
        <v>912</v>
      </c>
      <c r="S15" s="50" t="s">
        <v>911</v>
      </c>
      <c r="T15" s="50" t="s">
        <v>910</v>
      </c>
      <c r="U15" s="50" t="s">
        <v>910</v>
      </c>
      <c r="V15" s="106" t="s">
        <v>911</v>
      </c>
      <c r="W15" s="50" t="s">
        <v>910</v>
      </c>
      <c r="X15" s="105" t="s">
        <v>910</v>
      </c>
      <c r="Y15" s="105">
        <f t="shared" si="7"/>
        <v>1</v>
      </c>
      <c r="Z15" s="105">
        <f t="shared" si="8"/>
        <v>0</v>
      </c>
      <c r="AA15" s="105">
        <f t="shared" si="9"/>
        <v>0</v>
      </c>
      <c r="AB15" s="105">
        <f t="shared" si="10"/>
        <v>0</v>
      </c>
      <c r="AC15" s="105">
        <f t="shared" si="11"/>
        <v>0</v>
      </c>
      <c r="AD15" s="105">
        <f t="shared" si="12"/>
        <v>0</v>
      </c>
      <c r="AE15" s="105">
        <f t="shared" si="13"/>
        <v>0</v>
      </c>
      <c r="AF15" s="108"/>
      <c r="AG15" s="109">
        <v>27216196</v>
      </c>
      <c r="AH15" s="110"/>
      <c r="AI15" s="110"/>
      <c r="AJ15" s="110"/>
      <c r="AK15" s="110"/>
      <c r="AL15" s="110"/>
      <c r="AM15" s="110"/>
      <c r="AN15" s="110"/>
      <c r="AO15" s="111"/>
    </row>
    <row r="16" spans="1:41" x14ac:dyDescent="0.2">
      <c r="A16" s="88" t="s">
        <v>74</v>
      </c>
      <c r="B16" s="88" t="s">
        <v>28</v>
      </c>
      <c r="C16" s="89" t="s">
        <v>911</v>
      </c>
      <c r="D16" s="90" t="s">
        <v>910</v>
      </c>
      <c r="E16" s="91" t="s">
        <v>911</v>
      </c>
      <c r="F16" s="92">
        <f t="shared" si="0"/>
        <v>0</v>
      </c>
      <c r="G16" s="92">
        <f t="shared" si="1"/>
        <v>0</v>
      </c>
      <c r="H16" s="92">
        <f t="shared" si="2"/>
        <v>0</v>
      </c>
      <c r="I16" s="92">
        <f t="shared" si="3"/>
        <v>0</v>
      </c>
      <c r="J16" s="92">
        <f t="shared" si="4"/>
        <v>1</v>
      </c>
      <c r="K16" s="92">
        <f t="shared" si="5"/>
        <v>0</v>
      </c>
      <c r="L16" s="92">
        <f t="shared" si="6"/>
        <v>0</v>
      </c>
      <c r="M16" s="93" t="s">
        <v>912</v>
      </c>
      <c r="N16" s="93" t="s">
        <v>912</v>
      </c>
      <c r="O16" s="93" t="s">
        <v>912</v>
      </c>
      <c r="P16" s="94" t="s">
        <v>912</v>
      </c>
      <c r="Q16" s="93" t="s">
        <v>912</v>
      </c>
      <c r="R16" s="95" t="s">
        <v>912</v>
      </c>
      <c r="S16" s="93" t="s">
        <v>912</v>
      </c>
      <c r="T16" s="93" t="s">
        <v>912</v>
      </c>
      <c r="U16" s="93" t="s">
        <v>912</v>
      </c>
      <c r="V16" s="96" t="s">
        <v>912</v>
      </c>
      <c r="W16" s="97" t="s">
        <v>912</v>
      </c>
      <c r="X16" s="92" t="s">
        <v>912</v>
      </c>
      <c r="Y16" s="92">
        <f t="shared" si="7"/>
        <v>0</v>
      </c>
      <c r="Z16" s="92">
        <f t="shared" si="8"/>
        <v>0</v>
      </c>
      <c r="AA16" s="92">
        <f t="shared" si="9"/>
        <v>0</v>
      </c>
      <c r="AB16" s="92">
        <f t="shared" si="10"/>
        <v>0</v>
      </c>
      <c r="AC16" s="92">
        <f t="shared" si="11"/>
        <v>0</v>
      </c>
      <c r="AD16" s="92">
        <f t="shared" si="12"/>
        <v>0</v>
      </c>
      <c r="AE16" s="92">
        <f t="shared" si="13"/>
        <v>0</v>
      </c>
      <c r="AF16" s="98"/>
      <c r="AG16" s="100"/>
      <c r="AH16" s="100"/>
      <c r="AI16" s="100"/>
      <c r="AJ16" s="100"/>
      <c r="AK16" s="100"/>
      <c r="AL16" s="100"/>
      <c r="AM16" s="100"/>
      <c r="AN16" s="100"/>
      <c r="AO16" s="101"/>
    </row>
    <row r="17" spans="1:41" x14ac:dyDescent="0.2">
      <c r="A17" s="76" t="s">
        <v>78</v>
      </c>
      <c r="B17" s="76" t="s">
        <v>28</v>
      </c>
      <c r="C17" s="102" t="s">
        <v>910</v>
      </c>
      <c r="D17" s="103" t="s">
        <v>911</v>
      </c>
      <c r="E17" s="104" t="s">
        <v>910</v>
      </c>
      <c r="F17" s="105">
        <f t="shared" si="0"/>
        <v>0</v>
      </c>
      <c r="G17" s="105">
        <f t="shared" si="1"/>
        <v>1</v>
      </c>
      <c r="H17" s="105">
        <f t="shared" si="2"/>
        <v>0</v>
      </c>
      <c r="I17" s="105">
        <f t="shared" si="3"/>
        <v>0</v>
      </c>
      <c r="J17" s="105">
        <f t="shared" si="4"/>
        <v>0</v>
      </c>
      <c r="K17" s="105">
        <f t="shared" si="5"/>
        <v>0</v>
      </c>
      <c r="L17" s="105">
        <f t="shared" si="6"/>
        <v>0</v>
      </c>
      <c r="M17" s="50" t="s">
        <v>910</v>
      </c>
      <c r="N17" s="50" t="s">
        <v>911</v>
      </c>
      <c r="O17" s="50" t="s">
        <v>910</v>
      </c>
      <c r="P17" s="106" t="s">
        <v>910</v>
      </c>
      <c r="Q17" s="50" t="s">
        <v>911</v>
      </c>
      <c r="R17" s="107" t="s">
        <v>910</v>
      </c>
      <c r="S17" s="50" t="s">
        <v>912</v>
      </c>
      <c r="T17" s="50" t="s">
        <v>911</v>
      </c>
      <c r="U17" s="50" t="s">
        <v>912</v>
      </c>
      <c r="V17" s="106" t="s">
        <v>910</v>
      </c>
      <c r="W17" s="50" t="s">
        <v>911</v>
      </c>
      <c r="X17" s="105" t="s">
        <v>910</v>
      </c>
      <c r="Y17" s="105">
        <f t="shared" si="7"/>
        <v>0</v>
      </c>
      <c r="Z17" s="105">
        <f t="shared" si="8"/>
        <v>1</v>
      </c>
      <c r="AA17" s="105">
        <f t="shared" si="9"/>
        <v>0</v>
      </c>
      <c r="AB17" s="105">
        <f t="shared" si="10"/>
        <v>0</v>
      </c>
      <c r="AC17" s="105">
        <f t="shared" si="11"/>
        <v>0</v>
      </c>
      <c r="AD17" s="105">
        <f t="shared" si="12"/>
        <v>0</v>
      </c>
      <c r="AE17" s="105">
        <f t="shared" si="13"/>
        <v>0</v>
      </c>
      <c r="AF17" s="108"/>
      <c r="AG17" s="109">
        <v>18504429</v>
      </c>
      <c r="AH17" s="109">
        <v>26854232</v>
      </c>
      <c r="AI17" s="110"/>
      <c r="AJ17" s="110"/>
      <c r="AK17" s="110"/>
      <c r="AL17" s="110"/>
      <c r="AM17" s="110"/>
      <c r="AN17" s="110"/>
      <c r="AO17" s="111"/>
    </row>
    <row r="18" spans="1:41" x14ac:dyDescent="0.2">
      <c r="A18" s="88" t="s">
        <v>82</v>
      </c>
      <c r="B18" s="88" t="s">
        <v>28</v>
      </c>
      <c r="C18" s="89" t="s">
        <v>910</v>
      </c>
      <c r="D18" s="90" t="s">
        <v>911</v>
      </c>
      <c r="E18" s="91" t="s">
        <v>910</v>
      </c>
      <c r="F18" s="92">
        <f t="shared" si="0"/>
        <v>0</v>
      </c>
      <c r="G18" s="92">
        <f t="shared" si="1"/>
        <v>1</v>
      </c>
      <c r="H18" s="92">
        <f t="shared" si="2"/>
        <v>0</v>
      </c>
      <c r="I18" s="92">
        <f t="shared" si="3"/>
        <v>0</v>
      </c>
      <c r="J18" s="92">
        <f t="shared" si="4"/>
        <v>0</v>
      </c>
      <c r="K18" s="92">
        <f t="shared" si="5"/>
        <v>0</v>
      </c>
      <c r="L18" s="92">
        <f t="shared" si="6"/>
        <v>0</v>
      </c>
      <c r="M18" s="93" t="s">
        <v>910</v>
      </c>
      <c r="N18" s="93" t="s">
        <v>911</v>
      </c>
      <c r="O18" s="93" t="s">
        <v>910</v>
      </c>
      <c r="P18" s="94" t="s">
        <v>910</v>
      </c>
      <c r="Q18" s="93" t="s">
        <v>911</v>
      </c>
      <c r="R18" s="95" t="s">
        <v>910</v>
      </c>
      <c r="S18" s="93" t="s">
        <v>912</v>
      </c>
      <c r="T18" s="93" t="s">
        <v>911</v>
      </c>
      <c r="U18" s="93" t="s">
        <v>912</v>
      </c>
      <c r="V18" s="96" t="s">
        <v>910</v>
      </c>
      <c r="W18" s="97" t="s">
        <v>911</v>
      </c>
      <c r="X18" s="92" t="s">
        <v>910</v>
      </c>
      <c r="Y18" s="92">
        <f t="shared" si="7"/>
        <v>0</v>
      </c>
      <c r="Z18" s="92">
        <f t="shared" si="8"/>
        <v>1</v>
      </c>
      <c r="AA18" s="92">
        <f t="shared" si="9"/>
        <v>0</v>
      </c>
      <c r="AB18" s="92">
        <f t="shared" si="10"/>
        <v>0</v>
      </c>
      <c r="AC18" s="92">
        <f t="shared" si="11"/>
        <v>0</v>
      </c>
      <c r="AD18" s="92">
        <f t="shared" si="12"/>
        <v>0</v>
      </c>
      <c r="AE18" s="92">
        <f t="shared" si="13"/>
        <v>0</v>
      </c>
      <c r="AF18" s="98" t="s">
        <v>915</v>
      </c>
      <c r="AG18" s="99">
        <v>12650940</v>
      </c>
      <c r="AH18" s="99">
        <v>27713499</v>
      </c>
      <c r="AI18" s="99">
        <v>27862679</v>
      </c>
      <c r="AJ18" s="100"/>
      <c r="AK18" s="100"/>
      <c r="AL18" s="100"/>
      <c r="AM18" s="100"/>
      <c r="AN18" s="100"/>
      <c r="AO18" s="101"/>
    </row>
    <row r="19" spans="1:41" x14ac:dyDescent="0.2">
      <c r="A19" s="76" t="s">
        <v>86</v>
      </c>
      <c r="B19" s="76" t="s">
        <v>28</v>
      </c>
      <c r="C19" s="102" t="s">
        <v>910</v>
      </c>
      <c r="D19" s="103" t="s">
        <v>910</v>
      </c>
      <c r="E19" s="104" t="s">
        <v>910</v>
      </c>
      <c r="F19" s="105">
        <f t="shared" si="0"/>
        <v>0</v>
      </c>
      <c r="G19" s="105">
        <f t="shared" si="1"/>
        <v>0</v>
      </c>
      <c r="H19" s="105">
        <f t="shared" si="2"/>
        <v>0</v>
      </c>
      <c r="I19" s="105">
        <f t="shared" si="3"/>
        <v>0</v>
      </c>
      <c r="J19" s="105">
        <f t="shared" si="4"/>
        <v>0</v>
      </c>
      <c r="K19" s="105">
        <f t="shared" si="5"/>
        <v>0</v>
      </c>
      <c r="L19" s="105">
        <f t="shared" si="6"/>
        <v>0</v>
      </c>
      <c r="M19" s="50" t="s">
        <v>914</v>
      </c>
      <c r="N19" s="50" t="s">
        <v>914</v>
      </c>
      <c r="O19" s="50" t="s">
        <v>914</v>
      </c>
      <c r="P19" s="106" t="s">
        <v>914</v>
      </c>
      <c r="Q19" s="50" t="s">
        <v>911</v>
      </c>
      <c r="R19" s="107" t="s">
        <v>911</v>
      </c>
      <c r="S19" s="50" t="s">
        <v>914</v>
      </c>
      <c r="T19" s="50" t="s">
        <v>910</v>
      </c>
      <c r="U19" s="50" t="s">
        <v>911</v>
      </c>
      <c r="V19" s="106" t="s">
        <v>914</v>
      </c>
      <c r="W19" s="50" t="s">
        <v>914</v>
      </c>
      <c r="X19" s="105" t="s">
        <v>911</v>
      </c>
      <c r="Y19" s="105">
        <f t="shared" si="7"/>
        <v>0</v>
      </c>
      <c r="Z19" s="105">
        <f t="shared" si="8"/>
        <v>0</v>
      </c>
      <c r="AA19" s="105">
        <f t="shared" si="9"/>
        <v>1</v>
      </c>
      <c r="AB19" s="105">
        <f t="shared" si="10"/>
        <v>0</v>
      </c>
      <c r="AC19" s="105">
        <f t="shared" si="11"/>
        <v>0</v>
      </c>
      <c r="AD19" s="105">
        <f t="shared" si="12"/>
        <v>0</v>
      </c>
      <c r="AE19" s="105">
        <f t="shared" si="13"/>
        <v>0</v>
      </c>
      <c r="AF19" s="108"/>
      <c r="AG19" s="109">
        <v>11431473</v>
      </c>
      <c r="AH19" s="109">
        <v>16678097</v>
      </c>
      <c r="AI19" s="109">
        <v>10967100</v>
      </c>
      <c r="AJ19" s="109">
        <v>23355722</v>
      </c>
      <c r="AK19" s="109">
        <v>22975681</v>
      </c>
      <c r="AL19" s="109">
        <v>27481945</v>
      </c>
      <c r="AM19" s="109"/>
      <c r="AN19" s="110"/>
      <c r="AO19" s="111"/>
    </row>
    <row r="20" spans="1:41" x14ac:dyDescent="0.2">
      <c r="A20" s="88" t="s">
        <v>90</v>
      </c>
      <c r="B20" s="88" t="s">
        <v>28</v>
      </c>
      <c r="C20" s="89" t="s">
        <v>910</v>
      </c>
      <c r="D20" s="90" t="s">
        <v>910</v>
      </c>
      <c r="E20" s="91" t="s">
        <v>910</v>
      </c>
      <c r="F20" s="92">
        <f t="shared" si="0"/>
        <v>0</v>
      </c>
      <c r="G20" s="92">
        <f t="shared" si="1"/>
        <v>0</v>
      </c>
      <c r="H20" s="92">
        <f t="shared" si="2"/>
        <v>0</v>
      </c>
      <c r="I20" s="92">
        <f t="shared" si="3"/>
        <v>0</v>
      </c>
      <c r="J20" s="92">
        <f t="shared" si="4"/>
        <v>0</v>
      </c>
      <c r="K20" s="92">
        <f t="shared" si="5"/>
        <v>0</v>
      </c>
      <c r="L20" s="92">
        <f t="shared" si="6"/>
        <v>0</v>
      </c>
      <c r="M20" s="93" t="s">
        <v>914</v>
      </c>
      <c r="N20" s="93" t="s">
        <v>910</v>
      </c>
      <c r="O20" s="93" t="s">
        <v>910</v>
      </c>
      <c r="P20" s="94" t="s">
        <v>912</v>
      </c>
      <c r="Q20" s="93" t="s">
        <v>912</v>
      </c>
      <c r="R20" s="95" t="s">
        <v>912</v>
      </c>
      <c r="S20" s="93" t="s">
        <v>914</v>
      </c>
      <c r="T20" s="93" t="s">
        <v>910</v>
      </c>
      <c r="U20" s="93" t="s">
        <v>910</v>
      </c>
      <c r="V20" s="96" t="s">
        <v>914</v>
      </c>
      <c r="W20" s="97" t="s">
        <v>910</v>
      </c>
      <c r="X20" s="92" t="s">
        <v>910</v>
      </c>
      <c r="Y20" s="92">
        <f t="shared" si="7"/>
        <v>0</v>
      </c>
      <c r="Z20" s="92">
        <f t="shared" si="8"/>
        <v>0</v>
      </c>
      <c r="AA20" s="92">
        <f t="shared" si="9"/>
        <v>0</v>
      </c>
      <c r="AB20" s="92">
        <f t="shared" si="10"/>
        <v>0</v>
      </c>
      <c r="AC20" s="92">
        <f t="shared" si="11"/>
        <v>0</v>
      </c>
      <c r="AD20" s="92">
        <f t="shared" si="12"/>
        <v>0</v>
      </c>
      <c r="AE20" s="92">
        <f t="shared" si="13"/>
        <v>0</v>
      </c>
      <c r="AF20" s="98" t="s">
        <v>916</v>
      </c>
      <c r="AG20" s="99">
        <v>21865595</v>
      </c>
      <c r="AH20" s="99">
        <v>25425145</v>
      </c>
      <c r="AI20" s="100"/>
      <c r="AJ20" s="100"/>
      <c r="AK20" s="100"/>
      <c r="AL20" s="100"/>
      <c r="AM20" s="100"/>
      <c r="AN20" s="100"/>
      <c r="AO20" s="101"/>
    </row>
    <row r="21" spans="1:41" x14ac:dyDescent="0.2">
      <c r="A21" s="76" t="s">
        <v>94</v>
      </c>
      <c r="B21" s="76" t="s">
        <v>28</v>
      </c>
      <c r="C21" s="102" t="s">
        <v>911</v>
      </c>
      <c r="D21" s="103" t="s">
        <v>910</v>
      </c>
      <c r="E21" s="104" t="s">
        <v>910</v>
      </c>
      <c r="F21" s="105">
        <f t="shared" si="0"/>
        <v>1</v>
      </c>
      <c r="G21" s="105">
        <f t="shared" si="1"/>
        <v>0</v>
      </c>
      <c r="H21" s="105">
        <f t="shared" si="2"/>
        <v>0</v>
      </c>
      <c r="I21" s="105">
        <f t="shared" si="3"/>
        <v>0</v>
      </c>
      <c r="J21" s="105">
        <f t="shared" si="4"/>
        <v>0</v>
      </c>
      <c r="K21" s="105">
        <f t="shared" si="5"/>
        <v>0</v>
      </c>
      <c r="L21" s="105">
        <f t="shared" si="6"/>
        <v>0</v>
      </c>
      <c r="M21" s="50" t="s">
        <v>911</v>
      </c>
      <c r="N21" s="50" t="s">
        <v>910</v>
      </c>
      <c r="O21" s="50" t="s">
        <v>910</v>
      </c>
      <c r="P21" s="106" t="s">
        <v>911</v>
      </c>
      <c r="Q21" s="50" t="s">
        <v>910</v>
      </c>
      <c r="R21" s="107" t="s">
        <v>910</v>
      </c>
      <c r="S21" s="50" t="s">
        <v>911</v>
      </c>
      <c r="T21" s="50" t="s">
        <v>910</v>
      </c>
      <c r="U21" s="50" t="s">
        <v>910</v>
      </c>
      <c r="V21" s="106" t="s">
        <v>911</v>
      </c>
      <c r="W21" s="50" t="s">
        <v>910</v>
      </c>
      <c r="X21" s="105" t="s">
        <v>910</v>
      </c>
      <c r="Y21" s="105">
        <f t="shared" si="7"/>
        <v>1</v>
      </c>
      <c r="Z21" s="105">
        <f t="shared" si="8"/>
        <v>0</v>
      </c>
      <c r="AA21" s="105">
        <f t="shared" si="9"/>
        <v>0</v>
      </c>
      <c r="AB21" s="105">
        <f t="shared" si="10"/>
        <v>0</v>
      </c>
      <c r="AC21" s="105">
        <f t="shared" si="11"/>
        <v>0</v>
      </c>
      <c r="AD21" s="105">
        <f t="shared" si="12"/>
        <v>0</v>
      </c>
      <c r="AE21" s="105">
        <f t="shared" si="13"/>
        <v>0</v>
      </c>
      <c r="AF21" s="108"/>
      <c r="AG21" s="109">
        <v>24259668</v>
      </c>
      <c r="AH21" s="109"/>
      <c r="AI21" s="110"/>
      <c r="AJ21" s="110"/>
      <c r="AK21" s="110"/>
      <c r="AL21" s="110"/>
      <c r="AM21" s="110"/>
      <c r="AN21" s="110"/>
      <c r="AO21" s="111"/>
    </row>
    <row r="22" spans="1:41" x14ac:dyDescent="0.2">
      <c r="A22" s="88" t="s">
        <v>98</v>
      </c>
      <c r="B22" s="88" t="s">
        <v>28</v>
      </c>
      <c r="C22" s="89" t="s">
        <v>911</v>
      </c>
      <c r="D22" s="90" t="s">
        <v>911</v>
      </c>
      <c r="E22" s="91" t="s">
        <v>911</v>
      </c>
      <c r="F22" s="92">
        <f t="shared" si="0"/>
        <v>0</v>
      </c>
      <c r="G22" s="92">
        <f t="shared" si="1"/>
        <v>0</v>
      </c>
      <c r="H22" s="92">
        <f t="shared" si="2"/>
        <v>0</v>
      </c>
      <c r="I22" s="92">
        <f t="shared" si="3"/>
        <v>0</v>
      </c>
      <c r="J22" s="92">
        <f t="shared" si="4"/>
        <v>0</v>
      </c>
      <c r="K22" s="92">
        <f t="shared" si="5"/>
        <v>0</v>
      </c>
      <c r="L22" s="92">
        <f t="shared" si="6"/>
        <v>1</v>
      </c>
      <c r="M22" s="93" t="s">
        <v>911</v>
      </c>
      <c r="N22" s="93" t="s">
        <v>910</v>
      </c>
      <c r="O22" s="93" t="s">
        <v>910</v>
      </c>
      <c r="P22" s="94" t="s">
        <v>911</v>
      </c>
      <c r="Q22" s="93" t="s">
        <v>910</v>
      </c>
      <c r="R22" s="95" t="s">
        <v>910</v>
      </c>
      <c r="S22" s="93" t="s">
        <v>912</v>
      </c>
      <c r="T22" s="93" t="s">
        <v>912</v>
      </c>
      <c r="U22" s="93" t="s">
        <v>912</v>
      </c>
      <c r="V22" s="96" t="s">
        <v>911</v>
      </c>
      <c r="W22" s="97" t="s">
        <v>910</v>
      </c>
      <c r="X22" s="92" t="s">
        <v>910</v>
      </c>
      <c r="Y22" s="92">
        <f t="shared" si="7"/>
        <v>1</v>
      </c>
      <c r="Z22" s="92">
        <f t="shared" si="8"/>
        <v>0</v>
      </c>
      <c r="AA22" s="92">
        <f t="shared" si="9"/>
        <v>0</v>
      </c>
      <c r="AB22" s="92">
        <f t="shared" si="10"/>
        <v>0</v>
      </c>
      <c r="AC22" s="92">
        <f t="shared" si="11"/>
        <v>0</v>
      </c>
      <c r="AD22" s="92">
        <f t="shared" si="12"/>
        <v>0</v>
      </c>
      <c r="AE22" s="92">
        <f t="shared" si="13"/>
        <v>0</v>
      </c>
      <c r="AF22" s="98"/>
      <c r="AG22" s="99">
        <v>16014623</v>
      </c>
      <c r="AH22" s="99">
        <v>21169361</v>
      </c>
      <c r="AI22" s="100"/>
      <c r="AJ22" s="100"/>
      <c r="AK22" s="100"/>
      <c r="AL22" s="100"/>
      <c r="AM22" s="100"/>
      <c r="AN22" s="100"/>
      <c r="AO22" s="101"/>
    </row>
    <row r="23" spans="1:41" x14ac:dyDescent="0.2">
      <c r="A23" s="76" t="s">
        <v>102</v>
      </c>
      <c r="B23" s="76" t="s">
        <v>28</v>
      </c>
      <c r="C23" s="102" t="s">
        <v>911</v>
      </c>
      <c r="D23" s="103" t="s">
        <v>910</v>
      </c>
      <c r="E23" s="104" t="s">
        <v>910</v>
      </c>
      <c r="F23" s="105">
        <f t="shared" si="0"/>
        <v>1</v>
      </c>
      <c r="G23" s="105">
        <f t="shared" si="1"/>
        <v>0</v>
      </c>
      <c r="H23" s="105">
        <f t="shared" si="2"/>
        <v>0</v>
      </c>
      <c r="I23" s="105">
        <f t="shared" si="3"/>
        <v>0</v>
      </c>
      <c r="J23" s="105">
        <f t="shared" si="4"/>
        <v>0</v>
      </c>
      <c r="K23" s="105">
        <f t="shared" si="5"/>
        <v>0</v>
      </c>
      <c r="L23" s="105">
        <f t="shared" si="6"/>
        <v>0</v>
      </c>
      <c r="M23" s="50" t="s">
        <v>914</v>
      </c>
      <c r="N23" s="50" t="s">
        <v>914</v>
      </c>
      <c r="O23" s="50" t="s">
        <v>914</v>
      </c>
      <c r="P23" s="106" t="s">
        <v>911</v>
      </c>
      <c r="Q23" s="50" t="s">
        <v>914</v>
      </c>
      <c r="R23" s="107" t="s">
        <v>911</v>
      </c>
      <c r="S23" s="50" t="s">
        <v>914</v>
      </c>
      <c r="T23" s="50" t="s">
        <v>912</v>
      </c>
      <c r="U23" s="50" t="s">
        <v>914</v>
      </c>
      <c r="V23" s="106" t="s">
        <v>911</v>
      </c>
      <c r="W23" s="50" t="s">
        <v>914</v>
      </c>
      <c r="X23" s="105" t="s">
        <v>911</v>
      </c>
      <c r="Y23" s="105">
        <f t="shared" si="7"/>
        <v>0</v>
      </c>
      <c r="Z23" s="105">
        <f t="shared" si="8"/>
        <v>0</v>
      </c>
      <c r="AA23" s="105">
        <f t="shared" si="9"/>
        <v>0</v>
      </c>
      <c r="AB23" s="105">
        <f t="shared" si="10"/>
        <v>0</v>
      </c>
      <c r="AC23" s="105">
        <f t="shared" si="11"/>
        <v>1</v>
      </c>
      <c r="AD23" s="105">
        <f t="shared" si="12"/>
        <v>0</v>
      </c>
      <c r="AE23" s="105">
        <f t="shared" si="13"/>
        <v>0</v>
      </c>
      <c r="AF23" s="108" t="s">
        <v>916</v>
      </c>
      <c r="AG23" s="109">
        <v>15793564</v>
      </c>
      <c r="AH23" s="109">
        <v>23200924</v>
      </c>
      <c r="AI23" s="109">
        <v>19268501</v>
      </c>
      <c r="AJ23" s="109">
        <v>16184169</v>
      </c>
      <c r="AK23" s="110"/>
      <c r="AL23" s="110"/>
      <c r="AM23" s="110"/>
      <c r="AN23" s="110"/>
      <c r="AO23" s="111"/>
    </row>
    <row r="24" spans="1:41" x14ac:dyDescent="0.2">
      <c r="A24" s="88" t="s">
        <v>106</v>
      </c>
      <c r="B24" s="88" t="s">
        <v>28</v>
      </c>
      <c r="C24" s="89" t="s">
        <v>911</v>
      </c>
      <c r="D24" s="90" t="s">
        <v>911</v>
      </c>
      <c r="E24" s="91" t="s">
        <v>911</v>
      </c>
      <c r="F24" s="92">
        <f t="shared" si="0"/>
        <v>0</v>
      </c>
      <c r="G24" s="92">
        <f t="shared" si="1"/>
        <v>0</v>
      </c>
      <c r="H24" s="92">
        <f t="shared" si="2"/>
        <v>0</v>
      </c>
      <c r="I24" s="92">
        <f t="shared" si="3"/>
        <v>0</v>
      </c>
      <c r="J24" s="92">
        <f t="shared" si="4"/>
        <v>0</v>
      </c>
      <c r="K24" s="92">
        <f t="shared" si="5"/>
        <v>0</v>
      </c>
      <c r="L24" s="92">
        <f t="shared" si="6"/>
        <v>1</v>
      </c>
      <c r="M24" s="93" t="s">
        <v>910</v>
      </c>
      <c r="N24" s="93" t="s">
        <v>911</v>
      </c>
      <c r="O24" s="93" t="s">
        <v>914</v>
      </c>
      <c r="P24" s="94" t="s">
        <v>910</v>
      </c>
      <c r="Q24" s="93" t="s">
        <v>911</v>
      </c>
      <c r="R24" s="95" t="s">
        <v>911</v>
      </c>
      <c r="S24" s="93" t="s">
        <v>910</v>
      </c>
      <c r="T24" s="93" t="s">
        <v>911</v>
      </c>
      <c r="U24" s="93" t="s">
        <v>910</v>
      </c>
      <c r="V24" s="96" t="s">
        <v>910</v>
      </c>
      <c r="W24" s="97" t="s">
        <v>911</v>
      </c>
      <c r="X24" s="92" t="s">
        <v>914</v>
      </c>
      <c r="Y24" s="92">
        <f t="shared" si="7"/>
        <v>0</v>
      </c>
      <c r="Z24" s="92">
        <f t="shared" si="8"/>
        <v>1</v>
      </c>
      <c r="AA24" s="92">
        <f t="shared" si="9"/>
        <v>0</v>
      </c>
      <c r="AB24" s="92">
        <f t="shared" si="10"/>
        <v>0</v>
      </c>
      <c r="AC24" s="92">
        <f t="shared" si="11"/>
        <v>0</v>
      </c>
      <c r="AD24" s="92">
        <f t="shared" si="12"/>
        <v>0</v>
      </c>
      <c r="AE24" s="92">
        <f t="shared" si="13"/>
        <v>0</v>
      </c>
      <c r="AF24" s="98"/>
      <c r="AG24" s="99">
        <v>18984162</v>
      </c>
      <c r="AH24" s="99">
        <v>21750657</v>
      </c>
      <c r="AI24" s="99">
        <v>24933155</v>
      </c>
      <c r="AJ24" s="99">
        <v>14966113</v>
      </c>
      <c r="AK24" s="99"/>
      <c r="AL24" s="100"/>
      <c r="AM24" s="100"/>
      <c r="AN24" s="100"/>
      <c r="AO24" s="101"/>
    </row>
    <row r="25" spans="1:41" x14ac:dyDescent="0.2">
      <c r="A25" s="76" t="s">
        <v>110</v>
      </c>
      <c r="B25" s="76" t="s">
        <v>28</v>
      </c>
      <c r="C25" s="102" t="s">
        <v>911</v>
      </c>
      <c r="D25" s="103" t="s">
        <v>911</v>
      </c>
      <c r="E25" s="104" t="s">
        <v>910</v>
      </c>
      <c r="F25" s="105">
        <f t="shared" si="0"/>
        <v>0</v>
      </c>
      <c r="G25" s="105">
        <f t="shared" si="1"/>
        <v>0</v>
      </c>
      <c r="H25" s="105">
        <f t="shared" si="2"/>
        <v>0</v>
      </c>
      <c r="I25" s="105">
        <f t="shared" si="3"/>
        <v>1</v>
      </c>
      <c r="J25" s="105">
        <f t="shared" si="4"/>
        <v>0</v>
      </c>
      <c r="K25" s="105">
        <f t="shared" si="5"/>
        <v>0</v>
      </c>
      <c r="L25" s="105">
        <f t="shared" si="6"/>
        <v>0</v>
      </c>
      <c r="M25" s="50" t="s">
        <v>911</v>
      </c>
      <c r="N25" s="50" t="s">
        <v>912</v>
      </c>
      <c r="O25" s="50" t="s">
        <v>912</v>
      </c>
      <c r="P25" s="106" t="s">
        <v>912</v>
      </c>
      <c r="Q25" s="50" t="s">
        <v>912</v>
      </c>
      <c r="R25" s="107" t="s">
        <v>912</v>
      </c>
      <c r="S25" s="50" t="s">
        <v>911</v>
      </c>
      <c r="T25" s="50" t="s">
        <v>912</v>
      </c>
      <c r="U25" s="50" t="s">
        <v>912</v>
      </c>
      <c r="V25" s="106" t="s">
        <v>911</v>
      </c>
      <c r="W25" s="50" t="s">
        <v>912</v>
      </c>
      <c r="X25" s="105" t="s">
        <v>912</v>
      </c>
      <c r="Y25" s="105">
        <f t="shared" si="7"/>
        <v>1</v>
      </c>
      <c r="Z25" s="105">
        <f t="shared" si="8"/>
        <v>0</v>
      </c>
      <c r="AA25" s="105">
        <f t="shared" si="9"/>
        <v>0</v>
      </c>
      <c r="AB25" s="105">
        <f t="shared" si="10"/>
        <v>0</v>
      </c>
      <c r="AC25" s="105">
        <f t="shared" si="11"/>
        <v>0</v>
      </c>
      <c r="AD25" s="105">
        <f t="shared" si="12"/>
        <v>0</v>
      </c>
      <c r="AE25" s="105">
        <f t="shared" si="13"/>
        <v>0</v>
      </c>
      <c r="AF25" s="108"/>
      <c r="AG25" s="109">
        <v>27226243</v>
      </c>
      <c r="AH25" s="110"/>
      <c r="AI25" s="110"/>
      <c r="AJ25" s="110"/>
      <c r="AK25" s="110"/>
      <c r="AL25" s="110"/>
      <c r="AM25" s="110"/>
      <c r="AN25" s="110"/>
      <c r="AO25" s="111"/>
    </row>
    <row r="26" spans="1:41" x14ac:dyDescent="0.2">
      <c r="A26" s="88" t="s">
        <v>114</v>
      </c>
      <c r="B26" s="88" t="s">
        <v>28</v>
      </c>
      <c r="C26" s="89" t="s">
        <v>910</v>
      </c>
      <c r="D26" s="90" t="s">
        <v>910</v>
      </c>
      <c r="E26" s="91" t="s">
        <v>910</v>
      </c>
      <c r="F26" s="92">
        <f t="shared" si="0"/>
        <v>0</v>
      </c>
      <c r="G26" s="92">
        <f t="shared" si="1"/>
        <v>0</v>
      </c>
      <c r="H26" s="92">
        <f t="shared" si="2"/>
        <v>0</v>
      </c>
      <c r="I26" s="92">
        <f t="shared" si="3"/>
        <v>0</v>
      </c>
      <c r="J26" s="92">
        <f t="shared" si="4"/>
        <v>0</v>
      </c>
      <c r="K26" s="92">
        <f t="shared" si="5"/>
        <v>0</v>
      </c>
      <c r="L26" s="92">
        <f t="shared" si="6"/>
        <v>0</v>
      </c>
      <c r="M26" s="93" t="s">
        <v>914</v>
      </c>
      <c r="N26" s="93" t="s">
        <v>914</v>
      </c>
      <c r="O26" s="93" t="s">
        <v>914</v>
      </c>
      <c r="P26" s="94" t="s">
        <v>910</v>
      </c>
      <c r="Q26" s="93" t="s">
        <v>911</v>
      </c>
      <c r="R26" s="95" t="s">
        <v>911</v>
      </c>
      <c r="S26" s="93" t="s">
        <v>914</v>
      </c>
      <c r="T26" s="93" t="s">
        <v>911</v>
      </c>
      <c r="U26" s="93" t="s">
        <v>914</v>
      </c>
      <c r="V26" s="96" t="s">
        <v>910</v>
      </c>
      <c r="W26" s="97" t="s">
        <v>911</v>
      </c>
      <c r="X26" s="92" t="s">
        <v>911</v>
      </c>
      <c r="Y26" s="92">
        <f t="shared" si="7"/>
        <v>0</v>
      </c>
      <c r="Z26" s="92">
        <f t="shared" si="8"/>
        <v>0</v>
      </c>
      <c r="AA26" s="92">
        <f t="shared" si="9"/>
        <v>0</v>
      </c>
      <c r="AB26" s="92">
        <f t="shared" si="10"/>
        <v>0</v>
      </c>
      <c r="AC26" s="92">
        <f t="shared" si="11"/>
        <v>0</v>
      </c>
      <c r="AD26" s="92">
        <f t="shared" si="12"/>
        <v>1</v>
      </c>
      <c r="AE26" s="92">
        <f t="shared" si="13"/>
        <v>0</v>
      </c>
      <c r="AF26" s="98"/>
      <c r="AG26" s="99">
        <v>16862148</v>
      </c>
      <c r="AH26" s="99">
        <v>21911940</v>
      </c>
      <c r="AI26" s="99">
        <v>15611138</v>
      </c>
      <c r="AJ26" s="99">
        <v>15302923</v>
      </c>
      <c r="AK26" s="99"/>
      <c r="AL26" s="100"/>
      <c r="AM26" s="100"/>
      <c r="AN26" s="100"/>
      <c r="AO26" s="101"/>
    </row>
    <row r="27" spans="1:41" x14ac:dyDescent="0.2">
      <c r="A27" s="76" t="s">
        <v>118</v>
      </c>
      <c r="B27" s="76" t="s">
        <v>28</v>
      </c>
      <c r="C27" s="102" t="s">
        <v>910</v>
      </c>
      <c r="D27" s="103" t="s">
        <v>910</v>
      </c>
      <c r="E27" s="104" t="s">
        <v>910</v>
      </c>
      <c r="F27" s="105">
        <f t="shared" si="0"/>
        <v>0</v>
      </c>
      <c r="G27" s="105">
        <f t="shared" si="1"/>
        <v>0</v>
      </c>
      <c r="H27" s="105">
        <f t="shared" si="2"/>
        <v>0</v>
      </c>
      <c r="I27" s="105">
        <f t="shared" si="3"/>
        <v>0</v>
      </c>
      <c r="J27" s="105">
        <f t="shared" si="4"/>
        <v>0</v>
      </c>
      <c r="K27" s="105">
        <f t="shared" si="5"/>
        <v>0</v>
      </c>
      <c r="L27" s="105">
        <f t="shared" si="6"/>
        <v>0</v>
      </c>
      <c r="M27" s="50" t="s">
        <v>910</v>
      </c>
      <c r="N27" s="50" t="s">
        <v>911</v>
      </c>
      <c r="O27" s="50" t="s">
        <v>914</v>
      </c>
      <c r="P27" s="106" t="s">
        <v>910</v>
      </c>
      <c r="Q27" s="50" t="s">
        <v>911</v>
      </c>
      <c r="R27" s="107" t="s">
        <v>910</v>
      </c>
      <c r="S27" s="50" t="s">
        <v>912</v>
      </c>
      <c r="T27" s="50" t="s">
        <v>911</v>
      </c>
      <c r="U27" s="50" t="s">
        <v>911</v>
      </c>
      <c r="V27" s="106" t="s">
        <v>910</v>
      </c>
      <c r="W27" s="50" t="s">
        <v>911</v>
      </c>
      <c r="X27" s="105" t="s">
        <v>914</v>
      </c>
      <c r="Y27" s="105">
        <f t="shared" si="7"/>
        <v>0</v>
      </c>
      <c r="Z27" s="105">
        <f t="shared" si="8"/>
        <v>1</v>
      </c>
      <c r="AA27" s="105">
        <f t="shared" si="9"/>
        <v>0</v>
      </c>
      <c r="AB27" s="105">
        <f t="shared" si="10"/>
        <v>0</v>
      </c>
      <c r="AC27" s="105">
        <f t="shared" si="11"/>
        <v>0</v>
      </c>
      <c r="AD27" s="105">
        <f t="shared" si="12"/>
        <v>0</v>
      </c>
      <c r="AE27" s="105">
        <f t="shared" si="13"/>
        <v>0</v>
      </c>
      <c r="AF27" s="108"/>
      <c r="AG27" s="109">
        <v>22096251</v>
      </c>
      <c r="AH27" s="109">
        <v>27566826</v>
      </c>
      <c r="AI27" s="109">
        <v>12192056</v>
      </c>
      <c r="AJ27" s="110"/>
      <c r="AK27" s="110"/>
      <c r="AL27" s="110"/>
      <c r="AM27" s="110"/>
      <c r="AN27" s="110"/>
      <c r="AO27" s="111"/>
    </row>
    <row r="28" spans="1:41" x14ac:dyDescent="0.2">
      <c r="A28" s="88" t="s">
        <v>122</v>
      </c>
      <c r="B28" s="88" t="s">
        <v>28</v>
      </c>
      <c r="C28" s="89" t="s">
        <v>911</v>
      </c>
      <c r="D28" s="90" t="s">
        <v>910</v>
      </c>
      <c r="E28" s="91" t="s">
        <v>910</v>
      </c>
      <c r="F28" s="92">
        <f t="shared" si="0"/>
        <v>1</v>
      </c>
      <c r="G28" s="92">
        <f t="shared" si="1"/>
        <v>0</v>
      </c>
      <c r="H28" s="92">
        <f t="shared" si="2"/>
        <v>0</v>
      </c>
      <c r="I28" s="92">
        <f t="shared" si="3"/>
        <v>0</v>
      </c>
      <c r="J28" s="92">
        <f t="shared" si="4"/>
        <v>0</v>
      </c>
      <c r="K28" s="92">
        <f t="shared" si="5"/>
        <v>0</v>
      </c>
      <c r="L28" s="92">
        <f t="shared" si="6"/>
        <v>0</v>
      </c>
      <c r="M28" s="93" t="s">
        <v>911</v>
      </c>
      <c r="N28" s="93" t="s">
        <v>914</v>
      </c>
      <c r="O28" s="93" t="s">
        <v>914</v>
      </c>
      <c r="P28" s="94" t="s">
        <v>911</v>
      </c>
      <c r="Q28" s="93" t="s">
        <v>914</v>
      </c>
      <c r="R28" s="95" t="s">
        <v>911</v>
      </c>
      <c r="S28" s="93" t="s">
        <v>911</v>
      </c>
      <c r="T28" s="93" t="s">
        <v>912</v>
      </c>
      <c r="U28" s="93" t="s">
        <v>910</v>
      </c>
      <c r="V28" s="96" t="s">
        <v>911</v>
      </c>
      <c r="W28" s="97" t="s">
        <v>914</v>
      </c>
      <c r="X28" s="92" t="s">
        <v>914</v>
      </c>
      <c r="Y28" s="92">
        <f t="shared" si="7"/>
        <v>1</v>
      </c>
      <c r="Z28" s="92">
        <f t="shared" si="8"/>
        <v>0</v>
      </c>
      <c r="AA28" s="92">
        <f t="shared" si="9"/>
        <v>0</v>
      </c>
      <c r="AB28" s="92">
        <f t="shared" si="10"/>
        <v>0</v>
      </c>
      <c r="AC28" s="92">
        <f t="shared" si="11"/>
        <v>0</v>
      </c>
      <c r="AD28" s="92">
        <f t="shared" si="12"/>
        <v>0</v>
      </c>
      <c r="AE28" s="92">
        <f t="shared" si="13"/>
        <v>0</v>
      </c>
      <c r="AF28" s="98"/>
      <c r="AG28" s="99">
        <v>11432776</v>
      </c>
      <c r="AH28" s="99">
        <v>8649427</v>
      </c>
      <c r="AI28" s="99">
        <v>27481945</v>
      </c>
      <c r="AJ28" s="99">
        <v>21622574</v>
      </c>
      <c r="AK28" s="100"/>
      <c r="AL28" s="100"/>
      <c r="AM28" s="100"/>
      <c r="AN28" s="100"/>
      <c r="AO28" s="101"/>
    </row>
    <row r="29" spans="1:41" x14ac:dyDescent="0.2">
      <c r="A29" s="76" t="s">
        <v>126</v>
      </c>
      <c r="B29" s="76" t="s">
        <v>28</v>
      </c>
      <c r="C29" s="102" t="s">
        <v>910</v>
      </c>
      <c r="D29" s="103" t="s">
        <v>911</v>
      </c>
      <c r="E29" s="104" t="s">
        <v>910</v>
      </c>
      <c r="F29" s="105">
        <f t="shared" si="0"/>
        <v>0</v>
      </c>
      <c r="G29" s="105">
        <f t="shared" si="1"/>
        <v>1</v>
      </c>
      <c r="H29" s="105">
        <f t="shared" si="2"/>
        <v>0</v>
      </c>
      <c r="I29" s="105">
        <f t="shared" si="3"/>
        <v>0</v>
      </c>
      <c r="J29" s="105">
        <f t="shared" si="4"/>
        <v>0</v>
      </c>
      <c r="K29" s="105">
        <f t="shared" si="5"/>
        <v>0</v>
      </c>
      <c r="L29" s="105">
        <f t="shared" si="6"/>
        <v>0</v>
      </c>
      <c r="M29" s="50" t="s">
        <v>910</v>
      </c>
      <c r="N29" s="50" t="s">
        <v>911</v>
      </c>
      <c r="O29" s="50" t="s">
        <v>911</v>
      </c>
      <c r="P29" s="106" t="s">
        <v>910</v>
      </c>
      <c r="Q29" s="50" t="s">
        <v>911</v>
      </c>
      <c r="R29" s="107" t="s">
        <v>911</v>
      </c>
      <c r="S29" s="50" t="s">
        <v>912</v>
      </c>
      <c r="T29" s="50" t="s">
        <v>912</v>
      </c>
      <c r="U29" s="50" t="s">
        <v>912</v>
      </c>
      <c r="V29" s="106" t="s">
        <v>910</v>
      </c>
      <c r="W29" s="50" t="s">
        <v>911</v>
      </c>
      <c r="X29" s="105" t="s">
        <v>911</v>
      </c>
      <c r="Y29" s="105">
        <f t="shared" si="7"/>
        <v>0</v>
      </c>
      <c r="Z29" s="105">
        <f t="shared" si="8"/>
        <v>0</v>
      </c>
      <c r="AA29" s="105">
        <f t="shared" si="9"/>
        <v>0</v>
      </c>
      <c r="AB29" s="105">
        <f t="shared" si="10"/>
        <v>0</v>
      </c>
      <c r="AC29" s="105">
        <f t="shared" si="11"/>
        <v>0</v>
      </c>
      <c r="AD29" s="105">
        <f t="shared" si="12"/>
        <v>1</v>
      </c>
      <c r="AE29" s="105">
        <f t="shared" si="13"/>
        <v>0</v>
      </c>
      <c r="AF29" s="108"/>
      <c r="AG29" s="109">
        <v>15147912</v>
      </c>
      <c r="AH29" s="110"/>
      <c r="AI29" s="110"/>
      <c r="AJ29" s="110"/>
      <c r="AK29" s="110"/>
      <c r="AL29" s="110"/>
      <c r="AM29" s="110"/>
      <c r="AN29" s="110"/>
      <c r="AO29" s="111"/>
    </row>
    <row r="30" spans="1:41" x14ac:dyDescent="0.2">
      <c r="A30" s="88" t="s">
        <v>130</v>
      </c>
      <c r="B30" s="88" t="s">
        <v>28</v>
      </c>
      <c r="C30" s="89" t="s">
        <v>911</v>
      </c>
      <c r="D30" s="90" t="s">
        <v>910</v>
      </c>
      <c r="E30" s="91" t="s">
        <v>910</v>
      </c>
      <c r="F30" s="92">
        <f t="shared" si="0"/>
        <v>1</v>
      </c>
      <c r="G30" s="92">
        <f t="shared" si="1"/>
        <v>0</v>
      </c>
      <c r="H30" s="92">
        <f t="shared" si="2"/>
        <v>0</v>
      </c>
      <c r="I30" s="92">
        <f t="shared" si="3"/>
        <v>0</v>
      </c>
      <c r="J30" s="92">
        <f t="shared" si="4"/>
        <v>0</v>
      </c>
      <c r="K30" s="92">
        <f t="shared" si="5"/>
        <v>0</v>
      </c>
      <c r="L30" s="92">
        <f t="shared" si="6"/>
        <v>0</v>
      </c>
      <c r="M30" s="93" t="s">
        <v>911</v>
      </c>
      <c r="N30" s="93" t="s">
        <v>910</v>
      </c>
      <c r="O30" s="93" t="s">
        <v>910</v>
      </c>
      <c r="P30" s="94" t="s">
        <v>912</v>
      </c>
      <c r="Q30" s="93" t="s">
        <v>912</v>
      </c>
      <c r="R30" s="95" t="s">
        <v>912</v>
      </c>
      <c r="S30" s="93" t="s">
        <v>911</v>
      </c>
      <c r="T30" s="93" t="s">
        <v>910</v>
      </c>
      <c r="U30" s="93" t="s">
        <v>910</v>
      </c>
      <c r="V30" s="96" t="s">
        <v>911</v>
      </c>
      <c r="W30" s="97" t="s">
        <v>910</v>
      </c>
      <c r="X30" s="92" t="s">
        <v>910</v>
      </c>
      <c r="Y30" s="92">
        <f t="shared" si="7"/>
        <v>1</v>
      </c>
      <c r="Z30" s="92">
        <f t="shared" si="8"/>
        <v>0</v>
      </c>
      <c r="AA30" s="92">
        <f t="shared" si="9"/>
        <v>0</v>
      </c>
      <c r="AB30" s="92">
        <f t="shared" si="10"/>
        <v>0</v>
      </c>
      <c r="AC30" s="92">
        <f t="shared" si="11"/>
        <v>0</v>
      </c>
      <c r="AD30" s="92">
        <f t="shared" si="12"/>
        <v>0</v>
      </c>
      <c r="AE30" s="92">
        <f t="shared" si="13"/>
        <v>0</v>
      </c>
      <c r="AF30" s="98"/>
      <c r="AG30" s="99">
        <v>25211221</v>
      </c>
      <c r="AH30" s="100"/>
      <c r="AI30" s="100"/>
      <c r="AJ30" s="100"/>
      <c r="AK30" s="100"/>
      <c r="AL30" s="100"/>
      <c r="AM30" s="100"/>
      <c r="AN30" s="100"/>
      <c r="AO30" s="101"/>
    </row>
    <row r="31" spans="1:41" x14ac:dyDescent="0.2">
      <c r="A31" s="76" t="s">
        <v>134</v>
      </c>
      <c r="B31" s="76" t="s">
        <v>28</v>
      </c>
      <c r="C31" s="102" t="s">
        <v>911</v>
      </c>
      <c r="D31" s="103" t="s">
        <v>910</v>
      </c>
      <c r="E31" s="104" t="s">
        <v>910</v>
      </c>
      <c r="F31" s="105">
        <f t="shared" si="0"/>
        <v>1</v>
      </c>
      <c r="G31" s="105">
        <f t="shared" si="1"/>
        <v>0</v>
      </c>
      <c r="H31" s="105">
        <f t="shared" si="2"/>
        <v>0</v>
      </c>
      <c r="I31" s="105">
        <f t="shared" si="3"/>
        <v>0</v>
      </c>
      <c r="J31" s="105">
        <f t="shared" si="4"/>
        <v>0</v>
      </c>
      <c r="K31" s="105">
        <f t="shared" si="5"/>
        <v>0</v>
      </c>
      <c r="L31" s="105">
        <f t="shared" si="6"/>
        <v>0</v>
      </c>
      <c r="M31" s="50" t="s">
        <v>911</v>
      </c>
      <c r="N31" s="50" t="s">
        <v>911</v>
      </c>
      <c r="O31" s="50" t="s">
        <v>911</v>
      </c>
      <c r="P31" s="106" t="s">
        <v>911</v>
      </c>
      <c r="Q31" s="50" t="s">
        <v>911</v>
      </c>
      <c r="R31" s="107" t="s">
        <v>911</v>
      </c>
      <c r="S31" s="50" t="s">
        <v>912</v>
      </c>
      <c r="T31" s="50" t="s">
        <v>912</v>
      </c>
      <c r="U31" s="50" t="s">
        <v>912</v>
      </c>
      <c r="V31" s="106" t="s">
        <v>911</v>
      </c>
      <c r="W31" s="50" t="s">
        <v>911</v>
      </c>
      <c r="X31" s="105" t="s">
        <v>911</v>
      </c>
      <c r="Y31" s="105">
        <f t="shared" si="7"/>
        <v>0</v>
      </c>
      <c r="Z31" s="105">
        <f t="shared" si="8"/>
        <v>0</v>
      </c>
      <c r="AA31" s="105">
        <f t="shared" si="9"/>
        <v>0</v>
      </c>
      <c r="AB31" s="105">
        <f t="shared" si="10"/>
        <v>0</v>
      </c>
      <c r="AC31" s="105">
        <f t="shared" si="11"/>
        <v>0</v>
      </c>
      <c r="AD31" s="105">
        <f t="shared" si="12"/>
        <v>0</v>
      </c>
      <c r="AE31" s="105">
        <f t="shared" si="13"/>
        <v>1</v>
      </c>
      <c r="AF31" s="108"/>
      <c r="AG31" s="109">
        <v>9305890</v>
      </c>
      <c r="AH31" s="110"/>
      <c r="AI31" s="110"/>
      <c r="AJ31" s="110"/>
      <c r="AK31" s="110"/>
      <c r="AL31" s="110"/>
      <c r="AM31" s="110"/>
      <c r="AN31" s="110"/>
      <c r="AO31" s="111"/>
    </row>
    <row r="32" spans="1:41" x14ac:dyDescent="0.2">
      <c r="A32" s="88" t="s">
        <v>138</v>
      </c>
      <c r="B32" s="88" t="s">
        <v>28</v>
      </c>
      <c r="C32" s="89" t="s">
        <v>911</v>
      </c>
      <c r="D32" s="90" t="s">
        <v>911</v>
      </c>
      <c r="E32" s="91" t="s">
        <v>911</v>
      </c>
      <c r="F32" s="92">
        <f t="shared" si="0"/>
        <v>0</v>
      </c>
      <c r="G32" s="92">
        <f t="shared" si="1"/>
        <v>0</v>
      </c>
      <c r="H32" s="92">
        <f t="shared" si="2"/>
        <v>0</v>
      </c>
      <c r="I32" s="92">
        <f t="shared" si="3"/>
        <v>0</v>
      </c>
      <c r="J32" s="92">
        <f t="shared" si="4"/>
        <v>0</v>
      </c>
      <c r="K32" s="92">
        <f t="shared" si="5"/>
        <v>0</v>
      </c>
      <c r="L32" s="92">
        <f t="shared" si="6"/>
        <v>1</v>
      </c>
      <c r="M32" s="93" t="s">
        <v>911</v>
      </c>
      <c r="N32" s="93" t="s">
        <v>911</v>
      </c>
      <c r="O32" s="93" t="s">
        <v>910</v>
      </c>
      <c r="P32" s="94" t="s">
        <v>911</v>
      </c>
      <c r="Q32" s="93" t="s">
        <v>911</v>
      </c>
      <c r="R32" s="95" t="s">
        <v>910</v>
      </c>
      <c r="S32" s="93" t="s">
        <v>912</v>
      </c>
      <c r="T32" s="93" t="s">
        <v>912</v>
      </c>
      <c r="U32" s="93" t="s">
        <v>912</v>
      </c>
      <c r="V32" s="96" t="s">
        <v>911</v>
      </c>
      <c r="W32" s="97" t="s">
        <v>911</v>
      </c>
      <c r="X32" s="92" t="s">
        <v>910</v>
      </c>
      <c r="Y32" s="92">
        <f t="shared" si="7"/>
        <v>0</v>
      </c>
      <c r="Z32" s="92">
        <f t="shared" si="8"/>
        <v>0</v>
      </c>
      <c r="AA32" s="92">
        <f t="shared" si="9"/>
        <v>0</v>
      </c>
      <c r="AB32" s="92">
        <f t="shared" si="10"/>
        <v>1</v>
      </c>
      <c r="AC32" s="92">
        <f t="shared" si="11"/>
        <v>0</v>
      </c>
      <c r="AD32" s="92">
        <f t="shared" si="12"/>
        <v>0</v>
      </c>
      <c r="AE32" s="92">
        <f t="shared" si="13"/>
        <v>0</v>
      </c>
      <c r="AF32" s="98" t="s">
        <v>917</v>
      </c>
      <c r="AG32" s="99">
        <v>21565175</v>
      </c>
      <c r="AH32" s="99">
        <v>25156493</v>
      </c>
      <c r="AI32" s="100"/>
      <c r="AJ32" s="100"/>
      <c r="AK32" s="100"/>
      <c r="AL32" s="100"/>
      <c r="AM32" s="100"/>
      <c r="AN32" s="100"/>
      <c r="AO32" s="101"/>
    </row>
    <row r="33" spans="1:41" x14ac:dyDescent="0.2">
      <c r="A33" s="76" t="s">
        <v>142</v>
      </c>
      <c r="B33" s="76" t="s">
        <v>28</v>
      </c>
      <c r="C33" s="102" t="s">
        <v>911</v>
      </c>
      <c r="D33" s="103" t="s">
        <v>911</v>
      </c>
      <c r="E33" s="104" t="s">
        <v>911</v>
      </c>
      <c r="F33" s="105">
        <f t="shared" si="0"/>
        <v>0</v>
      </c>
      <c r="G33" s="105">
        <f t="shared" si="1"/>
        <v>0</v>
      </c>
      <c r="H33" s="105">
        <f t="shared" si="2"/>
        <v>0</v>
      </c>
      <c r="I33" s="105">
        <f t="shared" si="3"/>
        <v>0</v>
      </c>
      <c r="J33" s="105">
        <f t="shared" si="4"/>
        <v>0</v>
      </c>
      <c r="K33" s="105">
        <f t="shared" si="5"/>
        <v>0</v>
      </c>
      <c r="L33" s="105">
        <f t="shared" si="6"/>
        <v>1</v>
      </c>
      <c r="M33" s="50" t="s">
        <v>910</v>
      </c>
      <c r="N33" s="50" t="s">
        <v>914</v>
      </c>
      <c r="O33" s="50" t="s">
        <v>911</v>
      </c>
      <c r="P33" s="106" t="s">
        <v>910</v>
      </c>
      <c r="Q33" s="50" t="s">
        <v>911</v>
      </c>
      <c r="R33" s="107" t="s">
        <v>911</v>
      </c>
      <c r="S33" s="50" t="s">
        <v>912</v>
      </c>
      <c r="T33" s="50" t="s">
        <v>910</v>
      </c>
      <c r="U33" s="50" t="s">
        <v>911</v>
      </c>
      <c r="V33" s="106" t="s">
        <v>910</v>
      </c>
      <c r="W33" s="50" t="s">
        <v>914</v>
      </c>
      <c r="X33" s="105" t="s">
        <v>911</v>
      </c>
      <c r="Y33" s="105">
        <f t="shared" si="7"/>
        <v>0</v>
      </c>
      <c r="Z33" s="105">
        <f t="shared" si="8"/>
        <v>0</v>
      </c>
      <c r="AA33" s="105">
        <f t="shared" si="9"/>
        <v>1</v>
      </c>
      <c r="AB33" s="105">
        <f t="shared" si="10"/>
        <v>0</v>
      </c>
      <c r="AC33" s="105">
        <f t="shared" si="11"/>
        <v>0</v>
      </c>
      <c r="AD33" s="105">
        <f t="shared" si="12"/>
        <v>0</v>
      </c>
      <c r="AE33" s="105">
        <f t="shared" si="13"/>
        <v>0</v>
      </c>
      <c r="AF33" s="108"/>
      <c r="AG33" s="109">
        <v>9786927</v>
      </c>
      <c r="AH33" s="109">
        <v>16519628</v>
      </c>
      <c r="AI33" s="109">
        <v>14699061</v>
      </c>
      <c r="AJ33" s="109">
        <v>12192056</v>
      </c>
      <c r="AK33" s="110"/>
      <c r="AL33" s="110"/>
      <c r="AM33" s="110"/>
      <c r="AN33" s="110"/>
      <c r="AO33" s="111"/>
    </row>
    <row r="34" spans="1:41" x14ac:dyDescent="0.2">
      <c r="A34" s="88" t="s">
        <v>146</v>
      </c>
      <c r="B34" s="88" t="s">
        <v>28</v>
      </c>
      <c r="C34" s="89" t="s">
        <v>910</v>
      </c>
      <c r="D34" s="90" t="s">
        <v>910</v>
      </c>
      <c r="E34" s="91" t="s">
        <v>910</v>
      </c>
      <c r="F34" s="92">
        <f t="shared" si="0"/>
        <v>0</v>
      </c>
      <c r="G34" s="92">
        <f t="shared" si="1"/>
        <v>0</v>
      </c>
      <c r="H34" s="92">
        <f t="shared" si="2"/>
        <v>0</v>
      </c>
      <c r="I34" s="92">
        <f t="shared" si="3"/>
        <v>0</v>
      </c>
      <c r="J34" s="92">
        <f t="shared" si="4"/>
        <v>0</v>
      </c>
      <c r="K34" s="92">
        <f t="shared" si="5"/>
        <v>0</v>
      </c>
      <c r="L34" s="92">
        <f t="shared" si="6"/>
        <v>0</v>
      </c>
      <c r="M34" s="93" t="s">
        <v>914</v>
      </c>
      <c r="N34" s="93" t="s">
        <v>914</v>
      </c>
      <c r="O34" s="93" t="s">
        <v>914</v>
      </c>
      <c r="P34" s="94" t="s">
        <v>911</v>
      </c>
      <c r="Q34" s="93" t="s">
        <v>911</v>
      </c>
      <c r="R34" s="95" t="s">
        <v>911</v>
      </c>
      <c r="S34" s="93" t="s">
        <v>914</v>
      </c>
      <c r="T34" s="93" t="s">
        <v>914</v>
      </c>
      <c r="U34" s="93" t="s">
        <v>911</v>
      </c>
      <c r="V34" s="96" t="s">
        <v>911</v>
      </c>
      <c r="W34" s="97" t="s">
        <v>911</v>
      </c>
      <c r="X34" s="92" t="s">
        <v>911</v>
      </c>
      <c r="Y34" s="92">
        <f t="shared" si="7"/>
        <v>0</v>
      </c>
      <c r="Z34" s="92">
        <f t="shared" si="8"/>
        <v>0</v>
      </c>
      <c r="AA34" s="92">
        <f t="shared" si="9"/>
        <v>0</v>
      </c>
      <c r="AB34" s="92">
        <f t="shared" si="10"/>
        <v>0</v>
      </c>
      <c r="AC34" s="92">
        <f t="shared" si="11"/>
        <v>0</v>
      </c>
      <c r="AD34" s="92">
        <f t="shared" si="12"/>
        <v>0</v>
      </c>
      <c r="AE34" s="92">
        <f t="shared" si="13"/>
        <v>1</v>
      </c>
      <c r="AF34" s="98"/>
      <c r="AG34" s="99">
        <v>12819203</v>
      </c>
      <c r="AH34" s="99">
        <v>12531901</v>
      </c>
      <c r="AI34" s="99">
        <v>12446789</v>
      </c>
      <c r="AJ34" s="99">
        <v>17272280</v>
      </c>
      <c r="AK34" s="99">
        <v>12454018</v>
      </c>
      <c r="AL34" s="99">
        <v>17663722</v>
      </c>
      <c r="AM34" s="99">
        <v>16716191</v>
      </c>
      <c r="AN34" s="99"/>
      <c r="AO34" s="112"/>
    </row>
    <row r="35" spans="1:41" x14ac:dyDescent="0.2">
      <c r="A35" s="76" t="s">
        <v>150</v>
      </c>
      <c r="B35" s="76" t="s">
        <v>28</v>
      </c>
      <c r="C35" s="102" t="s">
        <v>910</v>
      </c>
      <c r="D35" s="103" t="s">
        <v>911</v>
      </c>
      <c r="E35" s="104" t="s">
        <v>910</v>
      </c>
      <c r="F35" s="105">
        <f t="shared" si="0"/>
        <v>0</v>
      </c>
      <c r="G35" s="105">
        <f t="shared" si="1"/>
        <v>1</v>
      </c>
      <c r="H35" s="105">
        <f t="shared" si="2"/>
        <v>0</v>
      </c>
      <c r="I35" s="105">
        <f t="shared" si="3"/>
        <v>0</v>
      </c>
      <c r="J35" s="105">
        <f t="shared" si="4"/>
        <v>0</v>
      </c>
      <c r="K35" s="105">
        <f t="shared" si="5"/>
        <v>0</v>
      </c>
      <c r="L35" s="105">
        <f t="shared" si="6"/>
        <v>0</v>
      </c>
      <c r="M35" s="50" t="s">
        <v>910</v>
      </c>
      <c r="N35" s="50" t="s">
        <v>910</v>
      </c>
      <c r="O35" s="50" t="s">
        <v>914</v>
      </c>
      <c r="P35" s="106" t="s">
        <v>912</v>
      </c>
      <c r="Q35" s="50" t="s">
        <v>912</v>
      </c>
      <c r="R35" s="107" t="s">
        <v>912</v>
      </c>
      <c r="S35" s="50" t="s">
        <v>910</v>
      </c>
      <c r="T35" s="50" t="s">
        <v>910</v>
      </c>
      <c r="U35" s="50" t="s">
        <v>914</v>
      </c>
      <c r="V35" s="106" t="s">
        <v>910</v>
      </c>
      <c r="W35" s="50" t="s">
        <v>910</v>
      </c>
      <c r="X35" s="105" t="s">
        <v>914</v>
      </c>
      <c r="Y35" s="105">
        <f t="shared" si="7"/>
        <v>0</v>
      </c>
      <c r="Z35" s="105">
        <f t="shared" si="8"/>
        <v>0</v>
      </c>
      <c r="AA35" s="105">
        <f t="shared" si="9"/>
        <v>0</v>
      </c>
      <c r="AB35" s="105">
        <f t="shared" si="10"/>
        <v>0</v>
      </c>
      <c r="AC35" s="105">
        <f t="shared" si="11"/>
        <v>0</v>
      </c>
      <c r="AD35" s="105">
        <f t="shared" si="12"/>
        <v>0</v>
      </c>
      <c r="AE35" s="105">
        <f t="shared" si="13"/>
        <v>0</v>
      </c>
      <c r="AF35" s="108" t="s">
        <v>918</v>
      </c>
      <c r="AG35" s="109">
        <v>12773384</v>
      </c>
      <c r="AH35" s="109">
        <v>16777849</v>
      </c>
      <c r="AI35" s="110"/>
      <c r="AJ35" s="110"/>
      <c r="AK35" s="110"/>
      <c r="AL35" s="110"/>
      <c r="AM35" s="110"/>
      <c r="AN35" s="110"/>
      <c r="AO35" s="111"/>
    </row>
    <row r="36" spans="1:41" x14ac:dyDescent="0.2">
      <c r="A36" s="88" t="s">
        <v>154</v>
      </c>
      <c r="B36" s="88" t="s">
        <v>28</v>
      </c>
      <c r="C36" s="89" t="s">
        <v>911</v>
      </c>
      <c r="D36" s="90" t="s">
        <v>911</v>
      </c>
      <c r="E36" s="91" t="s">
        <v>910</v>
      </c>
      <c r="F36" s="92">
        <f t="shared" si="0"/>
        <v>0</v>
      </c>
      <c r="G36" s="92">
        <f t="shared" si="1"/>
        <v>0</v>
      </c>
      <c r="H36" s="92">
        <f t="shared" si="2"/>
        <v>0</v>
      </c>
      <c r="I36" s="92">
        <f t="shared" si="3"/>
        <v>1</v>
      </c>
      <c r="J36" s="92">
        <f t="shared" si="4"/>
        <v>0</v>
      </c>
      <c r="K36" s="92">
        <f t="shared" si="5"/>
        <v>0</v>
      </c>
      <c r="L36" s="92">
        <f t="shared" si="6"/>
        <v>0</v>
      </c>
      <c r="M36" s="93" t="s">
        <v>911</v>
      </c>
      <c r="N36" s="93" t="s">
        <v>914</v>
      </c>
      <c r="O36" s="93" t="s">
        <v>914</v>
      </c>
      <c r="P36" s="94" t="s">
        <v>911</v>
      </c>
      <c r="Q36" s="93" t="s">
        <v>914</v>
      </c>
      <c r="R36" s="95" t="s">
        <v>914</v>
      </c>
      <c r="S36" s="93" t="s">
        <v>911</v>
      </c>
      <c r="T36" s="93" t="s">
        <v>912</v>
      </c>
      <c r="U36" s="93" t="s">
        <v>912</v>
      </c>
      <c r="V36" s="96" t="s">
        <v>911</v>
      </c>
      <c r="W36" s="97" t="s">
        <v>914</v>
      </c>
      <c r="X36" s="92" t="s">
        <v>914</v>
      </c>
      <c r="Y36" s="92">
        <f t="shared" si="7"/>
        <v>1</v>
      </c>
      <c r="Z36" s="92">
        <f t="shared" si="8"/>
        <v>0</v>
      </c>
      <c r="AA36" s="92">
        <f t="shared" si="9"/>
        <v>0</v>
      </c>
      <c r="AB36" s="92">
        <f t="shared" si="10"/>
        <v>0</v>
      </c>
      <c r="AC36" s="92">
        <f t="shared" si="11"/>
        <v>0</v>
      </c>
      <c r="AD36" s="92">
        <f t="shared" si="12"/>
        <v>0</v>
      </c>
      <c r="AE36" s="92">
        <f t="shared" si="13"/>
        <v>0</v>
      </c>
      <c r="AF36" s="98" t="s">
        <v>919</v>
      </c>
      <c r="AG36" s="99">
        <v>8262058</v>
      </c>
      <c r="AH36" s="99">
        <v>18267090</v>
      </c>
      <c r="AI36" s="99">
        <v>1522900</v>
      </c>
      <c r="AJ36" s="99">
        <v>18541700</v>
      </c>
      <c r="AK36" s="99">
        <v>11553710</v>
      </c>
      <c r="AL36" s="99">
        <v>27481945</v>
      </c>
      <c r="AM36" s="100"/>
      <c r="AN36" s="100"/>
      <c r="AO36" s="101"/>
    </row>
    <row r="37" spans="1:41" x14ac:dyDescent="0.2">
      <c r="A37" s="76" t="s">
        <v>158</v>
      </c>
      <c r="B37" s="76" t="s">
        <v>913</v>
      </c>
      <c r="C37" s="102" t="s">
        <v>910</v>
      </c>
      <c r="D37" s="103" t="s">
        <v>910</v>
      </c>
      <c r="E37" s="104" t="s">
        <v>910</v>
      </c>
      <c r="F37" s="105">
        <f t="shared" si="0"/>
        <v>0</v>
      </c>
      <c r="G37" s="105">
        <f t="shared" si="1"/>
        <v>0</v>
      </c>
      <c r="H37" s="105">
        <f t="shared" si="2"/>
        <v>0</v>
      </c>
      <c r="I37" s="105">
        <f t="shared" si="3"/>
        <v>0</v>
      </c>
      <c r="J37" s="105">
        <f t="shared" si="4"/>
        <v>0</v>
      </c>
      <c r="K37" s="105">
        <f t="shared" si="5"/>
        <v>0</v>
      </c>
      <c r="L37" s="105">
        <f t="shared" si="6"/>
        <v>0</v>
      </c>
      <c r="M37" s="50" t="s">
        <v>912</v>
      </c>
      <c r="N37" s="50" t="s">
        <v>912</v>
      </c>
      <c r="O37" s="50" t="s">
        <v>912</v>
      </c>
      <c r="P37" s="106" t="s">
        <v>912</v>
      </c>
      <c r="Q37" s="50" t="s">
        <v>912</v>
      </c>
      <c r="R37" s="107" t="s">
        <v>912</v>
      </c>
      <c r="S37" s="50" t="s">
        <v>912</v>
      </c>
      <c r="T37" s="50" t="s">
        <v>912</v>
      </c>
      <c r="U37" s="50" t="s">
        <v>912</v>
      </c>
      <c r="V37" s="106" t="s">
        <v>912</v>
      </c>
      <c r="W37" s="50" t="s">
        <v>912</v>
      </c>
      <c r="X37" s="105" t="s">
        <v>912</v>
      </c>
      <c r="Y37" s="105">
        <f t="shared" si="7"/>
        <v>0</v>
      </c>
      <c r="Z37" s="105">
        <f t="shared" si="8"/>
        <v>0</v>
      </c>
      <c r="AA37" s="105">
        <f t="shared" si="9"/>
        <v>0</v>
      </c>
      <c r="AB37" s="105">
        <f t="shared" si="10"/>
        <v>0</v>
      </c>
      <c r="AC37" s="105">
        <f t="shared" si="11"/>
        <v>0</v>
      </c>
      <c r="AD37" s="105">
        <f t="shared" si="12"/>
        <v>0</v>
      </c>
      <c r="AE37" s="105">
        <f t="shared" si="13"/>
        <v>0</v>
      </c>
      <c r="AF37" s="108"/>
      <c r="AG37" s="110"/>
      <c r="AH37" s="110"/>
      <c r="AI37" s="110"/>
      <c r="AJ37" s="110"/>
      <c r="AK37" s="110"/>
      <c r="AL37" s="110"/>
      <c r="AM37" s="110"/>
      <c r="AN37" s="110"/>
      <c r="AO37" s="111"/>
    </row>
    <row r="38" spans="1:41" x14ac:dyDescent="0.2">
      <c r="A38" s="88" t="s">
        <v>162</v>
      </c>
      <c r="B38" s="88" t="s">
        <v>28</v>
      </c>
      <c r="C38" s="89" t="s">
        <v>910</v>
      </c>
      <c r="D38" s="90" t="s">
        <v>911</v>
      </c>
      <c r="E38" s="91" t="s">
        <v>911</v>
      </c>
      <c r="F38" s="92">
        <f t="shared" si="0"/>
        <v>0</v>
      </c>
      <c r="G38" s="92">
        <f t="shared" si="1"/>
        <v>0</v>
      </c>
      <c r="H38" s="92">
        <f t="shared" si="2"/>
        <v>0</v>
      </c>
      <c r="I38" s="92">
        <f t="shared" si="3"/>
        <v>0</v>
      </c>
      <c r="J38" s="92">
        <f t="shared" si="4"/>
        <v>0</v>
      </c>
      <c r="K38" s="92">
        <f t="shared" si="5"/>
        <v>1</v>
      </c>
      <c r="L38" s="92">
        <f t="shared" si="6"/>
        <v>0</v>
      </c>
      <c r="M38" s="93" t="s">
        <v>910</v>
      </c>
      <c r="N38" s="93" t="s">
        <v>911</v>
      </c>
      <c r="O38" s="93" t="s">
        <v>911</v>
      </c>
      <c r="P38" s="94" t="s">
        <v>910</v>
      </c>
      <c r="Q38" s="93" t="s">
        <v>911</v>
      </c>
      <c r="R38" s="95" t="s">
        <v>911</v>
      </c>
      <c r="S38" s="93" t="s">
        <v>912</v>
      </c>
      <c r="T38" s="93" t="s">
        <v>911</v>
      </c>
      <c r="U38" s="93" t="s">
        <v>912</v>
      </c>
      <c r="V38" s="96" t="s">
        <v>910</v>
      </c>
      <c r="W38" s="97" t="s">
        <v>911</v>
      </c>
      <c r="X38" s="92" t="s">
        <v>911</v>
      </c>
      <c r="Y38" s="92">
        <f t="shared" si="7"/>
        <v>0</v>
      </c>
      <c r="Z38" s="92">
        <f t="shared" si="8"/>
        <v>0</v>
      </c>
      <c r="AA38" s="92">
        <f t="shared" si="9"/>
        <v>0</v>
      </c>
      <c r="AB38" s="92">
        <f t="shared" si="10"/>
        <v>0</v>
      </c>
      <c r="AC38" s="92">
        <f t="shared" si="11"/>
        <v>0</v>
      </c>
      <c r="AD38" s="92">
        <f t="shared" si="12"/>
        <v>1</v>
      </c>
      <c r="AE38" s="92">
        <f t="shared" si="13"/>
        <v>0</v>
      </c>
      <c r="AF38" s="98"/>
      <c r="AG38" s="99">
        <v>15342493</v>
      </c>
      <c r="AH38" s="99">
        <v>24656827</v>
      </c>
      <c r="AI38" s="100"/>
      <c r="AJ38" s="100"/>
      <c r="AK38" s="100"/>
      <c r="AL38" s="100"/>
      <c r="AM38" s="100"/>
      <c r="AN38" s="100"/>
      <c r="AO38" s="101"/>
    </row>
    <row r="39" spans="1:41" x14ac:dyDescent="0.2">
      <c r="A39" s="76" t="s">
        <v>166</v>
      </c>
      <c r="B39" s="76" t="s">
        <v>28</v>
      </c>
      <c r="C39" s="102" t="s">
        <v>911</v>
      </c>
      <c r="D39" s="103" t="s">
        <v>910</v>
      </c>
      <c r="E39" s="104" t="s">
        <v>911</v>
      </c>
      <c r="F39" s="105">
        <f t="shared" si="0"/>
        <v>0</v>
      </c>
      <c r="G39" s="105">
        <f t="shared" si="1"/>
        <v>0</v>
      </c>
      <c r="H39" s="105">
        <f t="shared" si="2"/>
        <v>0</v>
      </c>
      <c r="I39" s="105">
        <f t="shared" si="3"/>
        <v>0</v>
      </c>
      <c r="J39" s="105">
        <f t="shared" si="4"/>
        <v>1</v>
      </c>
      <c r="K39" s="105">
        <f t="shared" si="5"/>
        <v>0</v>
      </c>
      <c r="L39" s="105">
        <f t="shared" si="6"/>
        <v>0</v>
      </c>
      <c r="M39" s="50" t="s">
        <v>912</v>
      </c>
      <c r="N39" s="50" t="s">
        <v>912</v>
      </c>
      <c r="O39" s="50" t="s">
        <v>912</v>
      </c>
      <c r="P39" s="106" t="s">
        <v>912</v>
      </c>
      <c r="Q39" s="50" t="s">
        <v>912</v>
      </c>
      <c r="R39" s="107" t="s">
        <v>912</v>
      </c>
      <c r="S39" s="50" t="s">
        <v>912</v>
      </c>
      <c r="T39" s="50" t="s">
        <v>912</v>
      </c>
      <c r="U39" s="50" t="s">
        <v>912</v>
      </c>
      <c r="V39" s="106" t="s">
        <v>912</v>
      </c>
      <c r="W39" s="50" t="s">
        <v>912</v>
      </c>
      <c r="X39" s="105" t="s">
        <v>912</v>
      </c>
      <c r="Y39" s="105">
        <f t="shared" si="7"/>
        <v>0</v>
      </c>
      <c r="Z39" s="105">
        <f t="shared" si="8"/>
        <v>0</v>
      </c>
      <c r="AA39" s="105">
        <f t="shared" si="9"/>
        <v>0</v>
      </c>
      <c r="AB39" s="105">
        <f t="shared" si="10"/>
        <v>0</v>
      </c>
      <c r="AC39" s="105">
        <f t="shared" si="11"/>
        <v>0</v>
      </c>
      <c r="AD39" s="105">
        <f t="shared" si="12"/>
        <v>0</v>
      </c>
      <c r="AE39" s="105">
        <f t="shared" si="13"/>
        <v>0</v>
      </c>
      <c r="AF39" s="108"/>
      <c r="AG39" s="110"/>
      <c r="AH39" s="110"/>
      <c r="AI39" s="110"/>
      <c r="AJ39" s="110"/>
      <c r="AK39" s="110"/>
      <c r="AL39" s="110"/>
      <c r="AM39" s="110"/>
      <c r="AN39" s="110"/>
      <c r="AO39" s="111"/>
    </row>
    <row r="40" spans="1:41" x14ac:dyDescent="0.2">
      <c r="A40" s="88" t="s">
        <v>170</v>
      </c>
      <c r="B40" s="88" t="s">
        <v>28</v>
      </c>
      <c r="C40" s="89" t="s">
        <v>920</v>
      </c>
      <c r="D40" s="90" t="s">
        <v>920</v>
      </c>
      <c r="E40" s="91" t="s">
        <v>920</v>
      </c>
      <c r="F40" s="92">
        <f t="shared" si="0"/>
        <v>0</v>
      </c>
      <c r="G40" s="92">
        <f t="shared" si="1"/>
        <v>0</v>
      </c>
      <c r="H40" s="92">
        <f t="shared" si="2"/>
        <v>0</v>
      </c>
      <c r="I40" s="92">
        <f t="shared" si="3"/>
        <v>0</v>
      </c>
      <c r="J40" s="92">
        <f t="shared" si="4"/>
        <v>0</v>
      </c>
      <c r="K40" s="92">
        <f t="shared" si="5"/>
        <v>0</v>
      </c>
      <c r="L40" s="92">
        <f t="shared" si="6"/>
        <v>0</v>
      </c>
      <c r="M40" s="93" t="s">
        <v>911</v>
      </c>
      <c r="N40" s="93" t="s">
        <v>910</v>
      </c>
      <c r="O40" s="93" t="s">
        <v>911</v>
      </c>
      <c r="P40" s="94" t="s">
        <v>911</v>
      </c>
      <c r="Q40" s="93" t="s">
        <v>910</v>
      </c>
      <c r="R40" s="95" t="s">
        <v>911</v>
      </c>
      <c r="S40" s="93" t="s">
        <v>911</v>
      </c>
      <c r="T40" s="93"/>
      <c r="U40" s="93"/>
      <c r="V40" s="96" t="s">
        <v>911</v>
      </c>
      <c r="W40" s="97" t="s">
        <v>910</v>
      </c>
      <c r="X40" s="92" t="s">
        <v>911</v>
      </c>
      <c r="Y40" s="92">
        <f t="shared" si="7"/>
        <v>0</v>
      </c>
      <c r="Z40" s="92">
        <f t="shared" si="8"/>
        <v>0</v>
      </c>
      <c r="AA40" s="92">
        <f t="shared" si="9"/>
        <v>0</v>
      </c>
      <c r="AB40" s="92">
        <f t="shared" si="10"/>
        <v>0</v>
      </c>
      <c r="AC40" s="92">
        <f t="shared" si="11"/>
        <v>1</v>
      </c>
      <c r="AD40" s="92">
        <f t="shared" si="12"/>
        <v>0</v>
      </c>
      <c r="AE40" s="92">
        <f t="shared" si="13"/>
        <v>0</v>
      </c>
      <c r="AF40" s="98"/>
      <c r="AG40" s="99">
        <v>24335996</v>
      </c>
      <c r="AH40" s="100"/>
      <c r="AI40" s="100"/>
      <c r="AJ40" s="100"/>
      <c r="AK40" s="100"/>
      <c r="AL40" s="100"/>
      <c r="AM40" s="100"/>
      <c r="AN40" s="100"/>
      <c r="AO40" s="101"/>
    </row>
    <row r="41" spans="1:41" x14ac:dyDescent="0.2">
      <c r="A41" s="76" t="s">
        <v>175</v>
      </c>
      <c r="B41" s="76" t="s">
        <v>28</v>
      </c>
      <c r="C41" s="102" t="s">
        <v>910</v>
      </c>
      <c r="D41" s="103" t="s">
        <v>911</v>
      </c>
      <c r="E41" s="104" t="s">
        <v>910</v>
      </c>
      <c r="F41" s="105">
        <f t="shared" si="0"/>
        <v>0</v>
      </c>
      <c r="G41" s="105">
        <f t="shared" si="1"/>
        <v>1</v>
      </c>
      <c r="H41" s="105">
        <f t="shared" si="2"/>
        <v>0</v>
      </c>
      <c r="I41" s="105">
        <f t="shared" si="3"/>
        <v>0</v>
      </c>
      <c r="J41" s="105">
        <f t="shared" si="4"/>
        <v>0</v>
      </c>
      <c r="K41" s="105">
        <f t="shared" si="5"/>
        <v>0</v>
      </c>
      <c r="L41" s="105">
        <f t="shared" si="6"/>
        <v>0</v>
      </c>
      <c r="M41" s="50" t="s">
        <v>914</v>
      </c>
      <c r="N41" s="50" t="s">
        <v>911</v>
      </c>
      <c r="O41" s="50" t="s">
        <v>911</v>
      </c>
      <c r="P41" s="106" t="s">
        <v>914</v>
      </c>
      <c r="Q41" s="50" t="s">
        <v>911</v>
      </c>
      <c r="R41" s="107" t="s">
        <v>911</v>
      </c>
      <c r="S41" s="50" t="s">
        <v>911</v>
      </c>
      <c r="T41" s="50" t="s">
        <v>911</v>
      </c>
      <c r="U41" s="50" t="s">
        <v>911</v>
      </c>
      <c r="V41" s="106" t="s">
        <v>911</v>
      </c>
      <c r="W41" s="50" t="s">
        <v>911</v>
      </c>
      <c r="X41" s="105" t="s">
        <v>911</v>
      </c>
      <c r="Y41" s="105">
        <f t="shared" si="7"/>
        <v>0</v>
      </c>
      <c r="Z41" s="105">
        <f t="shared" si="8"/>
        <v>0</v>
      </c>
      <c r="AA41" s="105">
        <f t="shared" si="9"/>
        <v>0</v>
      </c>
      <c r="AB41" s="105">
        <f t="shared" si="10"/>
        <v>0</v>
      </c>
      <c r="AC41" s="105">
        <f t="shared" si="11"/>
        <v>0</v>
      </c>
      <c r="AD41" s="105">
        <f t="shared" si="12"/>
        <v>0</v>
      </c>
      <c r="AE41" s="105">
        <f t="shared" si="13"/>
        <v>1</v>
      </c>
      <c r="AF41" s="108"/>
      <c r="AG41" s="109">
        <v>11431473</v>
      </c>
      <c r="AH41" s="109">
        <v>24352656</v>
      </c>
      <c r="AI41" s="110"/>
      <c r="AJ41" s="110"/>
      <c r="AK41" s="110"/>
      <c r="AL41" s="110"/>
      <c r="AM41" s="110"/>
      <c r="AN41" s="110"/>
      <c r="AO41" s="111"/>
    </row>
    <row r="42" spans="1:41" x14ac:dyDescent="0.2">
      <c r="A42" s="88" t="s">
        <v>582</v>
      </c>
      <c r="B42" s="88" t="s">
        <v>28</v>
      </c>
      <c r="C42" s="89" t="s">
        <v>910</v>
      </c>
      <c r="D42" s="90" t="s">
        <v>910</v>
      </c>
      <c r="E42" s="91" t="s">
        <v>910</v>
      </c>
      <c r="F42" s="92">
        <f t="shared" si="0"/>
        <v>0</v>
      </c>
      <c r="G42" s="92">
        <f t="shared" si="1"/>
        <v>0</v>
      </c>
      <c r="H42" s="92">
        <f t="shared" si="2"/>
        <v>0</v>
      </c>
      <c r="I42" s="92">
        <f t="shared" si="3"/>
        <v>0</v>
      </c>
      <c r="J42" s="92">
        <f t="shared" si="4"/>
        <v>0</v>
      </c>
      <c r="K42" s="92">
        <f t="shared" si="5"/>
        <v>0</v>
      </c>
      <c r="L42" s="92">
        <f t="shared" si="6"/>
        <v>0</v>
      </c>
      <c r="M42" s="93" t="s">
        <v>914</v>
      </c>
      <c r="N42" s="93" t="s">
        <v>911</v>
      </c>
      <c r="O42" s="93" t="s">
        <v>914</v>
      </c>
      <c r="P42" s="94" t="s">
        <v>911</v>
      </c>
      <c r="Q42" s="93" t="s">
        <v>911</v>
      </c>
      <c r="R42" s="95" t="s">
        <v>911</v>
      </c>
      <c r="S42" s="93" t="s">
        <v>910</v>
      </c>
      <c r="T42" s="93" t="s">
        <v>911</v>
      </c>
      <c r="U42" s="93" t="s">
        <v>910</v>
      </c>
      <c r="V42" s="96" t="s">
        <v>914</v>
      </c>
      <c r="W42" s="97" t="s">
        <v>911</v>
      </c>
      <c r="X42" s="92" t="s">
        <v>914</v>
      </c>
      <c r="Y42" s="92">
        <f t="shared" si="7"/>
        <v>0</v>
      </c>
      <c r="Z42" s="92">
        <f t="shared" si="8"/>
        <v>1</v>
      </c>
      <c r="AA42" s="92">
        <f t="shared" si="9"/>
        <v>0</v>
      </c>
      <c r="AB42" s="92">
        <f t="shared" si="10"/>
        <v>0</v>
      </c>
      <c r="AC42" s="92">
        <f t="shared" si="11"/>
        <v>0</v>
      </c>
      <c r="AD42" s="92">
        <f t="shared" si="12"/>
        <v>0</v>
      </c>
      <c r="AE42" s="92">
        <f t="shared" si="13"/>
        <v>0</v>
      </c>
      <c r="AF42" s="98"/>
      <c r="AG42" s="99">
        <v>24086303</v>
      </c>
      <c r="AH42" s="99"/>
      <c r="AI42" s="100"/>
      <c r="AJ42" s="100"/>
      <c r="AK42" s="100"/>
      <c r="AL42" s="100"/>
      <c r="AM42" s="100"/>
      <c r="AN42" s="100"/>
      <c r="AO42" s="101"/>
    </row>
    <row r="43" spans="1:41" x14ac:dyDescent="0.2">
      <c r="A43" s="76" t="s">
        <v>272</v>
      </c>
      <c r="B43" s="76" t="s">
        <v>28</v>
      </c>
      <c r="C43" s="102" t="s">
        <v>910</v>
      </c>
      <c r="D43" s="103" t="s">
        <v>911</v>
      </c>
      <c r="E43" s="104" t="s">
        <v>910</v>
      </c>
      <c r="F43" s="105">
        <f t="shared" si="0"/>
        <v>0</v>
      </c>
      <c r="G43" s="105">
        <f t="shared" si="1"/>
        <v>1</v>
      </c>
      <c r="H43" s="105">
        <f t="shared" si="2"/>
        <v>0</v>
      </c>
      <c r="I43" s="105">
        <f t="shared" si="3"/>
        <v>0</v>
      </c>
      <c r="J43" s="105">
        <f t="shared" si="4"/>
        <v>0</v>
      </c>
      <c r="K43" s="105">
        <f t="shared" si="5"/>
        <v>0</v>
      </c>
      <c r="L43" s="105">
        <f t="shared" si="6"/>
        <v>0</v>
      </c>
      <c r="M43" s="50" t="s">
        <v>910</v>
      </c>
      <c r="N43" s="50" t="s">
        <v>911</v>
      </c>
      <c r="O43" s="50" t="s">
        <v>910</v>
      </c>
      <c r="P43" s="106" t="s">
        <v>910</v>
      </c>
      <c r="Q43" s="50" t="s">
        <v>911</v>
      </c>
      <c r="R43" s="107" t="s">
        <v>910</v>
      </c>
      <c r="S43" s="50" t="s">
        <v>912</v>
      </c>
      <c r="T43" s="50" t="s">
        <v>911</v>
      </c>
      <c r="U43" s="50" t="s">
        <v>912</v>
      </c>
      <c r="V43" s="106" t="s">
        <v>910</v>
      </c>
      <c r="W43" s="50" t="s">
        <v>911</v>
      </c>
      <c r="X43" s="105" t="s">
        <v>910</v>
      </c>
      <c r="Y43" s="105">
        <f t="shared" si="7"/>
        <v>0</v>
      </c>
      <c r="Z43" s="105">
        <f t="shared" si="8"/>
        <v>1</v>
      </c>
      <c r="AA43" s="105">
        <f t="shared" si="9"/>
        <v>0</v>
      </c>
      <c r="AB43" s="105">
        <f t="shared" si="10"/>
        <v>0</v>
      </c>
      <c r="AC43" s="105">
        <f t="shared" si="11"/>
        <v>0</v>
      </c>
      <c r="AD43" s="105">
        <f t="shared" si="12"/>
        <v>0</v>
      </c>
      <c r="AE43" s="105">
        <f t="shared" si="13"/>
        <v>0</v>
      </c>
      <c r="AF43" s="108"/>
      <c r="AG43" s="109">
        <v>1903516</v>
      </c>
      <c r="AH43" s="109">
        <v>8336731</v>
      </c>
      <c r="AI43" s="109">
        <v>1644791</v>
      </c>
      <c r="AJ43" s="109">
        <v>12877655</v>
      </c>
      <c r="AK43" s="109">
        <v>18826946</v>
      </c>
      <c r="AL43" s="109">
        <v>8496137</v>
      </c>
      <c r="AM43" s="109">
        <v>17785182</v>
      </c>
      <c r="AN43" s="110"/>
      <c r="AO43" s="111"/>
    </row>
    <row r="44" spans="1:41" x14ac:dyDescent="0.2">
      <c r="A44" s="88" t="s">
        <v>277</v>
      </c>
      <c r="B44" s="88" t="s">
        <v>28</v>
      </c>
      <c r="C44" s="89" t="s">
        <v>910</v>
      </c>
      <c r="D44" s="90" t="s">
        <v>911</v>
      </c>
      <c r="E44" s="91" t="s">
        <v>910</v>
      </c>
      <c r="F44" s="92">
        <f t="shared" si="0"/>
        <v>0</v>
      </c>
      <c r="G44" s="92">
        <f t="shared" si="1"/>
        <v>1</v>
      </c>
      <c r="H44" s="92">
        <f t="shared" si="2"/>
        <v>0</v>
      </c>
      <c r="I44" s="92">
        <f t="shared" si="3"/>
        <v>0</v>
      </c>
      <c r="J44" s="92">
        <f t="shared" si="4"/>
        <v>0</v>
      </c>
      <c r="K44" s="92">
        <f t="shared" si="5"/>
        <v>0</v>
      </c>
      <c r="L44" s="92">
        <f t="shared" si="6"/>
        <v>0</v>
      </c>
      <c r="M44" s="93" t="s">
        <v>910</v>
      </c>
      <c r="N44" s="93" t="s">
        <v>911</v>
      </c>
      <c r="O44" s="93" t="s">
        <v>910</v>
      </c>
      <c r="P44" s="94" t="s">
        <v>910</v>
      </c>
      <c r="Q44" s="93" t="s">
        <v>911</v>
      </c>
      <c r="R44" s="95" t="s">
        <v>910</v>
      </c>
      <c r="S44" s="93" t="s">
        <v>910</v>
      </c>
      <c r="T44" s="93" t="s">
        <v>911</v>
      </c>
      <c r="U44" s="93" t="s">
        <v>910</v>
      </c>
      <c r="V44" s="96" t="s">
        <v>910</v>
      </c>
      <c r="W44" s="97" t="s">
        <v>911</v>
      </c>
      <c r="X44" s="92" t="s">
        <v>910</v>
      </c>
      <c r="Y44" s="92">
        <f t="shared" si="7"/>
        <v>0</v>
      </c>
      <c r="Z44" s="92">
        <f t="shared" si="8"/>
        <v>1</v>
      </c>
      <c r="AA44" s="92">
        <f t="shared" si="9"/>
        <v>0</v>
      </c>
      <c r="AB44" s="92">
        <f t="shared" si="10"/>
        <v>0</v>
      </c>
      <c r="AC44" s="92">
        <f t="shared" si="11"/>
        <v>0</v>
      </c>
      <c r="AD44" s="92">
        <f t="shared" si="12"/>
        <v>0</v>
      </c>
      <c r="AE44" s="92">
        <f t="shared" si="13"/>
        <v>0</v>
      </c>
      <c r="AF44" s="98"/>
      <c r="AG44" s="99">
        <v>12877655</v>
      </c>
      <c r="AH44" s="99">
        <v>16628218</v>
      </c>
      <c r="AI44" s="99">
        <v>15507211</v>
      </c>
      <c r="AJ44" s="99">
        <v>20335173</v>
      </c>
      <c r="AK44" s="99">
        <v>8440677</v>
      </c>
      <c r="AL44" s="99"/>
      <c r="AM44" s="100"/>
      <c r="AN44" s="100"/>
      <c r="AO44" s="101"/>
    </row>
    <row r="45" spans="1:41" x14ac:dyDescent="0.2">
      <c r="A45" s="76" t="s">
        <v>281</v>
      </c>
      <c r="B45" s="76" t="s">
        <v>913</v>
      </c>
      <c r="C45" s="102" t="s">
        <v>910</v>
      </c>
      <c r="D45" s="103" t="s">
        <v>910</v>
      </c>
      <c r="E45" s="104" t="s">
        <v>910</v>
      </c>
      <c r="F45" s="105">
        <f t="shared" si="0"/>
        <v>0</v>
      </c>
      <c r="G45" s="105">
        <f t="shared" si="1"/>
        <v>0</v>
      </c>
      <c r="H45" s="105">
        <f t="shared" si="2"/>
        <v>0</v>
      </c>
      <c r="I45" s="105">
        <f t="shared" si="3"/>
        <v>0</v>
      </c>
      <c r="J45" s="105">
        <f t="shared" si="4"/>
        <v>0</v>
      </c>
      <c r="K45" s="105">
        <f t="shared" si="5"/>
        <v>0</v>
      </c>
      <c r="L45" s="105">
        <f t="shared" si="6"/>
        <v>0</v>
      </c>
      <c r="M45" s="50" t="s">
        <v>912</v>
      </c>
      <c r="N45" s="50" t="s">
        <v>912</v>
      </c>
      <c r="O45" s="50" t="s">
        <v>912</v>
      </c>
      <c r="P45" s="106" t="s">
        <v>912</v>
      </c>
      <c r="Q45" s="50" t="s">
        <v>912</v>
      </c>
      <c r="R45" s="107" t="s">
        <v>912</v>
      </c>
      <c r="S45" s="50" t="s">
        <v>912</v>
      </c>
      <c r="T45" s="50" t="s">
        <v>912</v>
      </c>
      <c r="U45" s="50" t="s">
        <v>912</v>
      </c>
      <c r="V45" s="106" t="s">
        <v>912</v>
      </c>
      <c r="W45" s="50" t="s">
        <v>912</v>
      </c>
      <c r="X45" s="105" t="s">
        <v>912</v>
      </c>
      <c r="Y45" s="105">
        <f t="shared" si="7"/>
        <v>0</v>
      </c>
      <c r="Z45" s="105">
        <f t="shared" si="8"/>
        <v>0</v>
      </c>
      <c r="AA45" s="105">
        <f t="shared" si="9"/>
        <v>0</v>
      </c>
      <c r="AB45" s="105">
        <f t="shared" si="10"/>
        <v>0</v>
      </c>
      <c r="AC45" s="105">
        <f t="shared" si="11"/>
        <v>0</v>
      </c>
      <c r="AD45" s="105">
        <f t="shared" si="12"/>
        <v>0</v>
      </c>
      <c r="AE45" s="105">
        <f t="shared" si="13"/>
        <v>0</v>
      </c>
      <c r="AF45" s="108"/>
      <c r="AG45" s="110"/>
      <c r="AH45" s="110"/>
      <c r="AI45" s="110"/>
      <c r="AJ45" s="110"/>
      <c r="AK45" s="110"/>
      <c r="AL45" s="110"/>
      <c r="AM45" s="110"/>
      <c r="AN45" s="110"/>
      <c r="AO45" s="111"/>
    </row>
    <row r="46" spans="1:41" x14ac:dyDescent="0.2">
      <c r="A46" s="88" t="s">
        <v>285</v>
      </c>
      <c r="B46" s="88" t="s">
        <v>913</v>
      </c>
      <c r="C46" s="89" t="s">
        <v>910</v>
      </c>
      <c r="D46" s="90" t="s">
        <v>910</v>
      </c>
      <c r="E46" s="91" t="s">
        <v>910</v>
      </c>
      <c r="F46" s="92">
        <f t="shared" si="0"/>
        <v>0</v>
      </c>
      <c r="G46" s="92">
        <f t="shared" si="1"/>
        <v>0</v>
      </c>
      <c r="H46" s="92">
        <f t="shared" si="2"/>
        <v>0</v>
      </c>
      <c r="I46" s="92">
        <f t="shared" si="3"/>
        <v>0</v>
      </c>
      <c r="J46" s="92">
        <f t="shared" si="4"/>
        <v>0</v>
      </c>
      <c r="K46" s="92">
        <f t="shared" si="5"/>
        <v>0</v>
      </c>
      <c r="L46" s="92">
        <f t="shared" si="6"/>
        <v>0</v>
      </c>
      <c r="M46" s="93" t="s">
        <v>914</v>
      </c>
      <c r="N46" s="93" t="s">
        <v>911</v>
      </c>
      <c r="O46" s="93" t="s">
        <v>910</v>
      </c>
      <c r="P46" s="94" t="s">
        <v>912</v>
      </c>
      <c r="Q46" s="93" t="s">
        <v>912</v>
      </c>
      <c r="R46" s="95" t="s">
        <v>912</v>
      </c>
      <c r="S46" s="93" t="s">
        <v>914</v>
      </c>
      <c r="T46" s="93" t="s">
        <v>911</v>
      </c>
      <c r="U46" s="93" t="s">
        <v>910</v>
      </c>
      <c r="V46" s="96" t="s">
        <v>914</v>
      </c>
      <c r="W46" s="97" t="s">
        <v>911</v>
      </c>
      <c r="X46" s="92" t="s">
        <v>910</v>
      </c>
      <c r="Y46" s="92">
        <f t="shared" si="7"/>
        <v>0</v>
      </c>
      <c r="Z46" s="92">
        <f t="shared" si="8"/>
        <v>1</v>
      </c>
      <c r="AA46" s="92">
        <f t="shared" si="9"/>
        <v>0</v>
      </c>
      <c r="AB46" s="92">
        <f t="shared" si="10"/>
        <v>0</v>
      </c>
      <c r="AC46" s="92">
        <f t="shared" si="11"/>
        <v>0</v>
      </c>
      <c r="AD46" s="92">
        <f t="shared" si="12"/>
        <v>0</v>
      </c>
      <c r="AE46" s="92">
        <f t="shared" si="13"/>
        <v>0</v>
      </c>
      <c r="AF46" s="98"/>
      <c r="AG46" s="99">
        <v>25458010</v>
      </c>
      <c r="AH46" s="99">
        <v>25704760</v>
      </c>
      <c r="AI46" s="99">
        <v>25091805</v>
      </c>
      <c r="AJ46" s="100"/>
      <c r="AK46" s="100"/>
      <c r="AL46" s="100"/>
      <c r="AM46" s="100"/>
      <c r="AN46" s="100"/>
      <c r="AO46" s="101"/>
    </row>
    <row r="47" spans="1:41" x14ac:dyDescent="0.2">
      <c r="A47" s="76" t="s">
        <v>289</v>
      </c>
      <c r="B47" s="76" t="s">
        <v>28</v>
      </c>
      <c r="C47" s="102" t="s">
        <v>911</v>
      </c>
      <c r="D47" s="103" t="s">
        <v>910</v>
      </c>
      <c r="E47" s="104" t="s">
        <v>910</v>
      </c>
      <c r="F47" s="105">
        <f t="shared" si="0"/>
        <v>1</v>
      </c>
      <c r="G47" s="105">
        <f t="shared" si="1"/>
        <v>0</v>
      </c>
      <c r="H47" s="105">
        <f t="shared" si="2"/>
        <v>0</v>
      </c>
      <c r="I47" s="105">
        <f t="shared" si="3"/>
        <v>0</v>
      </c>
      <c r="J47" s="105">
        <f t="shared" si="4"/>
        <v>0</v>
      </c>
      <c r="K47" s="105">
        <f t="shared" si="5"/>
        <v>0</v>
      </c>
      <c r="L47" s="105">
        <f t="shared" si="6"/>
        <v>0</v>
      </c>
      <c r="M47" s="50" t="s">
        <v>911</v>
      </c>
      <c r="N47" s="50" t="s">
        <v>910</v>
      </c>
      <c r="O47" s="50" t="s">
        <v>911</v>
      </c>
      <c r="P47" s="106" t="s">
        <v>911</v>
      </c>
      <c r="Q47" s="50" t="s">
        <v>910</v>
      </c>
      <c r="R47" s="107" t="s">
        <v>911</v>
      </c>
      <c r="S47" s="50" t="s">
        <v>911</v>
      </c>
      <c r="T47" s="50" t="s">
        <v>912</v>
      </c>
      <c r="U47" s="50" t="s">
        <v>912</v>
      </c>
      <c r="V47" s="106" t="s">
        <v>911</v>
      </c>
      <c r="W47" s="50" t="s">
        <v>910</v>
      </c>
      <c r="X47" s="105" t="s">
        <v>911</v>
      </c>
      <c r="Y47" s="105">
        <f t="shared" si="7"/>
        <v>0</v>
      </c>
      <c r="Z47" s="105">
        <f t="shared" si="8"/>
        <v>0</v>
      </c>
      <c r="AA47" s="105">
        <f t="shared" si="9"/>
        <v>0</v>
      </c>
      <c r="AB47" s="105">
        <f t="shared" si="10"/>
        <v>0</v>
      </c>
      <c r="AC47" s="105">
        <f t="shared" si="11"/>
        <v>1</v>
      </c>
      <c r="AD47" s="105">
        <f t="shared" si="12"/>
        <v>0</v>
      </c>
      <c r="AE47" s="105">
        <f t="shared" si="13"/>
        <v>0</v>
      </c>
      <c r="AF47" s="108" t="s">
        <v>921</v>
      </c>
      <c r="AG47" s="109">
        <v>7835339</v>
      </c>
      <c r="AH47" s="109">
        <v>17976533</v>
      </c>
      <c r="AI47" s="109">
        <v>19170769</v>
      </c>
      <c r="AJ47" s="109">
        <v>17932950</v>
      </c>
      <c r="AK47" s="109">
        <v>14633684</v>
      </c>
      <c r="AL47" s="109">
        <v>19710422</v>
      </c>
      <c r="AM47" s="109">
        <v>27481945</v>
      </c>
      <c r="AN47" s="110"/>
      <c r="AO47" s="111"/>
    </row>
    <row r="48" spans="1:41" x14ac:dyDescent="0.2">
      <c r="A48" s="88" t="s">
        <v>351</v>
      </c>
      <c r="B48" s="88" t="s">
        <v>28</v>
      </c>
      <c r="C48" s="89" t="s">
        <v>910</v>
      </c>
      <c r="D48" s="90" t="s">
        <v>911</v>
      </c>
      <c r="E48" s="91" t="s">
        <v>910</v>
      </c>
      <c r="F48" s="92">
        <f t="shared" si="0"/>
        <v>0</v>
      </c>
      <c r="G48" s="92">
        <f t="shared" si="1"/>
        <v>1</v>
      </c>
      <c r="H48" s="92">
        <f t="shared" si="2"/>
        <v>0</v>
      </c>
      <c r="I48" s="92">
        <f t="shared" si="3"/>
        <v>0</v>
      </c>
      <c r="J48" s="92">
        <f t="shared" si="4"/>
        <v>0</v>
      </c>
      <c r="K48" s="92">
        <f t="shared" si="5"/>
        <v>0</v>
      </c>
      <c r="L48" s="92">
        <f t="shared" si="6"/>
        <v>0</v>
      </c>
      <c r="M48" s="93" t="s">
        <v>912</v>
      </c>
      <c r="N48" s="93" t="s">
        <v>912</v>
      </c>
      <c r="O48" s="93" t="s">
        <v>912</v>
      </c>
      <c r="P48" s="94" t="s">
        <v>912</v>
      </c>
      <c r="Q48" s="93" t="s">
        <v>912</v>
      </c>
      <c r="R48" s="95" t="s">
        <v>912</v>
      </c>
      <c r="S48" s="93" t="s">
        <v>912</v>
      </c>
      <c r="T48" s="93" t="s">
        <v>912</v>
      </c>
      <c r="U48" s="93" t="s">
        <v>912</v>
      </c>
      <c r="V48" s="96" t="s">
        <v>912</v>
      </c>
      <c r="W48" s="97" t="s">
        <v>912</v>
      </c>
      <c r="X48" s="92" t="s">
        <v>912</v>
      </c>
      <c r="Y48" s="92">
        <f t="shared" si="7"/>
        <v>0</v>
      </c>
      <c r="Z48" s="92">
        <f t="shared" si="8"/>
        <v>0</v>
      </c>
      <c r="AA48" s="92">
        <f t="shared" si="9"/>
        <v>0</v>
      </c>
      <c r="AB48" s="92">
        <f t="shared" si="10"/>
        <v>0</v>
      </c>
      <c r="AC48" s="92">
        <f t="shared" si="11"/>
        <v>0</v>
      </c>
      <c r="AD48" s="92">
        <f t="shared" si="12"/>
        <v>0</v>
      </c>
      <c r="AE48" s="92">
        <f t="shared" si="13"/>
        <v>0</v>
      </c>
      <c r="AF48" s="98"/>
      <c r="AG48" s="100"/>
      <c r="AH48" s="100"/>
      <c r="AI48" s="100"/>
      <c r="AJ48" s="100"/>
      <c r="AK48" s="100"/>
      <c r="AL48" s="100"/>
      <c r="AM48" s="100"/>
      <c r="AN48" s="100"/>
      <c r="AO48" s="101"/>
    </row>
    <row r="49" spans="1:41" x14ac:dyDescent="0.2">
      <c r="A49" s="76" t="s">
        <v>354</v>
      </c>
      <c r="B49" s="76" t="s">
        <v>913</v>
      </c>
      <c r="C49" s="102" t="s">
        <v>910</v>
      </c>
      <c r="D49" s="103" t="s">
        <v>911</v>
      </c>
      <c r="E49" s="104" t="s">
        <v>911</v>
      </c>
      <c r="F49" s="105">
        <f t="shared" si="0"/>
        <v>0</v>
      </c>
      <c r="G49" s="105">
        <f t="shared" si="1"/>
        <v>0</v>
      </c>
      <c r="H49" s="105">
        <f t="shared" si="2"/>
        <v>0</v>
      </c>
      <c r="I49" s="105">
        <f t="shared" si="3"/>
        <v>0</v>
      </c>
      <c r="J49" s="105">
        <f t="shared" si="4"/>
        <v>0</v>
      </c>
      <c r="K49" s="105">
        <f t="shared" si="5"/>
        <v>1</v>
      </c>
      <c r="L49" s="105">
        <f t="shared" si="6"/>
        <v>0</v>
      </c>
      <c r="M49" s="50" t="s">
        <v>912</v>
      </c>
      <c r="N49" s="50" t="s">
        <v>912</v>
      </c>
      <c r="O49" s="50" t="s">
        <v>912</v>
      </c>
      <c r="P49" s="106" t="s">
        <v>912</v>
      </c>
      <c r="Q49" s="50" t="s">
        <v>912</v>
      </c>
      <c r="R49" s="107" t="s">
        <v>912</v>
      </c>
      <c r="S49" s="50" t="s">
        <v>912</v>
      </c>
      <c r="T49" s="50" t="s">
        <v>912</v>
      </c>
      <c r="U49" s="50" t="s">
        <v>912</v>
      </c>
      <c r="V49" s="106" t="s">
        <v>912</v>
      </c>
      <c r="W49" s="50" t="s">
        <v>912</v>
      </c>
      <c r="X49" s="105" t="s">
        <v>912</v>
      </c>
      <c r="Y49" s="105">
        <f t="shared" si="7"/>
        <v>0</v>
      </c>
      <c r="Z49" s="105">
        <f t="shared" si="8"/>
        <v>0</v>
      </c>
      <c r="AA49" s="105">
        <f t="shared" si="9"/>
        <v>0</v>
      </c>
      <c r="AB49" s="105">
        <f t="shared" si="10"/>
        <v>0</v>
      </c>
      <c r="AC49" s="105">
        <f t="shared" si="11"/>
        <v>0</v>
      </c>
      <c r="AD49" s="105">
        <f t="shared" si="12"/>
        <v>0</v>
      </c>
      <c r="AE49" s="105">
        <f t="shared" si="13"/>
        <v>0</v>
      </c>
      <c r="AF49" s="108"/>
      <c r="AG49" s="110"/>
      <c r="AH49" s="110"/>
      <c r="AI49" s="110"/>
      <c r="AJ49" s="110"/>
      <c r="AK49" s="110"/>
      <c r="AL49" s="110"/>
      <c r="AM49" s="110"/>
      <c r="AN49" s="110"/>
      <c r="AO49" s="111"/>
    </row>
    <row r="50" spans="1:41" x14ac:dyDescent="0.2">
      <c r="A50" s="88" t="s">
        <v>390</v>
      </c>
      <c r="B50" s="88" t="s">
        <v>28</v>
      </c>
      <c r="C50" s="89" t="s">
        <v>911</v>
      </c>
      <c r="D50" s="90" t="s">
        <v>911</v>
      </c>
      <c r="E50" s="91" t="s">
        <v>911</v>
      </c>
      <c r="F50" s="92">
        <f t="shared" si="0"/>
        <v>0</v>
      </c>
      <c r="G50" s="92">
        <f t="shared" si="1"/>
        <v>0</v>
      </c>
      <c r="H50" s="92">
        <f t="shared" si="2"/>
        <v>0</v>
      </c>
      <c r="I50" s="92">
        <f t="shared" si="3"/>
        <v>0</v>
      </c>
      <c r="J50" s="92">
        <f t="shared" si="4"/>
        <v>0</v>
      </c>
      <c r="K50" s="92">
        <f t="shared" si="5"/>
        <v>0</v>
      </c>
      <c r="L50" s="92">
        <f t="shared" si="6"/>
        <v>1</v>
      </c>
      <c r="M50" s="93" t="s">
        <v>911</v>
      </c>
      <c r="N50" s="93" t="s">
        <v>910</v>
      </c>
      <c r="O50" s="93" t="s">
        <v>910</v>
      </c>
      <c r="P50" s="94" t="s">
        <v>911</v>
      </c>
      <c r="Q50" s="93" t="s">
        <v>910</v>
      </c>
      <c r="R50" s="95" t="s">
        <v>910</v>
      </c>
      <c r="S50" s="93" t="s">
        <v>911</v>
      </c>
      <c r="T50" s="93" t="s">
        <v>910</v>
      </c>
      <c r="U50" s="93" t="s">
        <v>910</v>
      </c>
      <c r="V50" s="96" t="s">
        <v>911</v>
      </c>
      <c r="W50" s="97" t="s">
        <v>910</v>
      </c>
      <c r="X50" s="92" t="s">
        <v>910</v>
      </c>
      <c r="Y50" s="92">
        <f t="shared" si="7"/>
        <v>1</v>
      </c>
      <c r="Z50" s="92">
        <f t="shared" si="8"/>
        <v>0</v>
      </c>
      <c r="AA50" s="92">
        <f t="shared" si="9"/>
        <v>0</v>
      </c>
      <c r="AB50" s="92">
        <f t="shared" si="10"/>
        <v>0</v>
      </c>
      <c r="AC50" s="92">
        <f t="shared" si="11"/>
        <v>0</v>
      </c>
      <c r="AD50" s="92">
        <f t="shared" si="12"/>
        <v>0</v>
      </c>
      <c r="AE50" s="92">
        <f t="shared" si="13"/>
        <v>0</v>
      </c>
      <c r="AF50" s="98"/>
      <c r="AG50" s="99">
        <v>12093360</v>
      </c>
      <c r="AH50" s="99">
        <v>25074242</v>
      </c>
      <c r="AI50" s="99">
        <v>22438581</v>
      </c>
      <c r="AJ50" s="99"/>
      <c r="AK50" s="100"/>
      <c r="AL50" s="100"/>
      <c r="AM50" s="100"/>
      <c r="AN50" s="100"/>
      <c r="AO50" s="101"/>
    </row>
    <row r="51" spans="1:41" x14ac:dyDescent="0.2">
      <c r="A51" s="76" t="s">
        <v>397</v>
      </c>
      <c r="B51" s="76" t="s">
        <v>913</v>
      </c>
      <c r="C51" s="102" t="s">
        <v>910</v>
      </c>
      <c r="D51" s="103" t="s">
        <v>910</v>
      </c>
      <c r="E51" s="104" t="s">
        <v>910</v>
      </c>
      <c r="F51" s="105">
        <f t="shared" si="0"/>
        <v>0</v>
      </c>
      <c r="G51" s="105">
        <f t="shared" si="1"/>
        <v>0</v>
      </c>
      <c r="H51" s="105">
        <f t="shared" si="2"/>
        <v>0</v>
      </c>
      <c r="I51" s="105">
        <f t="shared" si="3"/>
        <v>0</v>
      </c>
      <c r="J51" s="105">
        <f t="shared" si="4"/>
        <v>0</v>
      </c>
      <c r="K51" s="105">
        <f t="shared" si="5"/>
        <v>0</v>
      </c>
      <c r="L51" s="105">
        <f t="shared" si="6"/>
        <v>0</v>
      </c>
      <c r="M51" s="50" t="s">
        <v>912</v>
      </c>
      <c r="N51" s="50" t="s">
        <v>912</v>
      </c>
      <c r="O51" s="50" t="s">
        <v>912</v>
      </c>
      <c r="P51" s="106" t="s">
        <v>912</v>
      </c>
      <c r="Q51" s="50" t="s">
        <v>912</v>
      </c>
      <c r="R51" s="107" t="s">
        <v>912</v>
      </c>
      <c r="S51" s="50" t="s">
        <v>912</v>
      </c>
      <c r="T51" s="50" t="s">
        <v>912</v>
      </c>
      <c r="U51" s="50" t="s">
        <v>912</v>
      </c>
      <c r="V51" s="106" t="s">
        <v>912</v>
      </c>
      <c r="W51" s="50" t="s">
        <v>912</v>
      </c>
      <c r="X51" s="105" t="s">
        <v>912</v>
      </c>
      <c r="Y51" s="105">
        <f t="shared" si="7"/>
        <v>0</v>
      </c>
      <c r="Z51" s="105">
        <f t="shared" si="8"/>
        <v>0</v>
      </c>
      <c r="AA51" s="105">
        <f t="shared" si="9"/>
        <v>0</v>
      </c>
      <c r="AB51" s="105">
        <f t="shared" si="10"/>
        <v>0</v>
      </c>
      <c r="AC51" s="105">
        <f t="shared" si="11"/>
        <v>0</v>
      </c>
      <c r="AD51" s="105">
        <f t="shared" si="12"/>
        <v>0</v>
      </c>
      <c r="AE51" s="105">
        <f t="shared" si="13"/>
        <v>0</v>
      </c>
      <c r="AF51" s="108"/>
      <c r="AG51" s="110"/>
      <c r="AH51" s="110"/>
      <c r="AI51" s="110"/>
      <c r="AJ51" s="110"/>
      <c r="AK51" s="110"/>
      <c r="AL51" s="110"/>
      <c r="AM51" s="110"/>
      <c r="AN51" s="110"/>
      <c r="AO51" s="111"/>
    </row>
    <row r="52" spans="1:41" x14ac:dyDescent="0.2">
      <c r="A52" s="88" t="s">
        <v>426</v>
      </c>
      <c r="B52" s="88" t="s">
        <v>28</v>
      </c>
      <c r="C52" s="89" t="s">
        <v>911</v>
      </c>
      <c r="D52" s="90" t="s">
        <v>910</v>
      </c>
      <c r="E52" s="91" t="s">
        <v>910</v>
      </c>
      <c r="F52" s="92">
        <f t="shared" si="0"/>
        <v>1</v>
      </c>
      <c r="G52" s="92">
        <f t="shared" si="1"/>
        <v>0</v>
      </c>
      <c r="H52" s="92">
        <f t="shared" si="2"/>
        <v>0</v>
      </c>
      <c r="I52" s="92">
        <f t="shared" si="3"/>
        <v>0</v>
      </c>
      <c r="J52" s="92">
        <f t="shared" si="4"/>
        <v>0</v>
      </c>
      <c r="K52" s="92">
        <f t="shared" si="5"/>
        <v>0</v>
      </c>
      <c r="L52" s="92">
        <f t="shared" si="6"/>
        <v>0</v>
      </c>
      <c r="M52" s="93" t="s">
        <v>911</v>
      </c>
      <c r="N52" s="93" t="s">
        <v>910</v>
      </c>
      <c r="O52" s="93" t="s">
        <v>910</v>
      </c>
      <c r="P52" s="94" t="s">
        <v>911</v>
      </c>
      <c r="Q52" s="93" t="s">
        <v>910</v>
      </c>
      <c r="R52" s="95" t="s">
        <v>910</v>
      </c>
      <c r="S52" s="93" t="s">
        <v>911</v>
      </c>
      <c r="T52" s="93" t="s">
        <v>912</v>
      </c>
      <c r="U52" s="93" t="s">
        <v>912</v>
      </c>
      <c r="V52" s="96" t="s">
        <v>911</v>
      </c>
      <c r="W52" s="97" t="s">
        <v>910</v>
      </c>
      <c r="X52" s="92" t="s">
        <v>910</v>
      </c>
      <c r="Y52" s="92">
        <f t="shared" si="7"/>
        <v>1</v>
      </c>
      <c r="Z52" s="92">
        <f t="shared" si="8"/>
        <v>0</v>
      </c>
      <c r="AA52" s="92">
        <f t="shared" si="9"/>
        <v>0</v>
      </c>
      <c r="AB52" s="92">
        <f t="shared" si="10"/>
        <v>0</v>
      </c>
      <c r="AC52" s="92">
        <f t="shared" si="11"/>
        <v>0</v>
      </c>
      <c r="AD52" s="92">
        <f t="shared" si="12"/>
        <v>0</v>
      </c>
      <c r="AE52" s="92">
        <f t="shared" si="13"/>
        <v>0</v>
      </c>
      <c r="AF52" s="98" t="s">
        <v>922</v>
      </c>
      <c r="AG52" s="99">
        <v>22305756</v>
      </c>
      <c r="AH52" s="99">
        <v>9819351</v>
      </c>
      <c r="AI52" s="100"/>
      <c r="AJ52" s="100"/>
      <c r="AK52" s="100"/>
      <c r="AL52" s="100"/>
      <c r="AM52" s="100"/>
      <c r="AN52" s="100"/>
      <c r="AO52" s="101"/>
    </row>
    <row r="53" spans="1:41" x14ac:dyDescent="0.2">
      <c r="A53" s="76" t="s">
        <v>430</v>
      </c>
      <c r="B53" s="76" t="s">
        <v>28</v>
      </c>
      <c r="C53" s="102" t="s">
        <v>911</v>
      </c>
      <c r="D53" s="103" t="s">
        <v>911</v>
      </c>
      <c r="E53" s="104" t="s">
        <v>911</v>
      </c>
      <c r="F53" s="105">
        <f t="shared" si="0"/>
        <v>0</v>
      </c>
      <c r="G53" s="105">
        <f t="shared" si="1"/>
        <v>0</v>
      </c>
      <c r="H53" s="105">
        <f t="shared" si="2"/>
        <v>0</v>
      </c>
      <c r="I53" s="105">
        <f t="shared" si="3"/>
        <v>0</v>
      </c>
      <c r="J53" s="105">
        <f t="shared" si="4"/>
        <v>0</v>
      </c>
      <c r="K53" s="105">
        <f t="shared" si="5"/>
        <v>0</v>
      </c>
      <c r="L53" s="105">
        <f t="shared" si="6"/>
        <v>1</v>
      </c>
      <c r="M53" s="50" t="s">
        <v>911</v>
      </c>
      <c r="N53" s="50" t="s">
        <v>914</v>
      </c>
      <c r="O53" s="50" t="s">
        <v>914</v>
      </c>
      <c r="P53" s="106" t="s">
        <v>911</v>
      </c>
      <c r="Q53" s="50" t="s">
        <v>914</v>
      </c>
      <c r="R53" s="107" t="s">
        <v>914</v>
      </c>
      <c r="S53" s="50" t="s">
        <v>911</v>
      </c>
      <c r="T53" s="50" t="s">
        <v>910</v>
      </c>
      <c r="U53" s="50" t="s">
        <v>910</v>
      </c>
      <c r="V53" s="106" t="s">
        <v>911</v>
      </c>
      <c r="W53" s="50" t="s">
        <v>910</v>
      </c>
      <c r="X53" s="105" t="s">
        <v>910</v>
      </c>
      <c r="Y53" s="105">
        <f t="shared" si="7"/>
        <v>1</v>
      </c>
      <c r="Z53" s="105">
        <f t="shared" si="8"/>
        <v>0</v>
      </c>
      <c r="AA53" s="105">
        <f t="shared" si="9"/>
        <v>0</v>
      </c>
      <c r="AB53" s="105">
        <f t="shared" si="10"/>
        <v>0</v>
      </c>
      <c r="AC53" s="105">
        <f t="shared" si="11"/>
        <v>0</v>
      </c>
      <c r="AD53" s="105">
        <f t="shared" si="12"/>
        <v>0</v>
      </c>
      <c r="AE53" s="105">
        <f t="shared" si="13"/>
        <v>0</v>
      </c>
      <c r="AF53" s="108"/>
      <c r="AG53" s="109">
        <v>20566876</v>
      </c>
      <c r="AH53" s="109">
        <v>7882973</v>
      </c>
      <c r="AI53" s="109">
        <v>9348541</v>
      </c>
      <c r="AJ53" s="110"/>
      <c r="AK53" s="110"/>
      <c r="AL53" s="110"/>
      <c r="AM53" s="110"/>
      <c r="AN53" s="110"/>
      <c r="AO53" s="111"/>
    </row>
    <row r="54" spans="1:41" x14ac:dyDescent="0.2">
      <c r="A54" s="88" t="s">
        <v>442</v>
      </c>
      <c r="B54" s="88" t="s">
        <v>913</v>
      </c>
      <c r="C54" s="89" t="s">
        <v>910</v>
      </c>
      <c r="D54" s="90" t="s">
        <v>910</v>
      </c>
      <c r="E54" s="91" t="s">
        <v>910</v>
      </c>
      <c r="F54" s="92">
        <f t="shared" si="0"/>
        <v>0</v>
      </c>
      <c r="G54" s="92">
        <f t="shared" si="1"/>
        <v>0</v>
      </c>
      <c r="H54" s="92">
        <f t="shared" si="2"/>
        <v>0</v>
      </c>
      <c r="I54" s="92">
        <f t="shared" si="3"/>
        <v>0</v>
      </c>
      <c r="J54" s="92">
        <f t="shared" si="4"/>
        <v>0</v>
      </c>
      <c r="K54" s="92">
        <f t="shared" si="5"/>
        <v>0</v>
      </c>
      <c r="L54" s="92">
        <f t="shared" si="6"/>
        <v>0</v>
      </c>
      <c r="M54" s="93" t="s">
        <v>910</v>
      </c>
      <c r="N54" s="93" t="s">
        <v>910</v>
      </c>
      <c r="O54" s="93" t="s">
        <v>910</v>
      </c>
      <c r="P54" s="94" t="s">
        <v>912</v>
      </c>
      <c r="Q54" s="93" t="s">
        <v>912</v>
      </c>
      <c r="R54" s="95" t="s">
        <v>912</v>
      </c>
      <c r="S54" s="93" t="s">
        <v>910</v>
      </c>
      <c r="T54" s="93" t="s">
        <v>910</v>
      </c>
      <c r="U54" s="93" t="s">
        <v>910</v>
      </c>
      <c r="V54" s="96" t="s">
        <v>910</v>
      </c>
      <c r="W54" s="97" t="s">
        <v>910</v>
      </c>
      <c r="X54" s="92" t="s">
        <v>910</v>
      </c>
      <c r="Y54" s="92">
        <f t="shared" si="7"/>
        <v>0</v>
      </c>
      <c r="Z54" s="92">
        <f t="shared" si="8"/>
        <v>0</v>
      </c>
      <c r="AA54" s="92">
        <f t="shared" si="9"/>
        <v>0</v>
      </c>
      <c r="AB54" s="92">
        <f t="shared" si="10"/>
        <v>0</v>
      </c>
      <c r="AC54" s="92">
        <f t="shared" si="11"/>
        <v>0</v>
      </c>
      <c r="AD54" s="92">
        <f t="shared" si="12"/>
        <v>0</v>
      </c>
      <c r="AE54" s="92">
        <f t="shared" si="13"/>
        <v>0</v>
      </c>
      <c r="AF54" s="98"/>
      <c r="AG54" s="99">
        <v>12915445</v>
      </c>
      <c r="AH54" s="100"/>
      <c r="AI54" s="100"/>
      <c r="AJ54" s="100"/>
      <c r="AK54" s="100"/>
      <c r="AL54" s="100"/>
      <c r="AM54" s="100"/>
      <c r="AN54" s="100"/>
      <c r="AO54" s="101"/>
    </row>
    <row r="55" spans="1:41" x14ac:dyDescent="0.2">
      <c r="A55" s="76" t="s">
        <v>446</v>
      </c>
      <c r="B55" s="76" t="s">
        <v>28</v>
      </c>
      <c r="C55" s="102" t="s">
        <v>910</v>
      </c>
      <c r="D55" s="103" t="s">
        <v>910</v>
      </c>
      <c r="E55" s="104" t="s">
        <v>910</v>
      </c>
      <c r="F55" s="105">
        <f t="shared" si="0"/>
        <v>0</v>
      </c>
      <c r="G55" s="105">
        <f t="shared" si="1"/>
        <v>0</v>
      </c>
      <c r="H55" s="105">
        <f t="shared" si="2"/>
        <v>0</v>
      </c>
      <c r="I55" s="105">
        <f t="shared" si="3"/>
        <v>0</v>
      </c>
      <c r="J55" s="105">
        <f t="shared" si="4"/>
        <v>0</v>
      </c>
      <c r="K55" s="105">
        <f t="shared" si="5"/>
        <v>0</v>
      </c>
      <c r="L55" s="105">
        <f t="shared" si="6"/>
        <v>0</v>
      </c>
      <c r="M55" s="50" t="s">
        <v>911</v>
      </c>
      <c r="N55" s="50" t="s">
        <v>911</v>
      </c>
      <c r="O55" s="50" t="s">
        <v>911</v>
      </c>
      <c r="P55" s="106" t="s">
        <v>911</v>
      </c>
      <c r="Q55" s="50" t="s">
        <v>911</v>
      </c>
      <c r="R55" s="107" t="s">
        <v>911</v>
      </c>
      <c r="S55" s="50" t="s">
        <v>911</v>
      </c>
      <c r="T55" s="50" t="s">
        <v>911</v>
      </c>
      <c r="U55" s="50" t="s">
        <v>911</v>
      </c>
      <c r="V55" s="106" t="s">
        <v>911</v>
      </c>
      <c r="W55" s="50" t="s">
        <v>911</v>
      </c>
      <c r="X55" s="105" t="s">
        <v>911</v>
      </c>
      <c r="Y55" s="105">
        <f t="shared" si="7"/>
        <v>0</v>
      </c>
      <c r="Z55" s="105">
        <f t="shared" si="8"/>
        <v>0</v>
      </c>
      <c r="AA55" s="105">
        <f t="shared" si="9"/>
        <v>0</v>
      </c>
      <c r="AB55" s="105">
        <f t="shared" si="10"/>
        <v>0</v>
      </c>
      <c r="AC55" s="105">
        <f t="shared" si="11"/>
        <v>0</v>
      </c>
      <c r="AD55" s="105">
        <f t="shared" si="12"/>
        <v>0</v>
      </c>
      <c r="AE55" s="105">
        <f t="shared" si="13"/>
        <v>1</v>
      </c>
      <c r="AF55" s="108"/>
      <c r="AG55" s="109">
        <v>9582072</v>
      </c>
      <c r="AH55" s="109">
        <v>12932438</v>
      </c>
      <c r="AI55" s="109">
        <v>15034583</v>
      </c>
      <c r="AJ55" s="109">
        <v>27481945</v>
      </c>
      <c r="AK55" s="110"/>
      <c r="AL55" s="110"/>
      <c r="AM55" s="110"/>
      <c r="AN55" s="110"/>
      <c r="AO55" s="111"/>
    </row>
    <row r="56" spans="1:41" x14ac:dyDescent="0.2">
      <c r="A56" s="88" t="s">
        <v>450</v>
      </c>
      <c r="B56" s="88" t="s">
        <v>913</v>
      </c>
      <c r="C56" s="89" t="s">
        <v>910</v>
      </c>
      <c r="D56" s="90" t="s">
        <v>910</v>
      </c>
      <c r="E56" s="91" t="s">
        <v>910</v>
      </c>
      <c r="F56" s="92">
        <f t="shared" si="0"/>
        <v>0</v>
      </c>
      <c r="G56" s="92">
        <f t="shared" si="1"/>
        <v>0</v>
      </c>
      <c r="H56" s="92">
        <f t="shared" si="2"/>
        <v>0</v>
      </c>
      <c r="I56" s="92">
        <f t="shared" si="3"/>
        <v>0</v>
      </c>
      <c r="J56" s="92">
        <f t="shared" si="4"/>
        <v>0</v>
      </c>
      <c r="K56" s="92">
        <f t="shared" si="5"/>
        <v>0</v>
      </c>
      <c r="L56" s="92">
        <f t="shared" si="6"/>
        <v>0</v>
      </c>
      <c r="M56" s="93" t="s">
        <v>910</v>
      </c>
      <c r="N56" s="93" t="s">
        <v>910</v>
      </c>
      <c r="O56" s="93" t="s">
        <v>910</v>
      </c>
      <c r="P56" s="94" t="s">
        <v>912</v>
      </c>
      <c r="Q56" s="93" t="s">
        <v>912</v>
      </c>
      <c r="R56" s="95" t="s">
        <v>912</v>
      </c>
      <c r="S56" s="93" t="s">
        <v>912</v>
      </c>
      <c r="T56" s="93" t="s">
        <v>912</v>
      </c>
      <c r="U56" s="93" t="s">
        <v>912</v>
      </c>
      <c r="V56" s="96" t="s">
        <v>912</v>
      </c>
      <c r="W56" s="97" t="s">
        <v>912</v>
      </c>
      <c r="X56" s="92" t="s">
        <v>912</v>
      </c>
      <c r="Y56" s="92">
        <f t="shared" si="7"/>
        <v>0</v>
      </c>
      <c r="Z56" s="92">
        <f t="shared" si="8"/>
        <v>0</v>
      </c>
      <c r="AA56" s="92">
        <f t="shared" si="9"/>
        <v>0</v>
      </c>
      <c r="AB56" s="92">
        <f t="shared" si="10"/>
        <v>0</v>
      </c>
      <c r="AC56" s="92">
        <f t="shared" si="11"/>
        <v>0</v>
      </c>
      <c r="AD56" s="92">
        <f t="shared" si="12"/>
        <v>0</v>
      </c>
      <c r="AE56" s="92">
        <f t="shared" si="13"/>
        <v>0</v>
      </c>
      <c r="AF56" s="98"/>
      <c r="AG56" s="99">
        <v>8034624</v>
      </c>
      <c r="AH56" s="99">
        <v>8227021</v>
      </c>
      <c r="AI56" s="100"/>
      <c r="AJ56" s="100"/>
      <c r="AK56" s="100"/>
      <c r="AL56" s="100"/>
      <c r="AM56" s="100"/>
      <c r="AN56" s="100"/>
      <c r="AO56" s="101"/>
    </row>
    <row r="57" spans="1:41" x14ac:dyDescent="0.2">
      <c r="A57" s="76" t="s">
        <v>454</v>
      </c>
      <c r="B57" s="76" t="s">
        <v>913</v>
      </c>
      <c r="C57" s="102" t="s">
        <v>910</v>
      </c>
      <c r="D57" s="103" t="s">
        <v>910</v>
      </c>
      <c r="E57" s="104" t="s">
        <v>910</v>
      </c>
      <c r="F57" s="105">
        <f t="shared" si="0"/>
        <v>0</v>
      </c>
      <c r="G57" s="105">
        <f t="shared" si="1"/>
        <v>0</v>
      </c>
      <c r="H57" s="105">
        <f t="shared" si="2"/>
        <v>0</v>
      </c>
      <c r="I57" s="105">
        <f t="shared" si="3"/>
        <v>0</v>
      </c>
      <c r="J57" s="105">
        <f t="shared" si="4"/>
        <v>0</v>
      </c>
      <c r="K57" s="105">
        <f t="shared" si="5"/>
        <v>0</v>
      </c>
      <c r="L57" s="105">
        <f t="shared" si="6"/>
        <v>0</v>
      </c>
      <c r="M57" s="50" t="s">
        <v>912</v>
      </c>
      <c r="N57" s="50" t="s">
        <v>912</v>
      </c>
      <c r="O57" s="50" t="s">
        <v>912</v>
      </c>
      <c r="P57" s="106" t="s">
        <v>912</v>
      </c>
      <c r="Q57" s="50" t="s">
        <v>912</v>
      </c>
      <c r="R57" s="107" t="s">
        <v>912</v>
      </c>
      <c r="S57" s="50" t="s">
        <v>912</v>
      </c>
      <c r="T57" s="50" t="s">
        <v>912</v>
      </c>
      <c r="U57" s="50" t="s">
        <v>912</v>
      </c>
      <c r="V57" s="106" t="s">
        <v>912</v>
      </c>
      <c r="W57" s="50" t="s">
        <v>912</v>
      </c>
      <c r="X57" s="105" t="s">
        <v>912</v>
      </c>
      <c r="Y57" s="105">
        <f t="shared" si="7"/>
        <v>0</v>
      </c>
      <c r="Z57" s="105">
        <f t="shared" si="8"/>
        <v>0</v>
      </c>
      <c r="AA57" s="105">
        <f t="shared" si="9"/>
        <v>0</v>
      </c>
      <c r="AB57" s="105">
        <f t="shared" si="10"/>
        <v>0</v>
      </c>
      <c r="AC57" s="105">
        <f t="shared" si="11"/>
        <v>0</v>
      </c>
      <c r="AD57" s="105">
        <f t="shared" si="12"/>
        <v>0</v>
      </c>
      <c r="AE57" s="105">
        <f t="shared" si="13"/>
        <v>0</v>
      </c>
      <c r="AF57" s="108"/>
      <c r="AG57" s="110"/>
      <c r="AH57" s="110"/>
      <c r="AI57" s="110"/>
      <c r="AJ57" s="110"/>
      <c r="AK57" s="110"/>
      <c r="AL57" s="110"/>
      <c r="AM57" s="110"/>
      <c r="AN57" s="110"/>
      <c r="AO57" s="111"/>
    </row>
    <row r="58" spans="1:41" x14ac:dyDescent="0.2">
      <c r="A58" s="88" t="s">
        <v>498</v>
      </c>
      <c r="B58" s="88" t="s">
        <v>28</v>
      </c>
      <c r="C58" s="89" t="s">
        <v>910</v>
      </c>
      <c r="D58" s="90" t="s">
        <v>911</v>
      </c>
      <c r="E58" s="91" t="s">
        <v>910</v>
      </c>
      <c r="F58" s="92">
        <f t="shared" si="0"/>
        <v>0</v>
      </c>
      <c r="G58" s="92">
        <f t="shared" si="1"/>
        <v>1</v>
      </c>
      <c r="H58" s="92">
        <f t="shared" si="2"/>
        <v>0</v>
      </c>
      <c r="I58" s="92">
        <f t="shared" si="3"/>
        <v>0</v>
      </c>
      <c r="J58" s="92">
        <f t="shared" si="4"/>
        <v>0</v>
      </c>
      <c r="K58" s="92">
        <f t="shared" si="5"/>
        <v>0</v>
      </c>
      <c r="L58" s="92">
        <f t="shared" si="6"/>
        <v>0</v>
      </c>
      <c r="M58" s="93" t="s">
        <v>914</v>
      </c>
      <c r="N58" s="93" t="s">
        <v>911</v>
      </c>
      <c r="O58" s="93" t="s">
        <v>911</v>
      </c>
      <c r="P58" s="94" t="s">
        <v>914</v>
      </c>
      <c r="Q58" s="93" t="s">
        <v>911</v>
      </c>
      <c r="R58" s="95" t="s">
        <v>911</v>
      </c>
      <c r="S58" s="93" t="s">
        <v>912</v>
      </c>
      <c r="T58" s="93" t="s">
        <v>912</v>
      </c>
      <c r="U58" s="93" t="s">
        <v>912</v>
      </c>
      <c r="V58" s="96" t="s">
        <v>914</v>
      </c>
      <c r="W58" s="97" t="s">
        <v>911</v>
      </c>
      <c r="X58" s="92" t="s">
        <v>911</v>
      </c>
      <c r="Y58" s="92">
        <f t="shared" si="7"/>
        <v>0</v>
      </c>
      <c r="Z58" s="92">
        <f t="shared" si="8"/>
        <v>0</v>
      </c>
      <c r="AA58" s="92">
        <f t="shared" si="9"/>
        <v>0</v>
      </c>
      <c r="AB58" s="92">
        <f t="shared" si="10"/>
        <v>0</v>
      </c>
      <c r="AC58" s="92">
        <f t="shared" si="11"/>
        <v>0</v>
      </c>
      <c r="AD58" s="92">
        <f t="shared" si="12"/>
        <v>1</v>
      </c>
      <c r="AE58" s="92">
        <f t="shared" si="13"/>
        <v>0</v>
      </c>
      <c r="AF58" s="98" t="s">
        <v>923</v>
      </c>
      <c r="AG58" s="99">
        <v>9497316</v>
      </c>
      <c r="AH58" s="99">
        <v>10979956</v>
      </c>
      <c r="AI58" s="99">
        <v>22945935</v>
      </c>
      <c r="AJ58" s="99">
        <v>27481945</v>
      </c>
      <c r="AK58" s="100"/>
      <c r="AL58" s="100"/>
      <c r="AM58" s="100"/>
      <c r="AN58" s="100"/>
      <c r="AO58" s="101"/>
    </row>
    <row r="59" spans="1:41" x14ac:dyDescent="0.2">
      <c r="A59" s="76" t="s">
        <v>502</v>
      </c>
      <c r="B59" s="76" t="s">
        <v>28</v>
      </c>
      <c r="C59" s="102" t="s">
        <v>910</v>
      </c>
      <c r="D59" s="103" t="s">
        <v>911</v>
      </c>
      <c r="E59" s="104" t="s">
        <v>910</v>
      </c>
      <c r="F59" s="105">
        <f t="shared" si="0"/>
        <v>0</v>
      </c>
      <c r="G59" s="105">
        <f t="shared" si="1"/>
        <v>1</v>
      </c>
      <c r="H59" s="105">
        <f t="shared" si="2"/>
        <v>0</v>
      </c>
      <c r="I59" s="105">
        <f t="shared" si="3"/>
        <v>0</v>
      </c>
      <c r="J59" s="105">
        <f t="shared" si="4"/>
        <v>0</v>
      </c>
      <c r="K59" s="105">
        <f t="shared" si="5"/>
        <v>0</v>
      </c>
      <c r="L59" s="105">
        <f t="shared" si="6"/>
        <v>0</v>
      </c>
      <c r="M59" s="50" t="s">
        <v>910</v>
      </c>
      <c r="N59" s="50" t="s">
        <v>914</v>
      </c>
      <c r="O59" s="50" t="s">
        <v>911</v>
      </c>
      <c r="P59" s="106" t="s">
        <v>910</v>
      </c>
      <c r="Q59" s="50" t="s">
        <v>914</v>
      </c>
      <c r="R59" s="107" t="s">
        <v>911</v>
      </c>
      <c r="S59" s="50" t="s">
        <v>912</v>
      </c>
      <c r="T59" s="50" t="s">
        <v>912</v>
      </c>
      <c r="U59" s="50" t="s">
        <v>912</v>
      </c>
      <c r="V59" s="106" t="s">
        <v>910</v>
      </c>
      <c r="W59" s="50" t="s">
        <v>914</v>
      </c>
      <c r="X59" s="105" t="s">
        <v>911</v>
      </c>
      <c r="Y59" s="105">
        <f t="shared" si="7"/>
        <v>0</v>
      </c>
      <c r="Z59" s="105">
        <f t="shared" si="8"/>
        <v>0</v>
      </c>
      <c r="AA59" s="105">
        <f t="shared" si="9"/>
        <v>1</v>
      </c>
      <c r="AB59" s="105">
        <f t="shared" si="10"/>
        <v>0</v>
      </c>
      <c r="AC59" s="105">
        <f t="shared" si="11"/>
        <v>0</v>
      </c>
      <c r="AD59" s="105">
        <f t="shared" si="12"/>
        <v>0</v>
      </c>
      <c r="AE59" s="105">
        <f t="shared" si="13"/>
        <v>0</v>
      </c>
      <c r="AF59" s="108"/>
      <c r="AG59" s="109">
        <v>7673236</v>
      </c>
      <c r="AH59" s="109">
        <v>7623849</v>
      </c>
      <c r="AI59" s="110"/>
      <c r="AJ59" s="110"/>
      <c r="AK59" s="110"/>
      <c r="AL59" s="110"/>
      <c r="AM59" s="110"/>
      <c r="AN59" s="110"/>
      <c r="AO59" s="111"/>
    </row>
    <row r="60" spans="1:41" x14ac:dyDescent="0.2">
      <c r="A60" s="88" t="s">
        <v>514</v>
      </c>
      <c r="B60" s="88" t="s">
        <v>28</v>
      </c>
      <c r="C60" s="89" t="s">
        <v>910</v>
      </c>
      <c r="D60" s="90" t="s">
        <v>911</v>
      </c>
      <c r="E60" s="91" t="s">
        <v>910</v>
      </c>
      <c r="F60" s="92">
        <f t="shared" si="0"/>
        <v>0</v>
      </c>
      <c r="G60" s="92">
        <f t="shared" si="1"/>
        <v>1</v>
      </c>
      <c r="H60" s="92">
        <f t="shared" si="2"/>
        <v>0</v>
      </c>
      <c r="I60" s="92">
        <f t="shared" si="3"/>
        <v>0</v>
      </c>
      <c r="J60" s="92">
        <f t="shared" si="4"/>
        <v>0</v>
      </c>
      <c r="K60" s="92">
        <f t="shared" si="5"/>
        <v>0</v>
      </c>
      <c r="L60" s="92">
        <f t="shared" si="6"/>
        <v>0</v>
      </c>
      <c r="M60" s="93" t="s">
        <v>910</v>
      </c>
      <c r="N60" s="93" t="s">
        <v>911</v>
      </c>
      <c r="O60" s="93" t="s">
        <v>911</v>
      </c>
      <c r="P60" s="94" t="s">
        <v>910</v>
      </c>
      <c r="Q60" s="93" t="s">
        <v>911</v>
      </c>
      <c r="R60" s="95" t="s">
        <v>911</v>
      </c>
      <c r="S60" s="93" t="s">
        <v>910</v>
      </c>
      <c r="T60" s="93" t="s">
        <v>911</v>
      </c>
      <c r="U60" s="93" t="s">
        <v>911</v>
      </c>
      <c r="V60" s="96" t="s">
        <v>910</v>
      </c>
      <c r="W60" s="97" t="s">
        <v>911</v>
      </c>
      <c r="X60" s="92" t="s">
        <v>911</v>
      </c>
      <c r="Y60" s="92">
        <f t="shared" si="7"/>
        <v>0</v>
      </c>
      <c r="Z60" s="92">
        <f t="shared" si="8"/>
        <v>0</v>
      </c>
      <c r="AA60" s="92">
        <f t="shared" si="9"/>
        <v>0</v>
      </c>
      <c r="AB60" s="92">
        <f t="shared" si="10"/>
        <v>0</v>
      </c>
      <c r="AC60" s="92">
        <f t="shared" si="11"/>
        <v>0</v>
      </c>
      <c r="AD60" s="92">
        <f t="shared" si="12"/>
        <v>1</v>
      </c>
      <c r="AE60" s="92">
        <f t="shared" si="13"/>
        <v>0</v>
      </c>
      <c r="AF60" s="98" t="s">
        <v>924</v>
      </c>
      <c r="AG60" s="99">
        <v>7621827</v>
      </c>
      <c r="AH60" s="99">
        <v>21658605</v>
      </c>
      <c r="AI60" s="100"/>
      <c r="AJ60" s="100"/>
      <c r="AK60" s="100"/>
      <c r="AL60" s="100"/>
      <c r="AM60" s="100"/>
      <c r="AN60" s="100"/>
      <c r="AO60" s="101"/>
    </row>
    <row r="61" spans="1:41" x14ac:dyDescent="0.2">
      <c r="A61" s="76" t="s">
        <v>529</v>
      </c>
      <c r="B61" s="76" t="s">
        <v>28</v>
      </c>
      <c r="C61" s="102" t="s">
        <v>910</v>
      </c>
      <c r="D61" s="103" t="s">
        <v>911</v>
      </c>
      <c r="E61" s="104" t="s">
        <v>910</v>
      </c>
      <c r="F61" s="105">
        <f t="shared" si="0"/>
        <v>0</v>
      </c>
      <c r="G61" s="105">
        <f t="shared" si="1"/>
        <v>1</v>
      </c>
      <c r="H61" s="105">
        <f t="shared" si="2"/>
        <v>0</v>
      </c>
      <c r="I61" s="105">
        <f t="shared" si="3"/>
        <v>0</v>
      </c>
      <c r="J61" s="105">
        <f t="shared" si="4"/>
        <v>0</v>
      </c>
      <c r="K61" s="105">
        <f t="shared" si="5"/>
        <v>0</v>
      </c>
      <c r="L61" s="105">
        <f t="shared" si="6"/>
        <v>0</v>
      </c>
      <c r="M61" s="50" t="s">
        <v>914</v>
      </c>
      <c r="N61" s="50" t="s">
        <v>914</v>
      </c>
      <c r="O61" s="50" t="s">
        <v>914</v>
      </c>
      <c r="P61" s="106" t="s">
        <v>912</v>
      </c>
      <c r="Q61" s="50" t="s">
        <v>912</v>
      </c>
      <c r="R61" s="107" t="s">
        <v>912</v>
      </c>
      <c r="S61" s="50" t="s">
        <v>914</v>
      </c>
      <c r="T61" s="50" t="s">
        <v>914</v>
      </c>
      <c r="U61" s="50" t="s">
        <v>914</v>
      </c>
      <c r="V61" s="106" t="s">
        <v>914</v>
      </c>
      <c r="W61" s="50" t="s">
        <v>914</v>
      </c>
      <c r="X61" s="105" t="s">
        <v>914</v>
      </c>
      <c r="Y61" s="105">
        <f t="shared" si="7"/>
        <v>0</v>
      </c>
      <c r="Z61" s="105">
        <f t="shared" si="8"/>
        <v>0</v>
      </c>
      <c r="AA61" s="105">
        <f t="shared" si="9"/>
        <v>0</v>
      </c>
      <c r="AB61" s="105">
        <f t="shared" si="10"/>
        <v>0</v>
      </c>
      <c r="AC61" s="105">
        <f t="shared" si="11"/>
        <v>0</v>
      </c>
      <c r="AD61" s="105">
        <f t="shared" si="12"/>
        <v>0</v>
      </c>
      <c r="AE61" s="105">
        <f t="shared" si="13"/>
        <v>0</v>
      </c>
      <c r="AF61" s="108"/>
      <c r="AG61" s="109">
        <v>11672528</v>
      </c>
      <c r="AH61" s="109">
        <v>24006490</v>
      </c>
      <c r="AI61" s="110"/>
      <c r="AJ61" s="110"/>
      <c r="AK61" s="110"/>
      <c r="AL61" s="110"/>
      <c r="AM61" s="110"/>
      <c r="AN61" s="110"/>
      <c r="AO61" s="111"/>
    </row>
    <row r="62" spans="1:41" x14ac:dyDescent="0.2">
      <c r="A62" s="88" t="s">
        <v>533</v>
      </c>
      <c r="B62" s="88" t="s">
        <v>28</v>
      </c>
      <c r="C62" s="89" t="s">
        <v>910</v>
      </c>
      <c r="D62" s="90" t="s">
        <v>911</v>
      </c>
      <c r="E62" s="91" t="s">
        <v>911</v>
      </c>
      <c r="F62" s="92">
        <f t="shared" si="0"/>
        <v>0</v>
      </c>
      <c r="G62" s="92">
        <f t="shared" si="1"/>
        <v>0</v>
      </c>
      <c r="H62" s="92">
        <f t="shared" si="2"/>
        <v>0</v>
      </c>
      <c r="I62" s="92">
        <f t="shared" si="3"/>
        <v>0</v>
      </c>
      <c r="J62" s="92">
        <f t="shared" si="4"/>
        <v>0</v>
      </c>
      <c r="K62" s="92">
        <f t="shared" si="5"/>
        <v>1</v>
      </c>
      <c r="L62" s="92">
        <f t="shared" si="6"/>
        <v>0</v>
      </c>
      <c r="M62" s="93" t="s">
        <v>910</v>
      </c>
      <c r="N62" s="93" t="s">
        <v>911</v>
      </c>
      <c r="O62" s="93" t="s">
        <v>910</v>
      </c>
      <c r="P62" s="94" t="s">
        <v>910</v>
      </c>
      <c r="Q62" s="93" t="s">
        <v>911</v>
      </c>
      <c r="R62" s="95" t="s">
        <v>910</v>
      </c>
      <c r="S62" s="93" t="s">
        <v>912</v>
      </c>
      <c r="T62" s="93" t="s">
        <v>911</v>
      </c>
      <c r="U62" s="93" t="s">
        <v>912</v>
      </c>
      <c r="V62" s="96" t="s">
        <v>910</v>
      </c>
      <c r="W62" s="97" t="s">
        <v>911</v>
      </c>
      <c r="X62" s="92" t="s">
        <v>910</v>
      </c>
      <c r="Y62" s="92">
        <f t="shared" si="7"/>
        <v>0</v>
      </c>
      <c r="Z62" s="92">
        <f t="shared" si="8"/>
        <v>1</v>
      </c>
      <c r="AA62" s="92">
        <f t="shared" si="9"/>
        <v>0</v>
      </c>
      <c r="AB62" s="92">
        <f t="shared" si="10"/>
        <v>0</v>
      </c>
      <c r="AC62" s="92">
        <f t="shared" si="11"/>
        <v>0</v>
      </c>
      <c r="AD62" s="92">
        <f t="shared" si="12"/>
        <v>0</v>
      </c>
      <c r="AE62" s="92">
        <f t="shared" si="13"/>
        <v>0</v>
      </c>
      <c r="AF62" s="98"/>
      <c r="AG62" s="99">
        <v>19737524</v>
      </c>
      <c r="AH62" s="99">
        <v>21148482</v>
      </c>
      <c r="AI62" s="99"/>
      <c r="AJ62" s="100"/>
      <c r="AK62" s="100"/>
      <c r="AL62" s="100"/>
      <c r="AM62" s="100"/>
      <c r="AN62" s="100"/>
      <c r="AO62" s="101"/>
    </row>
    <row r="63" spans="1:41" x14ac:dyDescent="0.2">
      <c r="A63" s="76" t="s">
        <v>537</v>
      </c>
      <c r="B63" s="76" t="s">
        <v>28</v>
      </c>
      <c r="C63" s="102" t="s">
        <v>910</v>
      </c>
      <c r="D63" s="103" t="s">
        <v>911</v>
      </c>
      <c r="E63" s="104" t="s">
        <v>910</v>
      </c>
      <c r="F63" s="105">
        <f t="shared" si="0"/>
        <v>0</v>
      </c>
      <c r="G63" s="105">
        <f t="shared" si="1"/>
        <v>1</v>
      </c>
      <c r="H63" s="105">
        <f t="shared" si="2"/>
        <v>0</v>
      </c>
      <c r="I63" s="105">
        <f t="shared" si="3"/>
        <v>0</v>
      </c>
      <c r="J63" s="105">
        <f t="shared" si="4"/>
        <v>0</v>
      </c>
      <c r="K63" s="105">
        <f t="shared" si="5"/>
        <v>0</v>
      </c>
      <c r="L63" s="105">
        <f t="shared" si="6"/>
        <v>0</v>
      </c>
      <c r="M63" s="50" t="s">
        <v>910</v>
      </c>
      <c r="N63" s="50" t="s">
        <v>911</v>
      </c>
      <c r="O63" s="50" t="s">
        <v>914</v>
      </c>
      <c r="P63" s="106" t="s">
        <v>910</v>
      </c>
      <c r="Q63" s="50" t="s">
        <v>911</v>
      </c>
      <c r="R63" s="107" t="s">
        <v>914</v>
      </c>
      <c r="S63" s="50" t="s">
        <v>910</v>
      </c>
      <c r="T63" s="50" t="s">
        <v>911</v>
      </c>
      <c r="U63" s="50" t="s">
        <v>914</v>
      </c>
      <c r="V63" s="106" t="s">
        <v>910</v>
      </c>
      <c r="W63" s="50" t="s">
        <v>911</v>
      </c>
      <c r="X63" s="105" t="s">
        <v>914</v>
      </c>
      <c r="Y63" s="105">
        <f t="shared" si="7"/>
        <v>0</v>
      </c>
      <c r="Z63" s="105">
        <f t="shared" si="8"/>
        <v>1</v>
      </c>
      <c r="AA63" s="105">
        <f t="shared" si="9"/>
        <v>0</v>
      </c>
      <c r="AB63" s="105">
        <f t="shared" si="10"/>
        <v>0</v>
      </c>
      <c r="AC63" s="105">
        <f t="shared" si="11"/>
        <v>0</v>
      </c>
      <c r="AD63" s="105">
        <f t="shared" si="12"/>
        <v>0</v>
      </c>
      <c r="AE63" s="105">
        <f t="shared" si="13"/>
        <v>0</v>
      </c>
      <c r="AF63" s="108"/>
      <c r="AG63" s="109">
        <v>12195014</v>
      </c>
      <c r="AH63" s="109">
        <v>16730001</v>
      </c>
      <c r="AI63" s="109">
        <v>12447388</v>
      </c>
      <c r="AJ63" s="110"/>
      <c r="AK63" s="110"/>
      <c r="AL63" s="110"/>
      <c r="AM63" s="110"/>
      <c r="AN63" s="110"/>
      <c r="AO63" s="111"/>
    </row>
    <row r="64" spans="1:41" x14ac:dyDescent="0.2">
      <c r="A64" s="88" t="s">
        <v>541</v>
      </c>
      <c r="B64" s="88" t="s">
        <v>28</v>
      </c>
      <c r="C64" s="89" t="s">
        <v>911</v>
      </c>
      <c r="D64" s="90" t="s">
        <v>910</v>
      </c>
      <c r="E64" s="91" t="s">
        <v>911</v>
      </c>
      <c r="F64" s="92">
        <f t="shared" si="0"/>
        <v>0</v>
      </c>
      <c r="G64" s="92">
        <f t="shared" si="1"/>
        <v>0</v>
      </c>
      <c r="H64" s="92">
        <f t="shared" si="2"/>
        <v>0</v>
      </c>
      <c r="I64" s="92">
        <f t="shared" si="3"/>
        <v>0</v>
      </c>
      <c r="J64" s="92">
        <f t="shared" si="4"/>
        <v>1</v>
      </c>
      <c r="K64" s="92">
        <f t="shared" si="5"/>
        <v>0</v>
      </c>
      <c r="L64" s="92">
        <f t="shared" si="6"/>
        <v>0</v>
      </c>
      <c r="M64" s="93" t="s">
        <v>911</v>
      </c>
      <c r="N64" s="93" t="s">
        <v>910</v>
      </c>
      <c r="O64" s="93" t="s">
        <v>914</v>
      </c>
      <c r="P64" s="94" t="s">
        <v>911</v>
      </c>
      <c r="Q64" s="93" t="s">
        <v>910</v>
      </c>
      <c r="R64" s="95" t="s">
        <v>911</v>
      </c>
      <c r="S64" s="93" t="s">
        <v>911</v>
      </c>
      <c r="T64" s="93" t="s">
        <v>910</v>
      </c>
      <c r="U64" s="93" t="s">
        <v>910</v>
      </c>
      <c r="V64" s="96" t="s">
        <v>911</v>
      </c>
      <c r="W64" s="97" t="s">
        <v>910</v>
      </c>
      <c r="X64" s="92" t="s">
        <v>914</v>
      </c>
      <c r="Y64" s="92">
        <f t="shared" si="7"/>
        <v>1</v>
      </c>
      <c r="Z64" s="92">
        <f t="shared" si="8"/>
        <v>0</v>
      </c>
      <c r="AA64" s="92">
        <f t="shared" si="9"/>
        <v>0</v>
      </c>
      <c r="AB64" s="92">
        <f t="shared" si="10"/>
        <v>0</v>
      </c>
      <c r="AC64" s="92">
        <f t="shared" si="11"/>
        <v>0</v>
      </c>
      <c r="AD64" s="92">
        <f t="shared" si="12"/>
        <v>0</v>
      </c>
      <c r="AE64" s="92">
        <f t="shared" si="13"/>
        <v>0</v>
      </c>
      <c r="AF64" s="98"/>
      <c r="AG64" s="99">
        <v>17976533</v>
      </c>
      <c r="AH64" s="99">
        <v>23552697</v>
      </c>
      <c r="AI64" s="99">
        <v>27481945</v>
      </c>
      <c r="AJ64" s="100"/>
      <c r="AK64" s="100"/>
      <c r="AL64" s="100"/>
      <c r="AM64" s="100"/>
      <c r="AN64" s="100"/>
      <c r="AO64" s="101"/>
    </row>
    <row r="65" spans="1:41" x14ac:dyDescent="0.2">
      <c r="A65" s="76" t="s">
        <v>545</v>
      </c>
      <c r="B65" s="76" t="s">
        <v>28</v>
      </c>
      <c r="C65" s="102" t="s">
        <v>911</v>
      </c>
      <c r="D65" s="103" t="s">
        <v>910</v>
      </c>
      <c r="E65" s="104" t="s">
        <v>910</v>
      </c>
      <c r="F65" s="105">
        <f t="shared" si="0"/>
        <v>1</v>
      </c>
      <c r="G65" s="105">
        <f t="shared" si="1"/>
        <v>0</v>
      </c>
      <c r="H65" s="105">
        <f t="shared" si="2"/>
        <v>0</v>
      </c>
      <c r="I65" s="105">
        <f t="shared" si="3"/>
        <v>0</v>
      </c>
      <c r="J65" s="105">
        <f t="shared" si="4"/>
        <v>0</v>
      </c>
      <c r="K65" s="105">
        <f t="shared" si="5"/>
        <v>0</v>
      </c>
      <c r="L65" s="105">
        <f t="shared" si="6"/>
        <v>0</v>
      </c>
      <c r="M65" s="50" t="s">
        <v>911</v>
      </c>
      <c r="N65" s="50" t="s">
        <v>910</v>
      </c>
      <c r="O65" s="50" t="s">
        <v>911</v>
      </c>
      <c r="P65" s="106" t="s">
        <v>911</v>
      </c>
      <c r="Q65" s="50" t="s">
        <v>910</v>
      </c>
      <c r="R65" s="107" t="s">
        <v>911</v>
      </c>
      <c r="S65" s="50" t="s">
        <v>911</v>
      </c>
      <c r="T65" s="50" t="s">
        <v>910</v>
      </c>
      <c r="U65" s="50" t="s">
        <v>911</v>
      </c>
      <c r="V65" s="106" t="s">
        <v>911</v>
      </c>
      <c r="W65" s="50" t="s">
        <v>910</v>
      </c>
      <c r="X65" s="105" t="s">
        <v>911</v>
      </c>
      <c r="Y65" s="105">
        <f t="shared" si="7"/>
        <v>0</v>
      </c>
      <c r="Z65" s="105">
        <f t="shared" si="8"/>
        <v>0</v>
      </c>
      <c r="AA65" s="105">
        <f t="shared" si="9"/>
        <v>0</v>
      </c>
      <c r="AB65" s="105">
        <f t="shared" si="10"/>
        <v>0</v>
      </c>
      <c r="AC65" s="105">
        <f t="shared" si="11"/>
        <v>1</v>
      </c>
      <c r="AD65" s="105">
        <f t="shared" si="12"/>
        <v>0</v>
      </c>
      <c r="AE65" s="105">
        <f t="shared" si="13"/>
        <v>0</v>
      </c>
      <c r="AF65" s="108"/>
      <c r="AG65" s="109">
        <v>12531887</v>
      </c>
      <c r="AH65" s="109">
        <v>16217026</v>
      </c>
      <c r="AI65" s="109">
        <v>17976533</v>
      </c>
      <c r="AJ65" s="109">
        <v>25518808</v>
      </c>
      <c r="AK65" s="109">
        <v>27481945</v>
      </c>
      <c r="AL65" s="110"/>
      <c r="AM65" s="110"/>
      <c r="AN65" s="110"/>
      <c r="AO65" s="111"/>
    </row>
    <row r="66" spans="1:41" x14ac:dyDescent="0.2">
      <c r="A66" s="88" t="s">
        <v>549</v>
      </c>
      <c r="B66" s="88" t="s">
        <v>28</v>
      </c>
      <c r="C66" s="89" t="s">
        <v>910</v>
      </c>
      <c r="D66" s="90" t="s">
        <v>910</v>
      </c>
      <c r="E66" s="91" t="s">
        <v>910</v>
      </c>
      <c r="F66" s="92">
        <f t="shared" si="0"/>
        <v>0</v>
      </c>
      <c r="G66" s="92">
        <f t="shared" si="1"/>
        <v>0</v>
      </c>
      <c r="H66" s="92">
        <f t="shared" si="2"/>
        <v>0</v>
      </c>
      <c r="I66" s="92">
        <f t="shared" si="3"/>
        <v>0</v>
      </c>
      <c r="J66" s="92">
        <f t="shared" si="4"/>
        <v>0</v>
      </c>
      <c r="K66" s="92">
        <f t="shared" si="5"/>
        <v>0</v>
      </c>
      <c r="L66" s="92">
        <f t="shared" si="6"/>
        <v>0</v>
      </c>
      <c r="M66" s="93" t="s">
        <v>914</v>
      </c>
      <c r="N66" s="93" t="s">
        <v>911</v>
      </c>
      <c r="O66" s="93" t="s">
        <v>911</v>
      </c>
      <c r="P66" s="94" t="s">
        <v>912</v>
      </c>
      <c r="Q66" s="93" t="s">
        <v>912</v>
      </c>
      <c r="R66" s="95" t="s">
        <v>912</v>
      </c>
      <c r="S66" s="93" t="s">
        <v>914</v>
      </c>
      <c r="T66" s="93" t="s">
        <v>911</v>
      </c>
      <c r="U66" s="93" t="s">
        <v>911</v>
      </c>
      <c r="V66" s="96" t="s">
        <v>914</v>
      </c>
      <c r="W66" s="97" t="s">
        <v>911</v>
      </c>
      <c r="X66" s="92" t="s">
        <v>911</v>
      </c>
      <c r="Y66" s="92">
        <f t="shared" si="7"/>
        <v>0</v>
      </c>
      <c r="Z66" s="92">
        <f t="shared" si="8"/>
        <v>0</v>
      </c>
      <c r="AA66" s="92">
        <f t="shared" si="9"/>
        <v>0</v>
      </c>
      <c r="AB66" s="92">
        <f t="shared" si="10"/>
        <v>0</v>
      </c>
      <c r="AC66" s="92">
        <f t="shared" si="11"/>
        <v>0</v>
      </c>
      <c r="AD66" s="92">
        <f t="shared" si="12"/>
        <v>1</v>
      </c>
      <c r="AE66" s="92">
        <f t="shared" si="13"/>
        <v>0</v>
      </c>
      <c r="AF66" s="98"/>
      <c r="AG66" s="99">
        <v>23791195</v>
      </c>
      <c r="AH66" s="99">
        <v>28860633</v>
      </c>
      <c r="AI66" s="100"/>
      <c r="AJ66" s="100"/>
      <c r="AK66" s="100"/>
      <c r="AL66" s="100"/>
      <c r="AM66" s="100"/>
      <c r="AN66" s="100"/>
      <c r="AO66" s="101"/>
    </row>
    <row r="67" spans="1:41" x14ac:dyDescent="0.2">
      <c r="A67" s="76" t="s">
        <v>553</v>
      </c>
      <c r="B67" s="76" t="s">
        <v>28</v>
      </c>
      <c r="C67" s="102" t="s">
        <v>910</v>
      </c>
      <c r="D67" s="103" t="s">
        <v>911</v>
      </c>
      <c r="E67" s="104" t="s">
        <v>910</v>
      </c>
      <c r="F67" s="105">
        <f t="shared" si="0"/>
        <v>0</v>
      </c>
      <c r="G67" s="105">
        <f t="shared" si="1"/>
        <v>1</v>
      </c>
      <c r="H67" s="105">
        <f t="shared" si="2"/>
        <v>0</v>
      </c>
      <c r="I67" s="105">
        <f t="shared" si="3"/>
        <v>0</v>
      </c>
      <c r="J67" s="105">
        <f t="shared" si="4"/>
        <v>0</v>
      </c>
      <c r="K67" s="105">
        <f t="shared" si="5"/>
        <v>0</v>
      </c>
      <c r="L67" s="105">
        <f t="shared" si="6"/>
        <v>0</v>
      </c>
      <c r="M67" s="50" t="s">
        <v>912</v>
      </c>
      <c r="N67" s="50" t="s">
        <v>912</v>
      </c>
      <c r="O67" s="50" t="s">
        <v>912</v>
      </c>
      <c r="P67" s="106" t="s">
        <v>912</v>
      </c>
      <c r="Q67" s="50" t="s">
        <v>912</v>
      </c>
      <c r="R67" s="107" t="s">
        <v>912</v>
      </c>
      <c r="S67" s="50" t="s">
        <v>912</v>
      </c>
      <c r="T67" s="50" t="s">
        <v>912</v>
      </c>
      <c r="U67" s="50" t="s">
        <v>912</v>
      </c>
      <c r="V67" s="106" t="s">
        <v>912</v>
      </c>
      <c r="W67" s="50" t="s">
        <v>912</v>
      </c>
      <c r="X67" s="105" t="s">
        <v>912</v>
      </c>
      <c r="Y67" s="105">
        <f t="shared" si="7"/>
        <v>0</v>
      </c>
      <c r="Z67" s="105">
        <f t="shared" si="8"/>
        <v>0</v>
      </c>
      <c r="AA67" s="105">
        <f t="shared" si="9"/>
        <v>0</v>
      </c>
      <c r="AB67" s="105">
        <f t="shared" si="10"/>
        <v>0</v>
      </c>
      <c r="AC67" s="105">
        <f t="shared" si="11"/>
        <v>0</v>
      </c>
      <c r="AD67" s="105">
        <f t="shared" si="12"/>
        <v>0</v>
      </c>
      <c r="AE67" s="105">
        <f t="shared" si="13"/>
        <v>0</v>
      </c>
      <c r="AF67" s="108"/>
      <c r="AG67" s="110"/>
      <c r="AH67" s="110"/>
      <c r="AI67" s="110"/>
      <c r="AJ67" s="110"/>
      <c r="AK67" s="110"/>
      <c r="AL67" s="110"/>
      <c r="AM67" s="110"/>
      <c r="AN67" s="110"/>
      <c r="AO67" s="111"/>
    </row>
    <row r="68" spans="1:41" x14ac:dyDescent="0.2">
      <c r="A68" s="88" t="s">
        <v>557</v>
      </c>
      <c r="B68" s="88" t="s">
        <v>28</v>
      </c>
      <c r="C68" s="89" t="s">
        <v>911</v>
      </c>
      <c r="D68" s="90" t="s">
        <v>911</v>
      </c>
      <c r="E68" s="91" t="s">
        <v>910</v>
      </c>
      <c r="F68" s="92">
        <f t="shared" si="0"/>
        <v>0</v>
      </c>
      <c r="G68" s="92">
        <f t="shared" si="1"/>
        <v>0</v>
      </c>
      <c r="H68" s="92">
        <f t="shared" si="2"/>
        <v>0</v>
      </c>
      <c r="I68" s="92">
        <f t="shared" si="3"/>
        <v>1</v>
      </c>
      <c r="J68" s="92">
        <f t="shared" si="4"/>
        <v>0</v>
      </c>
      <c r="K68" s="92">
        <f t="shared" si="5"/>
        <v>0</v>
      </c>
      <c r="L68" s="92">
        <f t="shared" si="6"/>
        <v>0</v>
      </c>
      <c r="M68" s="93" t="s">
        <v>911</v>
      </c>
      <c r="N68" s="93" t="s">
        <v>910</v>
      </c>
      <c r="O68" s="93" t="s">
        <v>911</v>
      </c>
      <c r="P68" s="94" t="s">
        <v>911</v>
      </c>
      <c r="Q68" s="93" t="s">
        <v>910</v>
      </c>
      <c r="R68" s="95" t="s">
        <v>911</v>
      </c>
      <c r="S68" s="93" t="s">
        <v>912</v>
      </c>
      <c r="T68" s="93" t="s">
        <v>912</v>
      </c>
      <c r="U68" s="93" t="s">
        <v>912</v>
      </c>
      <c r="V68" s="96" t="s">
        <v>911</v>
      </c>
      <c r="W68" s="97" t="s">
        <v>910</v>
      </c>
      <c r="X68" s="92" t="s">
        <v>911</v>
      </c>
      <c r="Y68" s="92">
        <f t="shared" si="7"/>
        <v>0</v>
      </c>
      <c r="Z68" s="92">
        <f t="shared" si="8"/>
        <v>0</v>
      </c>
      <c r="AA68" s="92">
        <f t="shared" si="9"/>
        <v>0</v>
      </c>
      <c r="AB68" s="92">
        <f t="shared" si="10"/>
        <v>0</v>
      </c>
      <c r="AC68" s="92">
        <f t="shared" si="11"/>
        <v>1</v>
      </c>
      <c r="AD68" s="92">
        <f t="shared" si="12"/>
        <v>0</v>
      </c>
      <c r="AE68" s="92">
        <f t="shared" si="13"/>
        <v>0</v>
      </c>
      <c r="AF68" s="98"/>
      <c r="AG68" s="99">
        <v>16116428</v>
      </c>
      <c r="AH68" s="100"/>
      <c r="AI68" s="100"/>
      <c r="AJ68" s="100"/>
      <c r="AK68" s="100"/>
      <c r="AL68" s="100"/>
      <c r="AM68" s="100"/>
      <c r="AN68" s="100"/>
      <c r="AO68" s="101"/>
    </row>
    <row r="69" spans="1:41" x14ac:dyDescent="0.2">
      <c r="A69" s="76" t="s">
        <v>8</v>
      </c>
      <c r="B69" s="76" t="s">
        <v>28</v>
      </c>
      <c r="C69" s="102" t="s">
        <v>910</v>
      </c>
      <c r="D69" s="103" t="s">
        <v>911</v>
      </c>
      <c r="E69" s="104" t="s">
        <v>910</v>
      </c>
      <c r="F69" s="105">
        <f t="shared" si="0"/>
        <v>0</v>
      </c>
      <c r="G69" s="105">
        <f t="shared" si="1"/>
        <v>1</v>
      </c>
      <c r="H69" s="105">
        <f t="shared" si="2"/>
        <v>0</v>
      </c>
      <c r="I69" s="105">
        <f t="shared" si="3"/>
        <v>0</v>
      </c>
      <c r="J69" s="105">
        <f t="shared" si="4"/>
        <v>0</v>
      </c>
      <c r="K69" s="105">
        <f t="shared" si="5"/>
        <v>0</v>
      </c>
      <c r="L69" s="105">
        <f t="shared" si="6"/>
        <v>0</v>
      </c>
      <c r="M69" s="50" t="s">
        <v>910</v>
      </c>
      <c r="N69" s="50" t="s">
        <v>911</v>
      </c>
      <c r="O69" s="50" t="s">
        <v>914</v>
      </c>
      <c r="P69" s="106" t="s">
        <v>910</v>
      </c>
      <c r="Q69" s="50" t="s">
        <v>911</v>
      </c>
      <c r="R69" s="107" t="s">
        <v>911</v>
      </c>
      <c r="S69" s="50" t="s">
        <v>910</v>
      </c>
      <c r="T69" s="50" t="s">
        <v>911</v>
      </c>
      <c r="U69" s="50" t="s">
        <v>910</v>
      </c>
      <c r="V69" s="106" t="s">
        <v>910</v>
      </c>
      <c r="W69" s="50" t="s">
        <v>911</v>
      </c>
      <c r="X69" s="105" t="s">
        <v>914</v>
      </c>
      <c r="Y69" s="105">
        <f t="shared" si="7"/>
        <v>0</v>
      </c>
      <c r="Z69" s="105">
        <f t="shared" si="8"/>
        <v>1</v>
      </c>
      <c r="AA69" s="105">
        <f t="shared" si="9"/>
        <v>0</v>
      </c>
      <c r="AB69" s="105">
        <f t="shared" si="10"/>
        <v>0</v>
      </c>
      <c r="AC69" s="105">
        <f t="shared" si="11"/>
        <v>0</v>
      </c>
      <c r="AD69" s="105">
        <f t="shared" si="12"/>
        <v>0</v>
      </c>
      <c r="AE69" s="105">
        <f t="shared" si="13"/>
        <v>0</v>
      </c>
      <c r="AF69" s="108" t="s">
        <v>923</v>
      </c>
      <c r="AG69" s="109">
        <v>7479768</v>
      </c>
      <c r="AH69" s="109">
        <v>8262969</v>
      </c>
      <c r="AI69" s="109">
        <v>17116687</v>
      </c>
      <c r="AJ69" s="109">
        <v>8349582</v>
      </c>
      <c r="AK69" s="109">
        <v>27481945</v>
      </c>
      <c r="AL69" s="109">
        <v>11684658</v>
      </c>
      <c r="AM69" s="110"/>
      <c r="AN69" s="110"/>
      <c r="AO69" s="111"/>
    </row>
    <row r="70" spans="1:41" x14ac:dyDescent="0.2">
      <c r="A70" s="88" t="s">
        <v>268</v>
      </c>
      <c r="B70" s="88" t="s">
        <v>28</v>
      </c>
      <c r="C70" s="89" t="s">
        <v>910</v>
      </c>
      <c r="D70" s="90" t="s">
        <v>911</v>
      </c>
      <c r="E70" s="91" t="s">
        <v>910</v>
      </c>
      <c r="F70" s="92">
        <f t="shared" ref="F70:F133" si="14">IF(AND($C70="+",$D70&lt;&gt;"+",$E70&lt;&gt;"+"),1,0)</f>
        <v>0</v>
      </c>
      <c r="G70" s="92">
        <f t="shared" ref="G70:G133" si="15">IF(AND($C70&lt;&gt;"+",$D70="+",$E70&lt;&gt;"+"),1,0)</f>
        <v>1</v>
      </c>
      <c r="H70" s="92">
        <f t="shared" ref="H70:H133" si="16">IF(AND($C70&lt;&gt;"+",$D70&lt;&gt;"+",$E70="+"),1,0)</f>
        <v>0</v>
      </c>
      <c r="I70" s="92">
        <f t="shared" ref="I70:I133" si="17">IF(AND($C70="+",$D70="+",$E70&lt;&gt;"+"),1,0)</f>
        <v>0</v>
      </c>
      <c r="J70" s="92">
        <f t="shared" ref="J70:J133" si="18">IF(AND($C70="+",$D70&lt;&gt;"+",$E70="+"),1,0)</f>
        <v>0</v>
      </c>
      <c r="K70" s="92">
        <f t="shared" ref="K70:K133" si="19">IF(AND($C70&lt;&gt;"+",$D70="+",$E70="+"),1,0)</f>
        <v>0</v>
      </c>
      <c r="L70" s="92">
        <f t="shared" ref="L70:L133" si="20">IF(AND($C70="+",$D70="+",$E70="+"),1,0)</f>
        <v>0</v>
      </c>
      <c r="M70" s="93" t="s">
        <v>910</v>
      </c>
      <c r="N70" s="93" t="s">
        <v>911</v>
      </c>
      <c r="O70" s="93" t="s">
        <v>914</v>
      </c>
      <c r="P70" s="94" t="s">
        <v>910</v>
      </c>
      <c r="Q70" s="93" t="s">
        <v>911</v>
      </c>
      <c r="R70" s="95" t="s">
        <v>911</v>
      </c>
      <c r="S70" s="93" t="s">
        <v>910</v>
      </c>
      <c r="T70" s="93" t="s">
        <v>911</v>
      </c>
      <c r="U70" s="93" t="s">
        <v>910</v>
      </c>
      <c r="V70" s="96" t="s">
        <v>910</v>
      </c>
      <c r="W70" s="97" t="s">
        <v>911</v>
      </c>
      <c r="X70" s="92" t="s">
        <v>914</v>
      </c>
      <c r="Y70" s="92">
        <f t="shared" ref="Y70:Y133" si="21">IF(AND($V70="+",$W70&lt;&gt;"+",$X70&lt;&gt;"+"),1,0)</f>
        <v>0</v>
      </c>
      <c r="Z70" s="92">
        <f t="shared" ref="Z70:Z133" si="22">IF(AND($V70&lt;&gt;"+",$W70="+",$X70&lt;&gt;"+"),1,0)</f>
        <v>1</v>
      </c>
      <c r="AA70" s="92">
        <f t="shared" ref="AA70:AA133" si="23">IF(AND($V70&lt;&gt;"+",$W70&lt;&gt;"+",$X70="+"),1,0)</f>
        <v>0</v>
      </c>
      <c r="AB70" s="92">
        <f t="shared" ref="AB70:AB133" si="24">IF(AND($V70="+",$W70="+",$X70&lt;&gt;"+"),1,0)</f>
        <v>0</v>
      </c>
      <c r="AC70" s="92">
        <f t="shared" ref="AC70:AC133" si="25">IF(AND($V70="+",$W70&lt;&gt;"+",$X70="+"),1,0)</f>
        <v>0</v>
      </c>
      <c r="AD70" s="92">
        <f t="shared" ref="AD70:AD133" si="26">IF(AND($V70&lt;&gt;"+",$W70="+",$X70="+"),1,0)</f>
        <v>0</v>
      </c>
      <c r="AE70" s="92">
        <f t="shared" ref="AE70:AE133" si="27">IF(AND($V70="+",$W70="+",$X70="+"),1,0)</f>
        <v>0</v>
      </c>
      <c r="AF70" s="98" t="s">
        <v>923</v>
      </c>
      <c r="AG70" s="99">
        <v>7479768</v>
      </c>
      <c r="AH70" s="99">
        <v>1903516</v>
      </c>
      <c r="AI70" s="99">
        <v>8262969</v>
      </c>
      <c r="AJ70" s="99">
        <v>17116687</v>
      </c>
      <c r="AK70" s="99">
        <v>8262058</v>
      </c>
      <c r="AL70" s="99">
        <v>11684658</v>
      </c>
      <c r="AM70" s="100"/>
      <c r="AN70" s="100"/>
      <c r="AO70" s="101"/>
    </row>
    <row r="71" spans="1:41" x14ac:dyDescent="0.2">
      <c r="A71" s="76" t="s">
        <v>15</v>
      </c>
      <c r="B71" s="76" t="s">
        <v>17</v>
      </c>
      <c r="C71" s="102" t="s">
        <v>911</v>
      </c>
      <c r="D71" s="103" t="s">
        <v>910</v>
      </c>
      <c r="E71" s="104" t="s">
        <v>910</v>
      </c>
      <c r="F71" s="105">
        <f t="shared" si="14"/>
        <v>1</v>
      </c>
      <c r="G71" s="105">
        <f t="shared" si="15"/>
        <v>0</v>
      </c>
      <c r="H71" s="105">
        <f t="shared" si="16"/>
        <v>0</v>
      </c>
      <c r="I71" s="105">
        <f t="shared" si="17"/>
        <v>0</v>
      </c>
      <c r="J71" s="105">
        <f t="shared" si="18"/>
        <v>0</v>
      </c>
      <c r="K71" s="105">
        <f t="shared" si="19"/>
        <v>0</v>
      </c>
      <c r="L71" s="105">
        <f t="shared" si="20"/>
        <v>0</v>
      </c>
      <c r="M71" s="50" t="s">
        <v>911</v>
      </c>
      <c r="N71" s="50" t="s">
        <v>910</v>
      </c>
      <c r="O71" s="50" t="s">
        <v>910</v>
      </c>
      <c r="P71" s="106" t="s">
        <v>911</v>
      </c>
      <c r="Q71" s="50" t="s">
        <v>910</v>
      </c>
      <c r="R71" s="107" t="s">
        <v>910</v>
      </c>
      <c r="S71" s="50" t="s">
        <v>911</v>
      </c>
      <c r="T71" s="50" t="s">
        <v>912</v>
      </c>
      <c r="U71" s="50" t="s">
        <v>912</v>
      </c>
      <c r="V71" s="106" t="s">
        <v>911</v>
      </c>
      <c r="W71" s="50" t="s">
        <v>910</v>
      </c>
      <c r="X71" s="105" t="s">
        <v>910</v>
      </c>
      <c r="Y71" s="105">
        <f t="shared" si="21"/>
        <v>1</v>
      </c>
      <c r="Z71" s="105">
        <f t="shared" si="22"/>
        <v>0</v>
      </c>
      <c r="AA71" s="105">
        <f t="shared" si="23"/>
        <v>0</v>
      </c>
      <c r="AB71" s="105">
        <f t="shared" si="24"/>
        <v>0</v>
      </c>
      <c r="AC71" s="105">
        <f t="shared" si="25"/>
        <v>0</v>
      </c>
      <c r="AD71" s="105">
        <f t="shared" si="26"/>
        <v>0</v>
      </c>
      <c r="AE71" s="105">
        <f t="shared" si="27"/>
        <v>0</v>
      </c>
      <c r="AF71" s="108" t="s">
        <v>921</v>
      </c>
      <c r="AG71" s="109">
        <v>11546812</v>
      </c>
      <c r="AH71" s="109">
        <v>7721814</v>
      </c>
      <c r="AI71" s="109">
        <v>12270917</v>
      </c>
      <c r="AJ71" s="110"/>
      <c r="AK71" s="110"/>
      <c r="AL71" s="110"/>
      <c r="AM71" s="110"/>
      <c r="AN71" s="110"/>
      <c r="AO71" s="111"/>
    </row>
    <row r="72" spans="1:41" x14ac:dyDescent="0.2">
      <c r="A72" s="88" t="s">
        <v>21</v>
      </c>
      <c r="B72" s="88" t="s">
        <v>17</v>
      </c>
      <c r="C72" s="89" t="s">
        <v>910</v>
      </c>
      <c r="D72" s="90" t="s">
        <v>910</v>
      </c>
      <c r="E72" s="91" t="s">
        <v>910</v>
      </c>
      <c r="F72" s="92">
        <f t="shared" si="14"/>
        <v>0</v>
      </c>
      <c r="G72" s="92">
        <f t="shared" si="15"/>
        <v>0</v>
      </c>
      <c r="H72" s="92">
        <f t="shared" si="16"/>
        <v>0</v>
      </c>
      <c r="I72" s="92">
        <f t="shared" si="17"/>
        <v>0</v>
      </c>
      <c r="J72" s="92">
        <f t="shared" si="18"/>
        <v>0</v>
      </c>
      <c r="K72" s="92">
        <f t="shared" si="19"/>
        <v>0</v>
      </c>
      <c r="L72" s="92">
        <f t="shared" si="20"/>
        <v>0</v>
      </c>
      <c r="M72" s="93" t="s">
        <v>910</v>
      </c>
      <c r="N72" s="93" t="s">
        <v>914</v>
      </c>
      <c r="O72" s="93" t="s">
        <v>910</v>
      </c>
      <c r="P72" s="94" t="s">
        <v>910</v>
      </c>
      <c r="Q72" s="93" t="s">
        <v>910</v>
      </c>
      <c r="R72" s="95" t="s">
        <v>910</v>
      </c>
      <c r="S72" s="93" t="s">
        <v>910</v>
      </c>
      <c r="T72" s="93" t="s">
        <v>911</v>
      </c>
      <c r="U72" s="93" t="s">
        <v>910</v>
      </c>
      <c r="V72" s="96" t="s">
        <v>910</v>
      </c>
      <c r="W72" s="97" t="s">
        <v>914</v>
      </c>
      <c r="X72" s="92" t="s">
        <v>910</v>
      </c>
      <c r="Y72" s="92">
        <f t="shared" si="21"/>
        <v>0</v>
      </c>
      <c r="Z72" s="92">
        <f t="shared" si="22"/>
        <v>0</v>
      </c>
      <c r="AA72" s="92">
        <f t="shared" si="23"/>
        <v>0</v>
      </c>
      <c r="AB72" s="92">
        <f t="shared" si="24"/>
        <v>0</v>
      </c>
      <c r="AC72" s="92">
        <f t="shared" si="25"/>
        <v>0</v>
      </c>
      <c r="AD72" s="92">
        <f t="shared" si="26"/>
        <v>0</v>
      </c>
      <c r="AE72" s="92">
        <f t="shared" si="27"/>
        <v>0</v>
      </c>
      <c r="AF72" s="98" t="s">
        <v>925</v>
      </c>
      <c r="AG72" s="99">
        <v>16049005</v>
      </c>
      <c r="AH72" s="99">
        <v>15579468</v>
      </c>
      <c r="AI72" s="99">
        <v>12837691</v>
      </c>
      <c r="AJ72" s="100"/>
      <c r="AK72" s="100"/>
      <c r="AL72" s="100"/>
      <c r="AM72" s="100"/>
      <c r="AN72" s="100"/>
      <c r="AO72" s="101"/>
    </row>
    <row r="73" spans="1:41" x14ac:dyDescent="0.2">
      <c r="A73" s="76" t="s">
        <v>179</v>
      </c>
      <c r="B73" s="76" t="s">
        <v>17</v>
      </c>
      <c r="C73" s="102" t="s">
        <v>911</v>
      </c>
      <c r="D73" s="103" t="s">
        <v>910</v>
      </c>
      <c r="E73" s="104" t="s">
        <v>910</v>
      </c>
      <c r="F73" s="105">
        <f t="shared" si="14"/>
        <v>1</v>
      </c>
      <c r="G73" s="105">
        <f t="shared" si="15"/>
        <v>0</v>
      </c>
      <c r="H73" s="105">
        <f t="shared" si="16"/>
        <v>0</v>
      </c>
      <c r="I73" s="105">
        <f t="shared" si="17"/>
        <v>0</v>
      </c>
      <c r="J73" s="105">
        <f t="shared" si="18"/>
        <v>0</v>
      </c>
      <c r="K73" s="105">
        <f t="shared" si="19"/>
        <v>0</v>
      </c>
      <c r="L73" s="105">
        <f t="shared" si="20"/>
        <v>0</v>
      </c>
      <c r="M73" s="50" t="s">
        <v>914</v>
      </c>
      <c r="N73" s="50" t="s">
        <v>914</v>
      </c>
      <c r="O73" s="50" t="s">
        <v>910</v>
      </c>
      <c r="P73" s="106" t="s">
        <v>911</v>
      </c>
      <c r="Q73" s="50" t="s">
        <v>910</v>
      </c>
      <c r="R73" s="107" t="s">
        <v>910</v>
      </c>
      <c r="S73" s="50" t="s">
        <v>910</v>
      </c>
      <c r="T73" s="50" t="s">
        <v>911</v>
      </c>
      <c r="U73" s="50" t="s">
        <v>910</v>
      </c>
      <c r="V73" s="106" t="s">
        <v>914</v>
      </c>
      <c r="W73" s="50" t="s">
        <v>914</v>
      </c>
      <c r="X73" s="105" t="s">
        <v>910</v>
      </c>
      <c r="Y73" s="105">
        <f t="shared" si="21"/>
        <v>0</v>
      </c>
      <c r="Z73" s="105">
        <f t="shared" si="22"/>
        <v>0</v>
      </c>
      <c r="AA73" s="105">
        <f t="shared" si="23"/>
        <v>0</v>
      </c>
      <c r="AB73" s="105">
        <f t="shared" si="24"/>
        <v>0</v>
      </c>
      <c r="AC73" s="105">
        <f t="shared" si="25"/>
        <v>0</v>
      </c>
      <c r="AD73" s="105">
        <f t="shared" si="26"/>
        <v>0</v>
      </c>
      <c r="AE73" s="105">
        <f t="shared" si="27"/>
        <v>0</v>
      </c>
      <c r="AF73" s="108" t="s">
        <v>921</v>
      </c>
      <c r="AG73" s="109">
        <v>21454492</v>
      </c>
      <c r="AH73" s="109">
        <v>8810315</v>
      </c>
      <c r="AI73" s="109">
        <v>22661716</v>
      </c>
      <c r="AJ73" s="109">
        <v>14712228</v>
      </c>
      <c r="AK73" s="109">
        <v>23255595</v>
      </c>
      <c r="AL73" s="109">
        <v>26911374</v>
      </c>
      <c r="AM73" s="110"/>
      <c r="AN73" s="110"/>
      <c r="AO73" s="111"/>
    </row>
    <row r="74" spans="1:41" x14ac:dyDescent="0.2">
      <c r="A74" s="88" t="s">
        <v>183</v>
      </c>
      <c r="B74" s="88" t="s">
        <v>17</v>
      </c>
      <c r="C74" s="89" t="s">
        <v>911</v>
      </c>
      <c r="D74" s="90" t="s">
        <v>910</v>
      </c>
      <c r="E74" s="91" t="s">
        <v>910</v>
      </c>
      <c r="F74" s="92">
        <f t="shared" si="14"/>
        <v>1</v>
      </c>
      <c r="G74" s="92">
        <f t="shared" si="15"/>
        <v>0</v>
      </c>
      <c r="H74" s="92">
        <f t="shared" si="16"/>
        <v>0</v>
      </c>
      <c r="I74" s="92">
        <f t="shared" si="17"/>
        <v>0</v>
      </c>
      <c r="J74" s="92">
        <f t="shared" si="18"/>
        <v>0</v>
      </c>
      <c r="K74" s="92">
        <f t="shared" si="19"/>
        <v>0</v>
      </c>
      <c r="L74" s="92">
        <f t="shared" si="20"/>
        <v>0</v>
      </c>
      <c r="M74" s="93" t="s">
        <v>911</v>
      </c>
      <c r="N74" s="93" t="s">
        <v>914</v>
      </c>
      <c r="O74" s="93" t="s">
        <v>910</v>
      </c>
      <c r="P74" s="94" t="s">
        <v>911</v>
      </c>
      <c r="Q74" s="93" t="s">
        <v>914</v>
      </c>
      <c r="R74" s="95" t="s">
        <v>910</v>
      </c>
      <c r="S74" s="93" t="s">
        <v>911</v>
      </c>
      <c r="T74" s="93" t="s">
        <v>910</v>
      </c>
      <c r="U74" s="93" t="s">
        <v>910</v>
      </c>
      <c r="V74" s="96" t="s">
        <v>911</v>
      </c>
      <c r="W74" s="97" t="s">
        <v>910</v>
      </c>
      <c r="X74" s="92" t="s">
        <v>910</v>
      </c>
      <c r="Y74" s="92">
        <f t="shared" si="21"/>
        <v>1</v>
      </c>
      <c r="Z74" s="92">
        <f t="shared" si="22"/>
        <v>0</v>
      </c>
      <c r="AA74" s="92">
        <f t="shared" si="23"/>
        <v>0</v>
      </c>
      <c r="AB74" s="92">
        <f t="shared" si="24"/>
        <v>0</v>
      </c>
      <c r="AC74" s="92">
        <f t="shared" si="25"/>
        <v>0</v>
      </c>
      <c r="AD74" s="92">
        <f t="shared" si="26"/>
        <v>0</v>
      </c>
      <c r="AE74" s="92">
        <f t="shared" si="27"/>
        <v>0</v>
      </c>
      <c r="AF74" s="98" t="s">
        <v>921</v>
      </c>
      <c r="AG74" s="99">
        <v>9857026</v>
      </c>
      <c r="AH74" s="99">
        <v>8910315</v>
      </c>
      <c r="AI74" s="99">
        <v>15996550</v>
      </c>
      <c r="AJ74" s="99">
        <v>11912491</v>
      </c>
      <c r="AK74" s="99">
        <v>19043560</v>
      </c>
      <c r="AL74" s="99">
        <v>19667072</v>
      </c>
      <c r="AM74" s="99">
        <v>12604587</v>
      </c>
      <c r="AN74" s="99">
        <v>21406564</v>
      </c>
      <c r="AO74" s="112"/>
    </row>
    <row r="75" spans="1:41" x14ac:dyDescent="0.2">
      <c r="A75" s="76" t="s">
        <v>187</v>
      </c>
      <c r="B75" s="76" t="s">
        <v>17</v>
      </c>
      <c r="C75" s="102" t="s">
        <v>911</v>
      </c>
      <c r="D75" s="103" t="s">
        <v>910</v>
      </c>
      <c r="E75" s="104" t="s">
        <v>910</v>
      </c>
      <c r="F75" s="105">
        <f t="shared" si="14"/>
        <v>1</v>
      </c>
      <c r="G75" s="105">
        <f t="shared" si="15"/>
        <v>0</v>
      </c>
      <c r="H75" s="105">
        <f t="shared" si="16"/>
        <v>0</v>
      </c>
      <c r="I75" s="105">
        <f t="shared" si="17"/>
        <v>0</v>
      </c>
      <c r="J75" s="105">
        <f t="shared" si="18"/>
        <v>0</v>
      </c>
      <c r="K75" s="105">
        <f t="shared" si="19"/>
        <v>0</v>
      </c>
      <c r="L75" s="105">
        <f t="shared" si="20"/>
        <v>0</v>
      </c>
      <c r="M75" s="50" t="s">
        <v>911</v>
      </c>
      <c r="N75" s="50" t="s">
        <v>910</v>
      </c>
      <c r="O75" s="50" t="s">
        <v>910</v>
      </c>
      <c r="P75" s="106" t="s">
        <v>911</v>
      </c>
      <c r="Q75" s="50" t="s">
        <v>910</v>
      </c>
      <c r="R75" s="107" t="s">
        <v>910</v>
      </c>
      <c r="S75" s="50" t="s">
        <v>911</v>
      </c>
      <c r="T75" s="50" t="s">
        <v>912</v>
      </c>
      <c r="U75" s="50" t="s">
        <v>912</v>
      </c>
      <c r="V75" s="106" t="s">
        <v>911</v>
      </c>
      <c r="W75" s="50" t="s">
        <v>910</v>
      </c>
      <c r="X75" s="105" t="s">
        <v>910</v>
      </c>
      <c r="Y75" s="105">
        <f t="shared" si="21"/>
        <v>1</v>
      </c>
      <c r="Z75" s="105">
        <f t="shared" si="22"/>
        <v>0</v>
      </c>
      <c r="AA75" s="105">
        <f t="shared" si="23"/>
        <v>0</v>
      </c>
      <c r="AB75" s="105">
        <f t="shared" si="24"/>
        <v>0</v>
      </c>
      <c r="AC75" s="105">
        <f t="shared" si="25"/>
        <v>0</v>
      </c>
      <c r="AD75" s="105">
        <f t="shared" si="26"/>
        <v>0</v>
      </c>
      <c r="AE75" s="105">
        <f t="shared" si="27"/>
        <v>0</v>
      </c>
      <c r="AF75" s="108" t="s">
        <v>922</v>
      </c>
      <c r="AG75" s="109">
        <v>12221096</v>
      </c>
      <c r="AH75" s="109">
        <v>24043828</v>
      </c>
      <c r="AI75" s="110"/>
      <c r="AJ75" s="110"/>
      <c r="AK75" s="110"/>
      <c r="AL75" s="110"/>
      <c r="AM75" s="110"/>
      <c r="AN75" s="110"/>
      <c r="AO75" s="111"/>
    </row>
    <row r="76" spans="1:41" x14ac:dyDescent="0.2">
      <c r="A76" s="88" t="s">
        <v>191</v>
      </c>
      <c r="B76" s="88" t="s">
        <v>17</v>
      </c>
      <c r="C76" s="89" t="s">
        <v>911</v>
      </c>
      <c r="D76" s="90" t="s">
        <v>910</v>
      </c>
      <c r="E76" s="91" t="s">
        <v>911</v>
      </c>
      <c r="F76" s="92">
        <f t="shared" si="14"/>
        <v>0</v>
      </c>
      <c r="G76" s="92">
        <f t="shared" si="15"/>
        <v>0</v>
      </c>
      <c r="H76" s="92">
        <f t="shared" si="16"/>
        <v>0</v>
      </c>
      <c r="I76" s="92">
        <f t="shared" si="17"/>
        <v>0</v>
      </c>
      <c r="J76" s="92">
        <f t="shared" si="18"/>
        <v>1</v>
      </c>
      <c r="K76" s="92">
        <f t="shared" si="19"/>
        <v>0</v>
      </c>
      <c r="L76" s="92">
        <f t="shared" si="20"/>
        <v>0</v>
      </c>
      <c r="M76" s="93" t="s">
        <v>910</v>
      </c>
      <c r="N76" s="93" t="s">
        <v>914</v>
      </c>
      <c r="O76" s="93" t="s">
        <v>914</v>
      </c>
      <c r="P76" s="94" t="s">
        <v>910</v>
      </c>
      <c r="Q76" s="93" t="s">
        <v>910</v>
      </c>
      <c r="R76" s="95" t="s">
        <v>911</v>
      </c>
      <c r="S76" s="93" t="s">
        <v>912</v>
      </c>
      <c r="T76" s="93" t="s">
        <v>911</v>
      </c>
      <c r="U76" s="93" t="s">
        <v>911</v>
      </c>
      <c r="V76" s="96" t="s">
        <v>910</v>
      </c>
      <c r="W76" s="97" t="s">
        <v>914</v>
      </c>
      <c r="X76" s="92" t="s">
        <v>911</v>
      </c>
      <c r="Y76" s="92">
        <f t="shared" si="21"/>
        <v>0</v>
      </c>
      <c r="Z76" s="92">
        <f t="shared" si="22"/>
        <v>0</v>
      </c>
      <c r="AA76" s="92">
        <f t="shared" si="23"/>
        <v>1</v>
      </c>
      <c r="AB76" s="92">
        <f t="shared" si="24"/>
        <v>0</v>
      </c>
      <c r="AC76" s="92">
        <f t="shared" si="25"/>
        <v>0</v>
      </c>
      <c r="AD76" s="92">
        <f t="shared" si="26"/>
        <v>0</v>
      </c>
      <c r="AE76" s="92">
        <f t="shared" si="27"/>
        <v>0</v>
      </c>
      <c r="AF76" s="98"/>
      <c r="AG76" s="99">
        <v>17190834</v>
      </c>
      <c r="AH76" s="99">
        <v>17214551</v>
      </c>
      <c r="AI76" s="99">
        <v>10947987</v>
      </c>
      <c r="AJ76" s="99">
        <v>17599059</v>
      </c>
      <c r="AK76" s="99">
        <v>17145773</v>
      </c>
      <c r="AL76" s="99">
        <v>17704816</v>
      </c>
      <c r="AM76" s="99">
        <v>18653540</v>
      </c>
      <c r="AN76" s="99">
        <v>19897489</v>
      </c>
      <c r="AO76" s="112">
        <v>23255595</v>
      </c>
    </row>
    <row r="77" spans="1:41" x14ac:dyDescent="0.2">
      <c r="A77" s="76" t="s">
        <v>195</v>
      </c>
      <c r="B77" s="76" t="s">
        <v>17</v>
      </c>
      <c r="C77" s="102" t="s">
        <v>911</v>
      </c>
      <c r="D77" s="103" t="s">
        <v>910</v>
      </c>
      <c r="E77" s="104" t="s">
        <v>910</v>
      </c>
      <c r="F77" s="105">
        <f t="shared" si="14"/>
        <v>1</v>
      </c>
      <c r="G77" s="105">
        <f t="shared" si="15"/>
        <v>0</v>
      </c>
      <c r="H77" s="105">
        <f t="shared" si="16"/>
        <v>0</v>
      </c>
      <c r="I77" s="105">
        <f t="shared" si="17"/>
        <v>0</v>
      </c>
      <c r="J77" s="105">
        <f t="shared" si="18"/>
        <v>0</v>
      </c>
      <c r="K77" s="105">
        <f t="shared" si="19"/>
        <v>0</v>
      </c>
      <c r="L77" s="105">
        <f t="shared" si="20"/>
        <v>0</v>
      </c>
      <c r="M77" s="50" t="s">
        <v>914</v>
      </c>
      <c r="N77" s="50" t="s">
        <v>914</v>
      </c>
      <c r="O77" s="50" t="s">
        <v>914</v>
      </c>
      <c r="P77" s="106" t="s">
        <v>914</v>
      </c>
      <c r="Q77" s="50" t="s">
        <v>914</v>
      </c>
      <c r="R77" s="107" t="s">
        <v>914</v>
      </c>
      <c r="S77" s="50" t="s">
        <v>911</v>
      </c>
      <c r="T77" s="50" t="s">
        <v>914</v>
      </c>
      <c r="U77" s="50" t="s">
        <v>914</v>
      </c>
      <c r="V77" s="106" t="s">
        <v>911</v>
      </c>
      <c r="W77" s="50" t="s">
        <v>914</v>
      </c>
      <c r="X77" s="105" t="s">
        <v>914</v>
      </c>
      <c r="Y77" s="105">
        <f t="shared" si="21"/>
        <v>1</v>
      </c>
      <c r="Z77" s="105">
        <f t="shared" si="22"/>
        <v>0</v>
      </c>
      <c r="AA77" s="105">
        <f t="shared" si="23"/>
        <v>0</v>
      </c>
      <c r="AB77" s="105">
        <f t="shared" si="24"/>
        <v>0</v>
      </c>
      <c r="AC77" s="105">
        <f t="shared" si="25"/>
        <v>0</v>
      </c>
      <c r="AD77" s="105">
        <f t="shared" si="26"/>
        <v>0</v>
      </c>
      <c r="AE77" s="105">
        <f t="shared" si="27"/>
        <v>0</v>
      </c>
      <c r="AF77" s="108" t="s">
        <v>921</v>
      </c>
      <c r="AG77" s="109">
        <v>15601624</v>
      </c>
      <c r="AH77" s="109">
        <v>19713215</v>
      </c>
      <c r="AI77" s="109">
        <v>17337446</v>
      </c>
      <c r="AJ77" s="109">
        <v>21525037</v>
      </c>
      <c r="AK77" s="109">
        <v>12006984</v>
      </c>
      <c r="AL77" s="109"/>
      <c r="AM77" s="110"/>
      <c r="AN77" s="110"/>
      <c r="AO77" s="111"/>
    </row>
    <row r="78" spans="1:41" x14ac:dyDescent="0.2">
      <c r="A78" s="88" t="s">
        <v>199</v>
      </c>
      <c r="B78" s="88" t="s">
        <v>17</v>
      </c>
      <c r="C78" s="89" t="s">
        <v>910</v>
      </c>
      <c r="D78" s="90" t="s">
        <v>910</v>
      </c>
      <c r="E78" s="91" t="s">
        <v>910</v>
      </c>
      <c r="F78" s="92">
        <f t="shared" si="14"/>
        <v>0</v>
      </c>
      <c r="G78" s="92">
        <f t="shared" si="15"/>
        <v>0</v>
      </c>
      <c r="H78" s="92">
        <f t="shared" si="16"/>
        <v>0</v>
      </c>
      <c r="I78" s="92">
        <f t="shared" si="17"/>
        <v>0</v>
      </c>
      <c r="J78" s="92">
        <f t="shared" si="18"/>
        <v>0</v>
      </c>
      <c r="K78" s="92">
        <f t="shared" si="19"/>
        <v>0</v>
      </c>
      <c r="L78" s="92">
        <f t="shared" si="20"/>
        <v>0</v>
      </c>
      <c r="M78" s="93" t="s">
        <v>910</v>
      </c>
      <c r="N78" s="93" t="s">
        <v>914</v>
      </c>
      <c r="O78" s="93" t="s">
        <v>914</v>
      </c>
      <c r="P78" s="94" t="s">
        <v>910</v>
      </c>
      <c r="Q78" s="93" t="s">
        <v>914</v>
      </c>
      <c r="R78" s="95" t="s">
        <v>914</v>
      </c>
      <c r="S78" s="93" t="s">
        <v>912</v>
      </c>
      <c r="T78" s="93" t="s">
        <v>914</v>
      </c>
      <c r="U78" s="93" t="s">
        <v>914</v>
      </c>
      <c r="V78" s="96" t="s">
        <v>910</v>
      </c>
      <c r="W78" s="97" t="s">
        <v>914</v>
      </c>
      <c r="X78" s="92" t="s">
        <v>914</v>
      </c>
      <c r="Y78" s="92">
        <f t="shared" si="21"/>
        <v>0</v>
      </c>
      <c r="Z78" s="92">
        <f t="shared" si="22"/>
        <v>0</v>
      </c>
      <c r="AA78" s="92">
        <f t="shared" si="23"/>
        <v>0</v>
      </c>
      <c r="AB78" s="92">
        <f t="shared" si="24"/>
        <v>0</v>
      </c>
      <c r="AC78" s="92">
        <f t="shared" si="25"/>
        <v>0</v>
      </c>
      <c r="AD78" s="92">
        <f t="shared" si="26"/>
        <v>0</v>
      </c>
      <c r="AE78" s="92">
        <f t="shared" si="27"/>
        <v>0</v>
      </c>
      <c r="AF78" s="98"/>
      <c r="AG78" s="99">
        <v>15306850</v>
      </c>
      <c r="AH78" s="99">
        <v>11741931</v>
      </c>
      <c r="AI78" s="99">
        <v>9659915</v>
      </c>
      <c r="AJ78" s="99">
        <v>9726964</v>
      </c>
      <c r="AK78" s="99">
        <v>10523848</v>
      </c>
      <c r="AL78" s="100"/>
      <c r="AM78" s="100"/>
      <c r="AN78" s="100"/>
      <c r="AO78" s="101"/>
    </row>
    <row r="79" spans="1:41" x14ac:dyDescent="0.2">
      <c r="A79" s="76" t="s">
        <v>203</v>
      </c>
      <c r="B79" s="76" t="s">
        <v>17</v>
      </c>
      <c r="C79" s="102" t="s">
        <v>910</v>
      </c>
      <c r="D79" s="103" t="s">
        <v>910</v>
      </c>
      <c r="E79" s="104" t="s">
        <v>910</v>
      </c>
      <c r="F79" s="105">
        <f t="shared" si="14"/>
        <v>0</v>
      </c>
      <c r="G79" s="105">
        <f t="shared" si="15"/>
        <v>0</v>
      </c>
      <c r="H79" s="105">
        <f t="shared" si="16"/>
        <v>0</v>
      </c>
      <c r="I79" s="105">
        <f t="shared" si="17"/>
        <v>0</v>
      </c>
      <c r="J79" s="105">
        <f t="shared" si="18"/>
        <v>0</v>
      </c>
      <c r="K79" s="105">
        <f t="shared" si="19"/>
        <v>0</v>
      </c>
      <c r="L79" s="105">
        <f t="shared" si="20"/>
        <v>0</v>
      </c>
      <c r="M79" s="50" t="s">
        <v>912</v>
      </c>
      <c r="N79" s="50" t="s">
        <v>911</v>
      </c>
      <c r="O79" s="50" t="s">
        <v>914</v>
      </c>
      <c r="P79" s="106" t="s">
        <v>912</v>
      </c>
      <c r="Q79" s="50" t="s">
        <v>912</v>
      </c>
      <c r="R79" s="107" t="s">
        <v>911</v>
      </c>
      <c r="S79" s="50" t="s">
        <v>912</v>
      </c>
      <c r="T79" s="50" t="s">
        <v>911</v>
      </c>
      <c r="U79" s="50" t="s">
        <v>914</v>
      </c>
      <c r="V79" s="106" t="s">
        <v>912</v>
      </c>
      <c r="W79" s="50" t="s">
        <v>911</v>
      </c>
      <c r="X79" s="105" t="s">
        <v>911</v>
      </c>
      <c r="Y79" s="105">
        <f t="shared" si="21"/>
        <v>0</v>
      </c>
      <c r="Z79" s="105">
        <f t="shared" si="22"/>
        <v>0</v>
      </c>
      <c r="AA79" s="105">
        <f t="shared" si="23"/>
        <v>0</v>
      </c>
      <c r="AB79" s="105">
        <f t="shared" si="24"/>
        <v>0</v>
      </c>
      <c r="AC79" s="105">
        <f t="shared" si="25"/>
        <v>0</v>
      </c>
      <c r="AD79" s="105">
        <f t="shared" si="26"/>
        <v>1</v>
      </c>
      <c r="AE79" s="105">
        <f t="shared" si="27"/>
        <v>0</v>
      </c>
      <c r="AF79" s="108"/>
      <c r="AG79" s="109">
        <v>16492808</v>
      </c>
      <c r="AH79" s="109">
        <v>11741931</v>
      </c>
      <c r="AI79" s="109">
        <v>9659915</v>
      </c>
      <c r="AJ79" s="109">
        <v>18160719</v>
      </c>
      <c r="AK79" s="109">
        <v>21048939</v>
      </c>
      <c r="AL79" s="110"/>
      <c r="AM79" s="110"/>
      <c r="AN79" s="110"/>
      <c r="AO79" s="111"/>
    </row>
    <row r="80" spans="1:41" x14ac:dyDescent="0.2">
      <c r="A80" s="88" t="s">
        <v>207</v>
      </c>
      <c r="B80" s="88" t="s">
        <v>17</v>
      </c>
      <c r="C80" s="89" t="s">
        <v>910</v>
      </c>
      <c r="D80" s="90" t="s">
        <v>910</v>
      </c>
      <c r="E80" s="91" t="s">
        <v>911</v>
      </c>
      <c r="F80" s="92">
        <f t="shared" si="14"/>
        <v>0</v>
      </c>
      <c r="G80" s="92">
        <f t="shared" si="15"/>
        <v>0</v>
      </c>
      <c r="H80" s="92">
        <f t="shared" si="16"/>
        <v>1</v>
      </c>
      <c r="I80" s="92">
        <f t="shared" si="17"/>
        <v>0</v>
      </c>
      <c r="J80" s="92">
        <f t="shared" si="18"/>
        <v>0</v>
      </c>
      <c r="K80" s="92">
        <f t="shared" si="19"/>
        <v>0</v>
      </c>
      <c r="L80" s="92">
        <f t="shared" si="20"/>
        <v>0</v>
      </c>
      <c r="M80" s="93" t="s">
        <v>910</v>
      </c>
      <c r="N80" s="93" t="s">
        <v>910</v>
      </c>
      <c r="O80" s="93" t="s">
        <v>911</v>
      </c>
      <c r="P80" s="94" t="s">
        <v>910</v>
      </c>
      <c r="Q80" s="93" t="s">
        <v>910</v>
      </c>
      <c r="R80" s="95" t="s">
        <v>911</v>
      </c>
      <c r="S80" s="93" t="s">
        <v>910</v>
      </c>
      <c r="T80" s="93" t="s">
        <v>910</v>
      </c>
      <c r="U80" s="93" t="s">
        <v>911</v>
      </c>
      <c r="V80" s="96" t="s">
        <v>910</v>
      </c>
      <c r="W80" s="97" t="s">
        <v>910</v>
      </c>
      <c r="X80" s="92" t="s">
        <v>911</v>
      </c>
      <c r="Y80" s="92">
        <f t="shared" si="21"/>
        <v>0</v>
      </c>
      <c r="Z80" s="92">
        <f t="shared" si="22"/>
        <v>0</v>
      </c>
      <c r="AA80" s="92">
        <f t="shared" si="23"/>
        <v>1</v>
      </c>
      <c r="AB80" s="92">
        <f t="shared" si="24"/>
        <v>0</v>
      </c>
      <c r="AC80" s="92">
        <f t="shared" si="25"/>
        <v>0</v>
      </c>
      <c r="AD80" s="92">
        <f t="shared" si="26"/>
        <v>0</v>
      </c>
      <c r="AE80" s="92">
        <f t="shared" si="27"/>
        <v>0</v>
      </c>
      <c r="AF80" s="98"/>
      <c r="AG80" s="99">
        <v>10559246</v>
      </c>
      <c r="AH80" s="99">
        <v>24297911</v>
      </c>
      <c r="AI80" s="99">
        <v>23255595</v>
      </c>
      <c r="AJ80" s="100"/>
      <c r="AK80" s="100"/>
      <c r="AL80" s="100"/>
      <c r="AM80" s="100"/>
      <c r="AN80" s="100"/>
      <c r="AO80" s="101"/>
    </row>
    <row r="81" spans="1:41" x14ac:dyDescent="0.2">
      <c r="A81" s="76" t="s">
        <v>211</v>
      </c>
      <c r="B81" s="76" t="s">
        <v>17</v>
      </c>
      <c r="C81" s="102" t="s">
        <v>911</v>
      </c>
      <c r="D81" s="103" t="s">
        <v>911</v>
      </c>
      <c r="E81" s="104" t="s">
        <v>911</v>
      </c>
      <c r="F81" s="105">
        <f t="shared" si="14"/>
        <v>0</v>
      </c>
      <c r="G81" s="105">
        <f t="shared" si="15"/>
        <v>0</v>
      </c>
      <c r="H81" s="105">
        <f t="shared" si="16"/>
        <v>0</v>
      </c>
      <c r="I81" s="105">
        <f t="shared" si="17"/>
        <v>0</v>
      </c>
      <c r="J81" s="105">
        <f t="shared" si="18"/>
        <v>0</v>
      </c>
      <c r="K81" s="105">
        <f t="shared" si="19"/>
        <v>0</v>
      </c>
      <c r="L81" s="105">
        <f t="shared" si="20"/>
        <v>1</v>
      </c>
      <c r="M81" s="50" t="s">
        <v>911</v>
      </c>
      <c r="N81" s="50" t="s">
        <v>910</v>
      </c>
      <c r="O81" s="50" t="s">
        <v>910</v>
      </c>
      <c r="P81" s="106" t="s">
        <v>911</v>
      </c>
      <c r="Q81" s="50" t="s">
        <v>910</v>
      </c>
      <c r="R81" s="107" t="s">
        <v>910</v>
      </c>
      <c r="S81" s="50" t="s">
        <v>911</v>
      </c>
      <c r="T81" s="50" t="s">
        <v>910</v>
      </c>
      <c r="U81" s="50" t="s">
        <v>910</v>
      </c>
      <c r="V81" s="106" t="s">
        <v>911</v>
      </c>
      <c r="W81" s="50" t="s">
        <v>910</v>
      </c>
      <c r="X81" s="105" t="s">
        <v>910</v>
      </c>
      <c r="Y81" s="105">
        <f t="shared" si="21"/>
        <v>1</v>
      </c>
      <c r="Z81" s="105">
        <f t="shared" si="22"/>
        <v>0</v>
      </c>
      <c r="AA81" s="105">
        <f t="shared" si="23"/>
        <v>0</v>
      </c>
      <c r="AB81" s="105">
        <f t="shared" si="24"/>
        <v>0</v>
      </c>
      <c r="AC81" s="105">
        <f t="shared" si="25"/>
        <v>0</v>
      </c>
      <c r="AD81" s="105">
        <f t="shared" si="26"/>
        <v>0</v>
      </c>
      <c r="AE81" s="105">
        <f t="shared" si="27"/>
        <v>0</v>
      </c>
      <c r="AF81" s="108" t="s">
        <v>916</v>
      </c>
      <c r="AG81" s="109">
        <v>16896804</v>
      </c>
      <c r="AH81" s="109">
        <v>21719701</v>
      </c>
      <c r="AI81" s="109">
        <v>19635168</v>
      </c>
      <c r="AJ81" s="110"/>
      <c r="AK81" s="110"/>
      <c r="AL81" s="110"/>
      <c r="AM81" s="110"/>
      <c r="AN81" s="110"/>
      <c r="AO81" s="111"/>
    </row>
    <row r="82" spans="1:41" x14ac:dyDescent="0.2">
      <c r="A82" s="88" t="s">
        <v>215</v>
      </c>
      <c r="B82" s="88" t="s">
        <v>17</v>
      </c>
      <c r="C82" s="89" t="s">
        <v>910</v>
      </c>
      <c r="D82" s="90" t="s">
        <v>910</v>
      </c>
      <c r="E82" s="91" t="s">
        <v>910</v>
      </c>
      <c r="F82" s="92">
        <f t="shared" si="14"/>
        <v>0</v>
      </c>
      <c r="G82" s="92">
        <f t="shared" si="15"/>
        <v>0</v>
      </c>
      <c r="H82" s="92">
        <f t="shared" si="16"/>
        <v>0</v>
      </c>
      <c r="I82" s="92">
        <f t="shared" si="17"/>
        <v>0</v>
      </c>
      <c r="J82" s="92">
        <f t="shared" si="18"/>
        <v>0</v>
      </c>
      <c r="K82" s="92">
        <f t="shared" si="19"/>
        <v>0</v>
      </c>
      <c r="L82" s="92">
        <f t="shared" si="20"/>
        <v>0</v>
      </c>
      <c r="M82" s="93" t="s">
        <v>911</v>
      </c>
      <c r="N82" s="93" t="s">
        <v>910</v>
      </c>
      <c r="O82" s="93" t="s">
        <v>910</v>
      </c>
      <c r="P82" s="94" t="s">
        <v>911</v>
      </c>
      <c r="Q82" s="93" t="s">
        <v>910</v>
      </c>
      <c r="R82" s="95" t="s">
        <v>910</v>
      </c>
      <c r="S82" s="93" t="s">
        <v>911</v>
      </c>
      <c r="T82" s="93" t="s">
        <v>910</v>
      </c>
      <c r="U82" s="93" t="s">
        <v>910</v>
      </c>
      <c r="V82" s="96" t="s">
        <v>911</v>
      </c>
      <c r="W82" s="97" t="s">
        <v>910</v>
      </c>
      <c r="X82" s="92" t="s">
        <v>910</v>
      </c>
      <c r="Y82" s="92">
        <f t="shared" si="21"/>
        <v>1</v>
      </c>
      <c r="Z82" s="92">
        <f t="shared" si="22"/>
        <v>0</v>
      </c>
      <c r="AA82" s="92">
        <f t="shared" si="23"/>
        <v>0</v>
      </c>
      <c r="AB82" s="92">
        <f t="shared" si="24"/>
        <v>0</v>
      </c>
      <c r="AC82" s="92">
        <f t="shared" si="25"/>
        <v>0</v>
      </c>
      <c r="AD82" s="92">
        <f t="shared" si="26"/>
        <v>0</v>
      </c>
      <c r="AE82" s="92">
        <f t="shared" si="27"/>
        <v>0</v>
      </c>
      <c r="AF82" s="98"/>
      <c r="AG82" s="99">
        <v>16112081</v>
      </c>
      <c r="AH82" s="100"/>
      <c r="AI82" s="100"/>
      <c r="AJ82" s="100"/>
      <c r="AK82" s="100"/>
      <c r="AL82" s="100"/>
      <c r="AM82" s="100"/>
      <c r="AN82" s="100"/>
      <c r="AO82" s="101"/>
    </row>
    <row r="83" spans="1:41" x14ac:dyDescent="0.2">
      <c r="A83" s="76" t="s">
        <v>219</v>
      </c>
      <c r="B83" s="76" t="s">
        <v>17</v>
      </c>
      <c r="C83" s="102" t="s">
        <v>911</v>
      </c>
      <c r="D83" s="103" t="s">
        <v>910</v>
      </c>
      <c r="E83" s="104" t="s">
        <v>910</v>
      </c>
      <c r="F83" s="105">
        <f t="shared" si="14"/>
        <v>1</v>
      </c>
      <c r="G83" s="105">
        <f t="shared" si="15"/>
        <v>0</v>
      </c>
      <c r="H83" s="105">
        <f t="shared" si="16"/>
        <v>0</v>
      </c>
      <c r="I83" s="105">
        <f t="shared" si="17"/>
        <v>0</v>
      </c>
      <c r="J83" s="105">
        <f t="shared" si="18"/>
        <v>0</v>
      </c>
      <c r="K83" s="105">
        <f t="shared" si="19"/>
        <v>0</v>
      </c>
      <c r="L83" s="105">
        <f t="shared" si="20"/>
        <v>0</v>
      </c>
      <c r="M83" s="50" t="s">
        <v>911</v>
      </c>
      <c r="N83" s="50" t="s">
        <v>910</v>
      </c>
      <c r="O83" s="50" t="s">
        <v>910</v>
      </c>
      <c r="P83" s="106" t="s">
        <v>911</v>
      </c>
      <c r="Q83" s="50" t="s">
        <v>910</v>
      </c>
      <c r="R83" s="107" t="s">
        <v>910</v>
      </c>
      <c r="S83" s="50" t="s">
        <v>912</v>
      </c>
      <c r="T83" s="50" t="s">
        <v>912</v>
      </c>
      <c r="U83" s="50" t="s">
        <v>912</v>
      </c>
      <c r="V83" s="106" t="s">
        <v>911</v>
      </c>
      <c r="W83" s="50" t="s">
        <v>910</v>
      </c>
      <c r="X83" s="105" t="s">
        <v>910</v>
      </c>
      <c r="Y83" s="105">
        <f t="shared" si="21"/>
        <v>1</v>
      </c>
      <c r="Z83" s="105">
        <f t="shared" si="22"/>
        <v>0</v>
      </c>
      <c r="AA83" s="105">
        <f t="shared" si="23"/>
        <v>0</v>
      </c>
      <c r="AB83" s="105">
        <f t="shared" si="24"/>
        <v>0</v>
      </c>
      <c r="AC83" s="105">
        <f t="shared" si="25"/>
        <v>0</v>
      </c>
      <c r="AD83" s="105">
        <f t="shared" si="26"/>
        <v>0</v>
      </c>
      <c r="AE83" s="105">
        <f t="shared" si="27"/>
        <v>0</v>
      </c>
      <c r="AF83" s="108" t="s">
        <v>921</v>
      </c>
      <c r="AG83" s="109">
        <v>21454492</v>
      </c>
      <c r="AH83" s="109">
        <v>14712228</v>
      </c>
      <c r="AI83" s="109">
        <v>10526156</v>
      </c>
      <c r="AJ83" s="109">
        <v>16954208</v>
      </c>
      <c r="AK83" s="109">
        <v>10900204</v>
      </c>
      <c r="AL83" s="109">
        <v>23255595</v>
      </c>
      <c r="AM83" s="110"/>
      <c r="AN83" s="110"/>
      <c r="AO83" s="111"/>
    </row>
    <row r="84" spans="1:41" x14ac:dyDescent="0.2">
      <c r="A84" s="88" t="s">
        <v>223</v>
      </c>
      <c r="B84" s="88" t="s">
        <v>17</v>
      </c>
      <c r="C84" s="89" t="s">
        <v>911</v>
      </c>
      <c r="D84" s="90" t="s">
        <v>910</v>
      </c>
      <c r="E84" s="91" t="s">
        <v>910</v>
      </c>
      <c r="F84" s="92">
        <f t="shared" si="14"/>
        <v>1</v>
      </c>
      <c r="G84" s="92">
        <f t="shared" si="15"/>
        <v>0</v>
      </c>
      <c r="H84" s="92">
        <f t="shared" si="16"/>
        <v>0</v>
      </c>
      <c r="I84" s="92">
        <f t="shared" si="17"/>
        <v>0</v>
      </c>
      <c r="J84" s="92">
        <f t="shared" si="18"/>
        <v>0</v>
      </c>
      <c r="K84" s="92">
        <f t="shared" si="19"/>
        <v>0</v>
      </c>
      <c r="L84" s="92">
        <f t="shared" si="20"/>
        <v>0</v>
      </c>
      <c r="M84" s="93" t="s">
        <v>911</v>
      </c>
      <c r="N84" s="93" t="s">
        <v>910</v>
      </c>
      <c r="O84" s="93" t="s">
        <v>910</v>
      </c>
      <c r="P84" s="94" t="s">
        <v>911</v>
      </c>
      <c r="Q84" s="93" t="s">
        <v>910</v>
      </c>
      <c r="R84" s="95" t="s">
        <v>910</v>
      </c>
      <c r="S84" s="93" t="s">
        <v>911</v>
      </c>
      <c r="T84" s="93" t="s">
        <v>910</v>
      </c>
      <c r="U84" s="93" t="s">
        <v>910</v>
      </c>
      <c r="V84" s="96" t="s">
        <v>911</v>
      </c>
      <c r="W84" s="97" t="s">
        <v>910</v>
      </c>
      <c r="X84" s="92" t="s">
        <v>910</v>
      </c>
      <c r="Y84" s="92">
        <f t="shared" si="21"/>
        <v>1</v>
      </c>
      <c r="Z84" s="92">
        <f t="shared" si="22"/>
        <v>0</v>
      </c>
      <c r="AA84" s="92">
        <f t="shared" si="23"/>
        <v>0</v>
      </c>
      <c r="AB84" s="92">
        <f t="shared" si="24"/>
        <v>0</v>
      </c>
      <c r="AC84" s="92">
        <f t="shared" si="25"/>
        <v>0</v>
      </c>
      <c r="AD84" s="92">
        <f t="shared" si="26"/>
        <v>0</v>
      </c>
      <c r="AE84" s="92">
        <f t="shared" si="27"/>
        <v>0</v>
      </c>
      <c r="AF84" s="98" t="s">
        <v>921</v>
      </c>
      <c r="AG84" s="99">
        <v>21454492</v>
      </c>
      <c r="AH84" s="99">
        <v>14712228</v>
      </c>
      <c r="AI84" s="99">
        <v>11373293</v>
      </c>
      <c r="AJ84" s="99">
        <v>11724822</v>
      </c>
      <c r="AK84" s="99">
        <v>11094164</v>
      </c>
      <c r="AL84" s="99">
        <v>23255595</v>
      </c>
      <c r="AM84" s="100"/>
      <c r="AN84" s="100"/>
      <c r="AO84" s="101"/>
    </row>
    <row r="85" spans="1:41" x14ac:dyDescent="0.2">
      <c r="A85" s="76" t="s">
        <v>227</v>
      </c>
      <c r="B85" s="76" t="s">
        <v>17</v>
      </c>
      <c r="C85" s="102" t="s">
        <v>911</v>
      </c>
      <c r="D85" s="103" t="s">
        <v>910</v>
      </c>
      <c r="E85" s="104" t="s">
        <v>911</v>
      </c>
      <c r="F85" s="105">
        <f t="shared" si="14"/>
        <v>0</v>
      </c>
      <c r="G85" s="105">
        <f t="shared" si="15"/>
        <v>0</v>
      </c>
      <c r="H85" s="105">
        <f t="shared" si="16"/>
        <v>0</v>
      </c>
      <c r="I85" s="105">
        <f t="shared" si="17"/>
        <v>0</v>
      </c>
      <c r="J85" s="105">
        <f t="shared" si="18"/>
        <v>1</v>
      </c>
      <c r="K85" s="105">
        <f t="shared" si="19"/>
        <v>0</v>
      </c>
      <c r="L85" s="105">
        <f t="shared" si="20"/>
        <v>0</v>
      </c>
      <c r="M85" s="50" t="s">
        <v>911</v>
      </c>
      <c r="N85" s="50" t="s">
        <v>914</v>
      </c>
      <c r="O85" s="50" t="s">
        <v>914</v>
      </c>
      <c r="P85" s="106" t="s">
        <v>912</v>
      </c>
      <c r="Q85" s="50" t="s">
        <v>912</v>
      </c>
      <c r="R85" s="107" t="s">
        <v>912</v>
      </c>
      <c r="S85" s="50" t="s">
        <v>911</v>
      </c>
      <c r="T85" s="50" t="s">
        <v>914</v>
      </c>
      <c r="U85" s="50" t="s">
        <v>914</v>
      </c>
      <c r="V85" s="106" t="s">
        <v>911</v>
      </c>
      <c r="W85" s="50" t="s">
        <v>914</v>
      </c>
      <c r="X85" s="105" t="s">
        <v>914</v>
      </c>
      <c r="Y85" s="105">
        <f t="shared" si="21"/>
        <v>1</v>
      </c>
      <c r="Z85" s="105">
        <f t="shared" si="22"/>
        <v>0</v>
      </c>
      <c r="AA85" s="105">
        <f t="shared" si="23"/>
        <v>0</v>
      </c>
      <c r="AB85" s="105">
        <f t="shared" si="24"/>
        <v>0</v>
      </c>
      <c r="AC85" s="105">
        <f t="shared" si="25"/>
        <v>0</v>
      </c>
      <c r="AD85" s="105">
        <f t="shared" si="26"/>
        <v>0</v>
      </c>
      <c r="AE85" s="105">
        <f t="shared" si="27"/>
        <v>0</v>
      </c>
      <c r="AF85" s="108"/>
      <c r="AG85" s="109">
        <v>12775584</v>
      </c>
      <c r="AH85" s="109">
        <v>23029280</v>
      </c>
      <c r="AI85" s="109">
        <v>21029865</v>
      </c>
      <c r="AJ85" s="109">
        <v>27145964</v>
      </c>
      <c r="AK85" s="110"/>
      <c r="AL85" s="110"/>
      <c r="AM85" s="110"/>
      <c r="AN85" s="110"/>
      <c r="AO85" s="111"/>
    </row>
    <row r="86" spans="1:41" x14ac:dyDescent="0.2">
      <c r="A86" s="88" t="s">
        <v>231</v>
      </c>
      <c r="B86" s="88" t="s">
        <v>17</v>
      </c>
      <c r="C86" s="89" t="s">
        <v>910</v>
      </c>
      <c r="D86" s="90" t="s">
        <v>910</v>
      </c>
      <c r="E86" s="91" t="s">
        <v>910</v>
      </c>
      <c r="F86" s="92">
        <f t="shared" si="14"/>
        <v>0</v>
      </c>
      <c r="G86" s="92">
        <f t="shared" si="15"/>
        <v>0</v>
      </c>
      <c r="H86" s="92">
        <f t="shared" si="16"/>
        <v>0</v>
      </c>
      <c r="I86" s="92">
        <f t="shared" si="17"/>
        <v>0</v>
      </c>
      <c r="J86" s="92">
        <f t="shared" si="18"/>
        <v>0</v>
      </c>
      <c r="K86" s="92">
        <f t="shared" si="19"/>
        <v>0</v>
      </c>
      <c r="L86" s="92">
        <f t="shared" si="20"/>
        <v>0</v>
      </c>
      <c r="M86" s="93" t="s">
        <v>910</v>
      </c>
      <c r="N86" s="93" t="s">
        <v>914</v>
      </c>
      <c r="O86" s="93" t="s">
        <v>914</v>
      </c>
      <c r="P86" s="94" t="s">
        <v>910</v>
      </c>
      <c r="Q86" s="93" t="s">
        <v>911</v>
      </c>
      <c r="R86" s="95" t="s">
        <v>911</v>
      </c>
      <c r="S86" s="93" t="s">
        <v>910</v>
      </c>
      <c r="T86" s="93" t="s">
        <v>914</v>
      </c>
      <c r="U86" s="93" t="s">
        <v>910</v>
      </c>
      <c r="V86" s="96" t="s">
        <v>910</v>
      </c>
      <c r="W86" s="97" t="s">
        <v>911</v>
      </c>
      <c r="X86" s="92" t="s">
        <v>914</v>
      </c>
      <c r="Y86" s="92">
        <f t="shared" si="21"/>
        <v>0</v>
      </c>
      <c r="Z86" s="92">
        <f t="shared" si="22"/>
        <v>1</v>
      </c>
      <c r="AA86" s="92">
        <f t="shared" si="23"/>
        <v>0</v>
      </c>
      <c r="AB86" s="92">
        <f t="shared" si="24"/>
        <v>0</v>
      </c>
      <c r="AC86" s="92">
        <f t="shared" si="25"/>
        <v>0</v>
      </c>
      <c r="AD86" s="92">
        <f t="shared" si="26"/>
        <v>0</v>
      </c>
      <c r="AE86" s="92">
        <f t="shared" si="27"/>
        <v>0</v>
      </c>
      <c r="AF86" s="98" t="s">
        <v>926</v>
      </c>
      <c r="AG86" s="99">
        <v>25063526</v>
      </c>
      <c r="AH86" s="99">
        <v>21139582</v>
      </c>
      <c r="AI86" s="99">
        <v>20679435</v>
      </c>
      <c r="AJ86" s="100"/>
      <c r="AK86" s="100"/>
      <c r="AL86" s="100"/>
      <c r="AM86" s="100"/>
      <c r="AN86" s="100"/>
      <c r="AO86" s="101"/>
    </row>
    <row r="87" spans="1:41" x14ac:dyDescent="0.2">
      <c r="A87" s="76" t="s">
        <v>235</v>
      </c>
      <c r="B87" s="76" t="s">
        <v>17</v>
      </c>
      <c r="C87" s="102" t="s">
        <v>911</v>
      </c>
      <c r="D87" s="103" t="s">
        <v>910</v>
      </c>
      <c r="E87" s="104" t="s">
        <v>910</v>
      </c>
      <c r="F87" s="105">
        <f t="shared" si="14"/>
        <v>1</v>
      </c>
      <c r="G87" s="105">
        <f t="shared" si="15"/>
        <v>0</v>
      </c>
      <c r="H87" s="105">
        <f t="shared" si="16"/>
        <v>0</v>
      </c>
      <c r="I87" s="105">
        <f t="shared" si="17"/>
        <v>0</v>
      </c>
      <c r="J87" s="105">
        <f t="shared" si="18"/>
        <v>0</v>
      </c>
      <c r="K87" s="105">
        <f t="shared" si="19"/>
        <v>0</v>
      </c>
      <c r="L87" s="105">
        <f t="shared" si="20"/>
        <v>0</v>
      </c>
      <c r="M87" s="50" t="s">
        <v>911</v>
      </c>
      <c r="N87" s="50" t="s">
        <v>910</v>
      </c>
      <c r="O87" s="50" t="s">
        <v>910</v>
      </c>
      <c r="P87" s="106" t="s">
        <v>911</v>
      </c>
      <c r="Q87" s="50" t="s">
        <v>910</v>
      </c>
      <c r="R87" s="107" t="s">
        <v>910</v>
      </c>
      <c r="S87" s="50" t="s">
        <v>911</v>
      </c>
      <c r="T87" s="50" t="s">
        <v>912</v>
      </c>
      <c r="U87" s="50" t="s">
        <v>912</v>
      </c>
      <c r="V87" s="106" t="s">
        <v>911</v>
      </c>
      <c r="W87" s="50" t="s">
        <v>910</v>
      </c>
      <c r="X87" s="105" t="s">
        <v>910</v>
      </c>
      <c r="Y87" s="105">
        <f t="shared" si="21"/>
        <v>1</v>
      </c>
      <c r="Z87" s="105">
        <f t="shared" si="22"/>
        <v>0</v>
      </c>
      <c r="AA87" s="105">
        <f t="shared" si="23"/>
        <v>0</v>
      </c>
      <c r="AB87" s="105">
        <f t="shared" si="24"/>
        <v>0</v>
      </c>
      <c r="AC87" s="105">
        <f t="shared" si="25"/>
        <v>0</v>
      </c>
      <c r="AD87" s="105">
        <f t="shared" si="26"/>
        <v>0</v>
      </c>
      <c r="AE87" s="105">
        <f t="shared" si="27"/>
        <v>0</v>
      </c>
      <c r="AF87" s="108" t="s">
        <v>921</v>
      </c>
      <c r="AG87" s="109">
        <v>12071859</v>
      </c>
      <c r="AH87" s="109">
        <v>22911862</v>
      </c>
      <c r="AI87" s="109">
        <v>23729734</v>
      </c>
      <c r="AJ87" s="109">
        <v>23195829</v>
      </c>
      <c r="AK87" s="110"/>
      <c r="AL87" s="110"/>
      <c r="AM87" s="110"/>
      <c r="AN87" s="110"/>
      <c r="AO87" s="111"/>
    </row>
    <row r="88" spans="1:41" x14ac:dyDescent="0.2">
      <c r="A88" s="88" t="s">
        <v>239</v>
      </c>
      <c r="B88" s="88" t="s">
        <v>17</v>
      </c>
      <c r="C88" s="89" t="s">
        <v>910</v>
      </c>
      <c r="D88" s="90" t="s">
        <v>910</v>
      </c>
      <c r="E88" s="91" t="s">
        <v>910</v>
      </c>
      <c r="F88" s="92">
        <f t="shared" si="14"/>
        <v>0</v>
      </c>
      <c r="G88" s="92">
        <f t="shared" si="15"/>
        <v>0</v>
      </c>
      <c r="H88" s="92">
        <f t="shared" si="16"/>
        <v>0</v>
      </c>
      <c r="I88" s="92">
        <f t="shared" si="17"/>
        <v>0</v>
      </c>
      <c r="J88" s="92">
        <f t="shared" si="18"/>
        <v>0</v>
      </c>
      <c r="K88" s="92">
        <f t="shared" si="19"/>
        <v>0</v>
      </c>
      <c r="L88" s="92">
        <f t="shared" si="20"/>
        <v>0</v>
      </c>
      <c r="M88" s="93" t="s">
        <v>911</v>
      </c>
      <c r="N88" s="93" t="s">
        <v>914</v>
      </c>
      <c r="O88" s="93" t="s">
        <v>910</v>
      </c>
      <c r="P88" s="94" t="s">
        <v>911</v>
      </c>
      <c r="Q88" s="93" t="s">
        <v>910</v>
      </c>
      <c r="R88" s="95" t="s">
        <v>910</v>
      </c>
      <c r="S88" s="93" t="s">
        <v>911</v>
      </c>
      <c r="T88" s="93" t="s">
        <v>914</v>
      </c>
      <c r="U88" s="93" t="s">
        <v>910</v>
      </c>
      <c r="V88" s="96" t="s">
        <v>911</v>
      </c>
      <c r="W88" s="97" t="s">
        <v>910</v>
      </c>
      <c r="X88" s="92" t="s">
        <v>910</v>
      </c>
      <c r="Y88" s="92">
        <f t="shared" si="21"/>
        <v>1</v>
      </c>
      <c r="Z88" s="92">
        <f t="shared" si="22"/>
        <v>0</v>
      </c>
      <c r="AA88" s="92">
        <f t="shared" si="23"/>
        <v>0</v>
      </c>
      <c r="AB88" s="92">
        <f t="shared" si="24"/>
        <v>0</v>
      </c>
      <c r="AC88" s="92">
        <f t="shared" si="25"/>
        <v>0</v>
      </c>
      <c r="AD88" s="92">
        <f t="shared" si="26"/>
        <v>0</v>
      </c>
      <c r="AE88" s="92">
        <f t="shared" si="27"/>
        <v>0</v>
      </c>
      <c r="AF88" s="98"/>
      <c r="AG88" s="99">
        <v>11085924</v>
      </c>
      <c r="AH88" s="99">
        <v>14512443</v>
      </c>
      <c r="AI88" s="99">
        <v>15558029</v>
      </c>
      <c r="AJ88" s="99">
        <v>21258369</v>
      </c>
      <c r="AK88" s="99">
        <v>23698346</v>
      </c>
      <c r="AL88" s="100"/>
      <c r="AM88" s="100"/>
      <c r="AN88" s="100"/>
      <c r="AO88" s="101"/>
    </row>
    <row r="89" spans="1:41" x14ac:dyDescent="0.2">
      <c r="A89" s="76" t="s">
        <v>243</v>
      </c>
      <c r="B89" s="76" t="s">
        <v>17</v>
      </c>
      <c r="C89" s="102" t="s">
        <v>911</v>
      </c>
      <c r="D89" s="103" t="s">
        <v>910</v>
      </c>
      <c r="E89" s="104" t="s">
        <v>910</v>
      </c>
      <c r="F89" s="105">
        <f t="shared" si="14"/>
        <v>1</v>
      </c>
      <c r="G89" s="105">
        <f t="shared" si="15"/>
        <v>0</v>
      </c>
      <c r="H89" s="105">
        <f t="shared" si="16"/>
        <v>0</v>
      </c>
      <c r="I89" s="105">
        <f t="shared" si="17"/>
        <v>0</v>
      </c>
      <c r="J89" s="105">
        <f t="shared" si="18"/>
        <v>0</v>
      </c>
      <c r="K89" s="105">
        <f t="shared" si="19"/>
        <v>0</v>
      </c>
      <c r="L89" s="105">
        <f t="shared" si="20"/>
        <v>0</v>
      </c>
      <c r="M89" s="50" t="s">
        <v>911</v>
      </c>
      <c r="N89" s="50" t="s">
        <v>914</v>
      </c>
      <c r="O89" s="50" t="s">
        <v>914</v>
      </c>
      <c r="P89" s="106" t="s">
        <v>912</v>
      </c>
      <c r="Q89" s="50" t="s">
        <v>912</v>
      </c>
      <c r="R89" s="107" t="s">
        <v>912</v>
      </c>
      <c r="S89" s="50" t="s">
        <v>911</v>
      </c>
      <c r="T89" s="50" t="s">
        <v>914</v>
      </c>
      <c r="U89" s="50" t="s">
        <v>914</v>
      </c>
      <c r="V89" s="106" t="s">
        <v>911</v>
      </c>
      <c r="W89" s="50" t="s">
        <v>914</v>
      </c>
      <c r="X89" s="105" t="s">
        <v>914</v>
      </c>
      <c r="Y89" s="105">
        <f t="shared" si="21"/>
        <v>1</v>
      </c>
      <c r="Z89" s="105">
        <f t="shared" si="22"/>
        <v>0</v>
      </c>
      <c r="AA89" s="105">
        <f t="shared" si="23"/>
        <v>0</v>
      </c>
      <c r="AB89" s="105">
        <f t="shared" si="24"/>
        <v>0</v>
      </c>
      <c r="AC89" s="105">
        <f t="shared" si="25"/>
        <v>0</v>
      </c>
      <c r="AD89" s="105">
        <f t="shared" si="26"/>
        <v>0</v>
      </c>
      <c r="AE89" s="105">
        <f t="shared" si="27"/>
        <v>0</v>
      </c>
      <c r="AF89" s="108"/>
      <c r="AG89" s="109">
        <v>15485661</v>
      </c>
      <c r="AH89" s="109">
        <v>18256687</v>
      </c>
      <c r="AI89" s="110"/>
      <c r="AJ89" s="110"/>
      <c r="AK89" s="110"/>
      <c r="AL89" s="110"/>
      <c r="AM89" s="110"/>
      <c r="AN89" s="110"/>
      <c r="AO89" s="111"/>
    </row>
    <row r="90" spans="1:41" x14ac:dyDescent="0.2">
      <c r="A90" s="88" t="s">
        <v>247</v>
      </c>
      <c r="B90" s="88" t="s">
        <v>17</v>
      </c>
      <c r="C90" s="89" t="s">
        <v>911</v>
      </c>
      <c r="D90" s="90" t="s">
        <v>910</v>
      </c>
      <c r="E90" s="91" t="s">
        <v>910</v>
      </c>
      <c r="F90" s="92">
        <f t="shared" si="14"/>
        <v>1</v>
      </c>
      <c r="G90" s="92">
        <f t="shared" si="15"/>
        <v>0</v>
      </c>
      <c r="H90" s="92">
        <f t="shared" si="16"/>
        <v>0</v>
      </c>
      <c r="I90" s="92">
        <f t="shared" si="17"/>
        <v>0</v>
      </c>
      <c r="J90" s="92">
        <f t="shared" si="18"/>
        <v>0</v>
      </c>
      <c r="K90" s="92">
        <f t="shared" si="19"/>
        <v>0</v>
      </c>
      <c r="L90" s="92">
        <f t="shared" si="20"/>
        <v>0</v>
      </c>
      <c r="M90" s="93" t="s">
        <v>914</v>
      </c>
      <c r="N90" s="93" t="s">
        <v>914</v>
      </c>
      <c r="O90" s="93" t="s">
        <v>914</v>
      </c>
      <c r="P90" s="94" t="s">
        <v>911</v>
      </c>
      <c r="Q90" s="93" t="s">
        <v>910</v>
      </c>
      <c r="R90" s="95" t="s">
        <v>910</v>
      </c>
      <c r="S90" s="93" t="s">
        <v>911</v>
      </c>
      <c r="T90" s="93" t="s">
        <v>911</v>
      </c>
      <c r="U90" s="93" t="s">
        <v>911</v>
      </c>
      <c r="V90" s="96" t="s">
        <v>911</v>
      </c>
      <c r="W90" s="97" t="s">
        <v>914</v>
      </c>
      <c r="X90" s="92" t="s">
        <v>914</v>
      </c>
      <c r="Y90" s="92">
        <f t="shared" si="21"/>
        <v>1</v>
      </c>
      <c r="Z90" s="92">
        <f t="shared" si="22"/>
        <v>0</v>
      </c>
      <c r="AA90" s="92">
        <f t="shared" si="23"/>
        <v>0</v>
      </c>
      <c r="AB90" s="92">
        <f t="shared" si="24"/>
        <v>0</v>
      </c>
      <c r="AC90" s="92">
        <f t="shared" si="25"/>
        <v>0</v>
      </c>
      <c r="AD90" s="92">
        <f t="shared" si="26"/>
        <v>0</v>
      </c>
      <c r="AE90" s="92">
        <f t="shared" si="27"/>
        <v>0</v>
      </c>
      <c r="AF90" s="98" t="s">
        <v>921</v>
      </c>
      <c r="AG90" s="99">
        <v>12547822</v>
      </c>
      <c r="AH90" s="99">
        <v>11861769</v>
      </c>
      <c r="AI90" s="99">
        <v>16314529</v>
      </c>
      <c r="AJ90" s="99">
        <v>15322108</v>
      </c>
      <c r="AK90" s="99">
        <v>15069594</v>
      </c>
      <c r="AL90" s="99">
        <v>17606614</v>
      </c>
      <c r="AM90" s="99"/>
      <c r="AN90" s="100"/>
      <c r="AO90" s="101"/>
    </row>
    <row r="91" spans="1:41" x14ac:dyDescent="0.2">
      <c r="A91" s="76" t="s">
        <v>252</v>
      </c>
      <c r="B91" s="76" t="s">
        <v>17</v>
      </c>
      <c r="C91" s="102" t="s">
        <v>910</v>
      </c>
      <c r="D91" s="103" t="s">
        <v>910</v>
      </c>
      <c r="E91" s="104" t="s">
        <v>911</v>
      </c>
      <c r="F91" s="105">
        <f t="shared" si="14"/>
        <v>0</v>
      </c>
      <c r="G91" s="105">
        <f t="shared" si="15"/>
        <v>0</v>
      </c>
      <c r="H91" s="105">
        <f t="shared" si="16"/>
        <v>1</v>
      </c>
      <c r="I91" s="105">
        <f t="shared" si="17"/>
        <v>0</v>
      </c>
      <c r="J91" s="105">
        <f t="shared" si="18"/>
        <v>0</v>
      </c>
      <c r="K91" s="105">
        <f t="shared" si="19"/>
        <v>0</v>
      </c>
      <c r="L91" s="105">
        <f t="shared" si="20"/>
        <v>0</v>
      </c>
      <c r="M91" s="50" t="s">
        <v>910</v>
      </c>
      <c r="N91" s="50" t="s">
        <v>914</v>
      </c>
      <c r="O91" s="50" t="s">
        <v>911</v>
      </c>
      <c r="P91" s="106" t="s">
        <v>910</v>
      </c>
      <c r="Q91" s="50" t="s">
        <v>910</v>
      </c>
      <c r="R91" s="107" t="s">
        <v>911</v>
      </c>
      <c r="S91" s="50" t="s">
        <v>912</v>
      </c>
      <c r="T91" s="50" t="s">
        <v>911</v>
      </c>
      <c r="U91" s="50" t="s">
        <v>911</v>
      </c>
      <c r="V91" s="106" t="s">
        <v>910</v>
      </c>
      <c r="W91" s="50" t="s">
        <v>914</v>
      </c>
      <c r="X91" s="105" t="s">
        <v>911</v>
      </c>
      <c r="Y91" s="105">
        <f t="shared" si="21"/>
        <v>0</v>
      </c>
      <c r="Z91" s="105">
        <f t="shared" si="22"/>
        <v>0</v>
      </c>
      <c r="AA91" s="105">
        <f t="shared" si="23"/>
        <v>1</v>
      </c>
      <c r="AB91" s="105">
        <f t="shared" si="24"/>
        <v>0</v>
      </c>
      <c r="AC91" s="105">
        <f t="shared" si="25"/>
        <v>0</v>
      </c>
      <c r="AD91" s="105">
        <f t="shared" si="26"/>
        <v>0</v>
      </c>
      <c r="AE91" s="105">
        <f t="shared" si="27"/>
        <v>0</v>
      </c>
      <c r="AF91" s="108" t="s">
        <v>926</v>
      </c>
      <c r="AG91" s="109">
        <v>15133129</v>
      </c>
      <c r="AH91" s="109"/>
      <c r="AI91" s="110"/>
      <c r="AJ91" s="110"/>
      <c r="AK91" s="110"/>
      <c r="AL91" s="110"/>
      <c r="AM91" s="110"/>
      <c r="AN91" s="110"/>
      <c r="AO91" s="111"/>
    </row>
    <row r="92" spans="1:41" x14ac:dyDescent="0.2">
      <c r="A92" s="88" t="s">
        <v>256</v>
      </c>
      <c r="B92" s="88" t="s">
        <v>17</v>
      </c>
      <c r="C92" s="89" t="s">
        <v>911</v>
      </c>
      <c r="D92" s="90" t="s">
        <v>910</v>
      </c>
      <c r="E92" s="91" t="s">
        <v>910</v>
      </c>
      <c r="F92" s="92">
        <f t="shared" si="14"/>
        <v>1</v>
      </c>
      <c r="G92" s="92">
        <f t="shared" si="15"/>
        <v>0</v>
      </c>
      <c r="H92" s="92">
        <f t="shared" si="16"/>
        <v>0</v>
      </c>
      <c r="I92" s="92">
        <f t="shared" si="17"/>
        <v>0</v>
      </c>
      <c r="J92" s="92">
        <f t="shared" si="18"/>
        <v>0</v>
      </c>
      <c r="K92" s="92">
        <f t="shared" si="19"/>
        <v>0</v>
      </c>
      <c r="L92" s="92">
        <f t="shared" si="20"/>
        <v>0</v>
      </c>
      <c r="M92" s="93" t="s">
        <v>911</v>
      </c>
      <c r="N92" s="93" t="s">
        <v>910</v>
      </c>
      <c r="O92" s="93" t="s">
        <v>910</v>
      </c>
      <c r="P92" s="94" t="s">
        <v>911</v>
      </c>
      <c r="Q92" s="93" t="s">
        <v>910</v>
      </c>
      <c r="R92" s="95" t="s">
        <v>910</v>
      </c>
      <c r="S92" s="93" t="s">
        <v>911</v>
      </c>
      <c r="T92" s="93" t="s">
        <v>910</v>
      </c>
      <c r="U92" s="93" t="s">
        <v>912</v>
      </c>
      <c r="V92" s="96" t="s">
        <v>911</v>
      </c>
      <c r="W92" s="97" t="s">
        <v>910</v>
      </c>
      <c r="X92" s="92" t="s">
        <v>910</v>
      </c>
      <c r="Y92" s="92">
        <f t="shared" si="21"/>
        <v>1</v>
      </c>
      <c r="Z92" s="92">
        <f t="shared" si="22"/>
        <v>0</v>
      </c>
      <c r="AA92" s="92">
        <f t="shared" si="23"/>
        <v>0</v>
      </c>
      <c r="AB92" s="92">
        <f t="shared" si="24"/>
        <v>0</v>
      </c>
      <c r="AC92" s="92">
        <f t="shared" si="25"/>
        <v>0</v>
      </c>
      <c r="AD92" s="92">
        <f t="shared" si="26"/>
        <v>0</v>
      </c>
      <c r="AE92" s="92">
        <f t="shared" si="27"/>
        <v>0</v>
      </c>
      <c r="AF92" s="98" t="s">
        <v>921</v>
      </c>
      <c r="AG92" s="99">
        <v>11058585</v>
      </c>
      <c r="AH92" s="99">
        <v>21454492</v>
      </c>
      <c r="AI92" s="99">
        <v>12702722</v>
      </c>
      <c r="AJ92" s="99">
        <v>23255595</v>
      </c>
      <c r="AK92" s="99"/>
      <c r="AL92" s="100"/>
      <c r="AM92" s="100"/>
      <c r="AN92" s="100"/>
      <c r="AO92" s="101"/>
    </row>
    <row r="93" spans="1:41" x14ac:dyDescent="0.2">
      <c r="A93" s="76" t="s">
        <v>260</v>
      </c>
      <c r="B93" s="76" t="s">
        <v>17</v>
      </c>
      <c r="C93" s="102" t="s">
        <v>910</v>
      </c>
      <c r="D93" s="103" t="s">
        <v>910</v>
      </c>
      <c r="E93" s="104" t="s">
        <v>910</v>
      </c>
      <c r="F93" s="105">
        <f t="shared" si="14"/>
        <v>0</v>
      </c>
      <c r="G93" s="105">
        <f t="shared" si="15"/>
        <v>0</v>
      </c>
      <c r="H93" s="105">
        <f t="shared" si="16"/>
        <v>0</v>
      </c>
      <c r="I93" s="105">
        <f t="shared" si="17"/>
        <v>0</v>
      </c>
      <c r="J93" s="105">
        <f t="shared" si="18"/>
        <v>0</v>
      </c>
      <c r="K93" s="105">
        <f t="shared" si="19"/>
        <v>0</v>
      </c>
      <c r="L93" s="105">
        <f t="shared" si="20"/>
        <v>0</v>
      </c>
      <c r="M93" s="50" t="s">
        <v>912</v>
      </c>
      <c r="N93" s="50" t="s">
        <v>912</v>
      </c>
      <c r="O93" s="50" t="s">
        <v>912</v>
      </c>
      <c r="P93" s="106" t="s">
        <v>912</v>
      </c>
      <c r="Q93" s="50" t="s">
        <v>912</v>
      </c>
      <c r="R93" s="107" t="s">
        <v>912</v>
      </c>
      <c r="S93" s="50" t="s">
        <v>912</v>
      </c>
      <c r="T93" s="50" t="s">
        <v>912</v>
      </c>
      <c r="U93" s="50" t="s">
        <v>912</v>
      </c>
      <c r="V93" s="106" t="s">
        <v>912</v>
      </c>
      <c r="W93" s="50" t="s">
        <v>912</v>
      </c>
      <c r="X93" s="105" t="s">
        <v>912</v>
      </c>
      <c r="Y93" s="105">
        <f t="shared" si="21"/>
        <v>0</v>
      </c>
      <c r="Z93" s="105">
        <f t="shared" si="22"/>
        <v>0</v>
      </c>
      <c r="AA93" s="105">
        <f t="shared" si="23"/>
        <v>0</v>
      </c>
      <c r="AB93" s="105">
        <f t="shared" si="24"/>
        <v>0</v>
      </c>
      <c r="AC93" s="105">
        <f t="shared" si="25"/>
        <v>0</v>
      </c>
      <c r="AD93" s="105">
        <f t="shared" si="26"/>
        <v>0</v>
      </c>
      <c r="AE93" s="105">
        <f t="shared" si="27"/>
        <v>0</v>
      </c>
      <c r="AF93" s="108"/>
      <c r="AG93" s="110"/>
      <c r="AH93" s="110"/>
      <c r="AI93" s="110"/>
      <c r="AJ93" s="110"/>
      <c r="AK93" s="110"/>
      <c r="AL93" s="110"/>
      <c r="AM93" s="110"/>
      <c r="AN93" s="110"/>
      <c r="AO93" s="111"/>
    </row>
    <row r="94" spans="1:41" x14ac:dyDescent="0.2">
      <c r="A94" s="88" t="s">
        <v>264</v>
      </c>
      <c r="B94" s="88" t="s">
        <v>17</v>
      </c>
      <c r="C94" s="89" t="s">
        <v>910</v>
      </c>
      <c r="D94" s="90" t="s">
        <v>910</v>
      </c>
      <c r="E94" s="91" t="s">
        <v>910</v>
      </c>
      <c r="F94" s="92">
        <f t="shared" si="14"/>
        <v>0</v>
      </c>
      <c r="G94" s="92">
        <f t="shared" si="15"/>
        <v>0</v>
      </c>
      <c r="H94" s="92">
        <f t="shared" si="16"/>
        <v>0</v>
      </c>
      <c r="I94" s="92">
        <f t="shared" si="17"/>
        <v>0</v>
      </c>
      <c r="J94" s="92">
        <f t="shared" si="18"/>
        <v>0</v>
      </c>
      <c r="K94" s="92">
        <f t="shared" si="19"/>
        <v>0</v>
      </c>
      <c r="L94" s="92">
        <f t="shared" si="20"/>
        <v>0</v>
      </c>
      <c r="M94" s="93" t="s">
        <v>911</v>
      </c>
      <c r="N94" s="93" t="s">
        <v>912</v>
      </c>
      <c r="O94" s="93" t="s">
        <v>910</v>
      </c>
      <c r="P94" s="94" t="s">
        <v>912</v>
      </c>
      <c r="Q94" s="93" t="s">
        <v>912</v>
      </c>
      <c r="R94" s="95" t="s">
        <v>912</v>
      </c>
      <c r="S94" s="93" t="s">
        <v>911</v>
      </c>
      <c r="T94" s="93" t="s">
        <v>912</v>
      </c>
      <c r="U94" s="93" t="s">
        <v>910</v>
      </c>
      <c r="V94" s="96" t="s">
        <v>911</v>
      </c>
      <c r="W94" s="97" t="s">
        <v>912</v>
      </c>
      <c r="X94" s="92" t="s">
        <v>910</v>
      </c>
      <c r="Y94" s="92">
        <f t="shared" si="21"/>
        <v>1</v>
      </c>
      <c r="Z94" s="92">
        <f t="shared" si="22"/>
        <v>0</v>
      </c>
      <c r="AA94" s="92">
        <f t="shared" si="23"/>
        <v>0</v>
      </c>
      <c r="AB94" s="92">
        <f t="shared" si="24"/>
        <v>0</v>
      </c>
      <c r="AC94" s="92">
        <f t="shared" si="25"/>
        <v>0</v>
      </c>
      <c r="AD94" s="92">
        <f t="shared" si="26"/>
        <v>0</v>
      </c>
      <c r="AE94" s="92">
        <f t="shared" si="27"/>
        <v>0</v>
      </c>
      <c r="AF94" s="98" t="s">
        <v>916</v>
      </c>
      <c r="AG94" s="99">
        <v>25795300</v>
      </c>
      <c r="AH94" s="99">
        <v>15107133</v>
      </c>
      <c r="AI94" s="99">
        <v>26823019</v>
      </c>
      <c r="AJ94" s="100"/>
      <c r="AK94" s="100"/>
      <c r="AL94" s="100"/>
      <c r="AM94" s="100"/>
      <c r="AN94" s="100"/>
      <c r="AO94" s="101"/>
    </row>
    <row r="95" spans="1:41" x14ac:dyDescent="0.2">
      <c r="A95" s="76" t="s">
        <v>293</v>
      </c>
      <c r="B95" s="76" t="s">
        <v>17</v>
      </c>
      <c r="C95" s="102" t="s">
        <v>910</v>
      </c>
      <c r="D95" s="103" t="s">
        <v>910</v>
      </c>
      <c r="E95" s="104" t="s">
        <v>911</v>
      </c>
      <c r="F95" s="105">
        <f t="shared" si="14"/>
        <v>0</v>
      </c>
      <c r="G95" s="105">
        <f t="shared" si="15"/>
        <v>0</v>
      </c>
      <c r="H95" s="105">
        <f t="shared" si="16"/>
        <v>1</v>
      </c>
      <c r="I95" s="105">
        <f t="shared" si="17"/>
        <v>0</v>
      </c>
      <c r="J95" s="105">
        <f t="shared" si="18"/>
        <v>0</v>
      </c>
      <c r="K95" s="105">
        <f t="shared" si="19"/>
        <v>0</v>
      </c>
      <c r="L95" s="105">
        <f t="shared" si="20"/>
        <v>0</v>
      </c>
      <c r="M95" s="50" t="s">
        <v>910</v>
      </c>
      <c r="N95" s="50" t="s">
        <v>910</v>
      </c>
      <c r="O95" s="50" t="s">
        <v>911</v>
      </c>
      <c r="P95" s="106" t="s">
        <v>910</v>
      </c>
      <c r="Q95" s="50" t="s">
        <v>910</v>
      </c>
      <c r="R95" s="107" t="s">
        <v>911</v>
      </c>
      <c r="S95" s="50" t="s">
        <v>912</v>
      </c>
      <c r="T95" s="50" t="s">
        <v>912</v>
      </c>
      <c r="U95" s="50" t="s">
        <v>911</v>
      </c>
      <c r="V95" s="106" t="s">
        <v>910</v>
      </c>
      <c r="W95" s="50" t="s">
        <v>910</v>
      </c>
      <c r="X95" s="105" t="s">
        <v>911</v>
      </c>
      <c r="Y95" s="105">
        <f t="shared" si="21"/>
        <v>0</v>
      </c>
      <c r="Z95" s="105">
        <f t="shared" si="22"/>
        <v>0</v>
      </c>
      <c r="AA95" s="105">
        <f t="shared" si="23"/>
        <v>1</v>
      </c>
      <c r="AB95" s="105">
        <f t="shared" si="24"/>
        <v>0</v>
      </c>
      <c r="AC95" s="105">
        <f t="shared" si="25"/>
        <v>0</v>
      </c>
      <c r="AD95" s="105">
        <f t="shared" si="26"/>
        <v>0</v>
      </c>
      <c r="AE95" s="105">
        <f t="shared" si="27"/>
        <v>0</v>
      </c>
      <c r="AF95" s="108"/>
      <c r="AG95" s="109">
        <v>14506234</v>
      </c>
      <c r="AH95" s="109">
        <v>23255595</v>
      </c>
      <c r="AI95" s="109">
        <v>25097232</v>
      </c>
      <c r="AJ95" s="110"/>
      <c r="AK95" s="110"/>
      <c r="AL95" s="110"/>
      <c r="AM95" s="110"/>
      <c r="AN95" s="110"/>
      <c r="AO95" s="111"/>
    </row>
    <row r="96" spans="1:41" x14ac:dyDescent="0.2">
      <c r="A96" s="88" t="s">
        <v>297</v>
      </c>
      <c r="B96" s="88" t="s">
        <v>17</v>
      </c>
      <c r="C96" s="89" t="s">
        <v>910</v>
      </c>
      <c r="D96" s="90" t="s">
        <v>910</v>
      </c>
      <c r="E96" s="91" t="s">
        <v>910</v>
      </c>
      <c r="F96" s="92">
        <f t="shared" si="14"/>
        <v>0</v>
      </c>
      <c r="G96" s="92">
        <f t="shared" si="15"/>
        <v>0</v>
      </c>
      <c r="H96" s="92">
        <f t="shared" si="16"/>
        <v>0</v>
      </c>
      <c r="I96" s="92">
        <f t="shared" si="17"/>
        <v>0</v>
      </c>
      <c r="J96" s="92">
        <f t="shared" si="18"/>
        <v>0</v>
      </c>
      <c r="K96" s="92">
        <f t="shared" si="19"/>
        <v>0</v>
      </c>
      <c r="L96" s="92">
        <f t="shared" si="20"/>
        <v>0</v>
      </c>
      <c r="M96" s="93" t="s">
        <v>910</v>
      </c>
      <c r="N96" s="93" t="s">
        <v>911</v>
      </c>
      <c r="O96" s="93" t="s">
        <v>910</v>
      </c>
      <c r="P96" s="94" t="s">
        <v>910</v>
      </c>
      <c r="Q96" s="93" t="s">
        <v>911</v>
      </c>
      <c r="R96" s="95" t="s">
        <v>910</v>
      </c>
      <c r="S96" s="93" t="s">
        <v>910</v>
      </c>
      <c r="T96" s="93" t="s">
        <v>911</v>
      </c>
      <c r="U96" s="93" t="s">
        <v>910</v>
      </c>
      <c r="V96" s="96" t="s">
        <v>910</v>
      </c>
      <c r="W96" s="97" t="s">
        <v>911</v>
      </c>
      <c r="X96" s="92" t="s">
        <v>910</v>
      </c>
      <c r="Y96" s="92">
        <f t="shared" si="21"/>
        <v>0</v>
      </c>
      <c r="Z96" s="92">
        <f t="shared" si="22"/>
        <v>1</v>
      </c>
      <c r="AA96" s="92">
        <f t="shared" si="23"/>
        <v>0</v>
      </c>
      <c r="AB96" s="92">
        <f t="shared" si="24"/>
        <v>0</v>
      </c>
      <c r="AC96" s="92">
        <f t="shared" si="25"/>
        <v>0</v>
      </c>
      <c r="AD96" s="92">
        <f t="shared" si="26"/>
        <v>0</v>
      </c>
      <c r="AE96" s="92">
        <f t="shared" si="27"/>
        <v>0</v>
      </c>
      <c r="AF96" s="98" t="s">
        <v>927</v>
      </c>
      <c r="AG96" s="99">
        <v>12432077</v>
      </c>
      <c r="AH96" s="99">
        <v>18056264</v>
      </c>
      <c r="AI96" s="99">
        <v>9808620</v>
      </c>
      <c r="AJ96" s="99">
        <v>12134158</v>
      </c>
      <c r="AK96" s="99">
        <v>14638695</v>
      </c>
      <c r="AL96" s="99">
        <v>12879077</v>
      </c>
      <c r="AM96" s="99">
        <v>15723800</v>
      </c>
      <c r="AN96" s="100"/>
      <c r="AO96" s="101"/>
    </row>
    <row r="97" spans="1:41" x14ac:dyDescent="0.2">
      <c r="A97" s="76" t="s">
        <v>302</v>
      </c>
      <c r="B97" s="76" t="s">
        <v>17</v>
      </c>
      <c r="C97" s="102" t="s">
        <v>910</v>
      </c>
      <c r="D97" s="103" t="s">
        <v>910</v>
      </c>
      <c r="E97" s="104" t="s">
        <v>910</v>
      </c>
      <c r="F97" s="105">
        <f t="shared" si="14"/>
        <v>0</v>
      </c>
      <c r="G97" s="105">
        <f t="shared" si="15"/>
        <v>0</v>
      </c>
      <c r="H97" s="105">
        <f t="shared" si="16"/>
        <v>0</v>
      </c>
      <c r="I97" s="105">
        <f t="shared" si="17"/>
        <v>0</v>
      </c>
      <c r="J97" s="105">
        <f t="shared" si="18"/>
        <v>0</v>
      </c>
      <c r="K97" s="105">
        <f t="shared" si="19"/>
        <v>0</v>
      </c>
      <c r="L97" s="105">
        <f t="shared" si="20"/>
        <v>0</v>
      </c>
      <c r="M97" s="50" t="s">
        <v>912</v>
      </c>
      <c r="N97" s="50" t="s">
        <v>911</v>
      </c>
      <c r="O97" s="50" t="s">
        <v>910</v>
      </c>
      <c r="P97" s="106" t="s">
        <v>912</v>
      </c>
      <c r="Q97" s="50" t="s">
        <v>911</v>
      </c>
      <c r="R97" s="107" t="s">
        <v>910</v>
      </c>
      <c r="S97" s="50" t="s">
        <v>912</v>
      </c>
      <c r="T97" s="50" t="s">
        <v>911</v>
      </c>
      <c r="U97" s="50" t="s">
        <v>910</v>
      </c>
      <c r="V97" s="106" t="s">
        <v>912</v>
      </c>
      <c r="W97" s="50" t="s">
        <v>911</v>
      </c>
      <c r="X97" s="105" t="s">
        <v>910</v>
      </c>
      <c r="Y97" s="105">
        <f t="shared" si="21"/>
        <v>0</v>
      </c>
      <c r="Z97" s="105">
        <f t="shared" si="22"/>
        <v>1</v>
      </c>
      <c r="AA97" s="105">
        <f t="shared" si="23"/>
        <v>0</v>
      </c>
      <c r="AB97" s="105">
        <f t="shared" si="24"/>
        <v>0</v>
      </c>
      <c r="AC97" s="105">
        <f t="shared" si="25"/>
        <v>0</v>
      </c>
      <c r="AD97" s="105">
        <f t="shared" si="26"/>
        <v>0</v>
      </c>
      <c r="AE97" s="105">
        <f t="shared" si="27"/>
        <v>0</v>
      </c>
      <c r="AF97" s="108" t="s">
        <v>927</v>
      </c>
      <c r="AG97" s="109">
        <v>12432077</v>
      </c>
      <c r="AH97" s="109">
        <v>18056264</v>
      </c>
      <c r="AI97" s="109">
        <v>12393632</v>
      </c>
      <c r="AJ97" s="109">
        <v>10559471</v>
      </c>
      <c r="AK97" s="109">
        <v>12871644</v>
      </c>
      <c r="AL97" s="109">
        <v>25339677</v>
      </c>
      <c r="AM97" s="109">
        <v>22461490</v>
      </c>
      <c r="AN97" s="110"/>
      <c r="AO97" s="111"/>
    </row>
    <row r="98" spans="1:41" x14ac:dyDescent="0.2">
      <c r="A98" s="88" t="s">
        <v>306</v>
      </c>
      <c r="B98" s="88" t="s">
        <v>17</v>
      </c>
      <c r="C98" s="89" t="s">
        <v>910</v>
      </c>
      <c r="D98" s="90" t="s">
        <v>911</v>
      </c>
      <c r="E98" s="91" t="s">
        <v>910</v>
      </c>
      <c r="F98" s="92">
        <f t="shared" si="14"/>
        <v>0</v>
      </c>
      <c r="G98" s="92">
        <f t="shared" si="15"/>
        <v>1</v>
      </c>
      <c r="H98" s="92">
        <f t="shared" si="16"/>
        <v>0</v>
      </c>
      <c r="I98" s="92">
        <f t="shared" si="17"/>
        <v>0</v>
      </c>
      <c r="J98" s="92">
        <f t="shared" si="18"/>
        <v>0</v>
      </c>
      <c r="K98" s="92">
        <f t="shared" si="19"/>
        <v>0</v>
      </c>
      <c r="L98" s="92">
        <f t="shared" si="20"/>
        <v>0</v>
      </c>
      <c r="M98" s="93" t="s">
        <v>910</v>
      </c>
      <c r="N98" s="93" t="s">
        <v>914</v>
      </c>
      <c r="O98" s="93" t="s">
        <v>910</v>
      </c>
      <c r="P98" s="94" t="s">
        <v>912</v>
      </c>
      <c r="Q98" s="93" t="s">
        <v>910</v>
      </c>
      <c r="R98" s="95" t="s">
        <v>910</v>
      </c>
      <c r="S98" s="93" t="s">
        <v>910</v>
      </c>
      <c r="T98" s="93" t="s">
        <v>911</v>
      </c>
      <c r="U98" s="93" t="s">
        <v>910</v>
      </c>
      <c r="V98" s="96" t="s">
        <v>910</v>
      </c>
      <c r="W98" s="97" t="s">
        <v>914</v>
      </c>
      <c r="X98" s="92" t="s">
        <v>910</v>
      </c>
      <c r="Y98" s="92">
        <f t="shared" si="21"/>
        <v>0</v>
      </c>
      <c r="Z98" s="92">
        <f t="shared" si="22"/>
        <v>0</v>
      </c>
      <c r="AA98" s="92">
        <f t="shared" si="23"/>
        <v>0</v>
      </c>
      <c r="AB98" s="92">
        <f t="shared" si="24"/>
        <v>0</v>
      </c>
      <c r="AC98" s="92">
        <f t="shared" si="25"/>
        <v>0</v>
      </c>
      <c r="AD98" s="92">
        <f t="shared" si="26"/>
        <v>0</v>
      </c>
      <c r="AE98" s="92">
        <f t="shared" si="27"/>
        <v>0</v>
      </c>
      <c r="AF98" s="98" t="s">
        <v>927</v>
      </c>
      <c r="AG98" s="99">
        <v>12432077</v>
      </c>
      <c r="AH98" s="99">
        <v>18056264</v>
      </c>
      <c r="AI98" s="99">
        <v>21750657</v>
      </c>
      <c r="AJ98" s="99">
        <v>14718541</v>
      </c>
      <c r="AK98" s="99">
        <v>14638695</v>
      </c>
      <c r="AL98" s="100"/>
      <c r="AM98" s="100"/>
      <c r="AN98" s="100"/>
      <c r="AO98" s="101"/>
    </row>
    <row r="99" spans="1:41" x14ac:dyDescent="0.2">
      <c r="A99" s="76" t="s">
        <v>310</v>
      </c>
      <c r="B99" s="76" t="s">
        <v>17</v>
      </c>
      <c r="C99" s="102" t="s">
        <v>910</v>
      </c>
      <c r="D99" s="103" t="s">
        <v>910</v>
      </c>
      <c r="E99" s="104" t="s">
        <v>910</v>
      </c>
      <c r="F99" s="105">
        <f t="shared" si="14"/>
        <v>0</v>
      </c>
      <c r="G99" s="105">
        <f t="shared" si="15"/>
        <v>0</v>
      </c>
      <c r="H99" s="105">
        <f t="shared" si="16"/>
        <v>0</v>
      </c>
      <c r="I99" s="105">
        <f t="shared" si="17"/>
        <v>0</v>
      </c>
      <c r="J99" s="105">
        <f t="shared" si="18"/>
        <v>0</v>
      </c>
      <c r="K99" s="105">
        <f t="shared" si="19"/>
        <v>0</v>
      </c>
      <c r="L99" s="105">
        <f t="shared" si="20"/>
        <v>0</v>
      </c>
      <c r="M99" s="50" t="s">
        <v>910</v>
      </c>
      <c r="N99" s="50" t="s">
        <v>914</v>
      </c>
      <c r="O99" s="50" t="s">
        <v>910</v>
      </c>
      <c r="P99" s="106" t="s">
        <v>912</v>
      </c>
      <c r="Q99" s="50" t="s">
        <v>911</v>
      </c>
      <c r="R99" s="107" t="s">
        <v>912</v>
      </c>
      <c r="S99" s="50" t="s">
        <v>910</v>
      </c>
      <c r="T99" s="50" t="s">
        <v>911</v>
      </c>
      <c r="U99" s="50" t="s">
        <v>910</v>
      </c>
      <c r="V99" s="106" t="s">
        <v>910</v>
      </c>
      <c r="W99" s="50" t="s">
        <v>911</v>
      </c>
      <c r="X99" s="105" t="s">
        <v>910</v>
      </c>
      <c r="Y99" s="105">
        <f t="shared" si="21"/>
        <v>0</v>
      </c>
      <c r="Z99" s="105">
        <f t="shared" si="22"/>
        <v>1</v>
      </c>
      <c r="AA99" s="105">
        <f t="shared" si="23"/>
        <v>0</v>
      </c>
      <c r="AB99" s="105">
        <f t="shared" si="24"/>
        <v>0</v>
      </c>
      <c r="AC99" s="105">
        <f t="shared" si="25"/>
        <v>0</v>
      </c>
      <c r="AD99" s="105">
        <f t="shared" si="26"/>
        <v>0</v>
      </c>
      <c r="AE99" s="105">
        <f t="shared" si="27"/>
        <v>0</v>
      </c>
      <c r="AF99" s="108" t="s">
        <v>928</v>
      </c>
      <c r="AG99" s="109">
        <v>17027967</v>
      </c>
      <c r="AH99" s="109">
        <v>18056264</v>
      </c>
      <c r="AI99" s="109">
        <v>16464467</v>
      </c>
      <c r="AJ99" s="109">
        <v>12628187</v>
      </c>
      <c r="AK99" s="109">
        <v>26129894</v>
      </c>
      <c r="AL99" s="109">
        <v>15723800</v>
      </c>
      <c r="AM99" s="110"/>
      <c r="AN99" s="110"/>
      <c r="AO99" s="111"/>
    </row>
    <row r="100" spans="1:41" x14ac:dyDescent="0.2">
      <c r="A100" s="88" t="s">
        <v>314</v>
      </c>
      <c r="B100" s="88" t="s">
        <v>17</v>
      </c>
      <c r="C100" s="89" t="s">
        <v>910</v>
      </c>
      <c r="D100" s="90" t="s">
        <v>910</v>
      </c>
      <c r="E100" s="91" t="s">
        <v>910</v>
      </c>
      <c r="F100" s="92">
        <f t="shared" si="14"/>
        <v>0</v>
      </c>
      <c r="G100" s="92">
        <f t="shared" si="15"/>
        <v>0</v>
      </c>
      <c r="H100" s="92">
        <f t="shared" si="16"/>
        <v>0</v>
      </c>
      <c r="I100" s="92">
        <f t="shared" si="17"/>
        <v>0</v>
      </c>
      <c r="J100" s="92">
        <f t="shared" si="18"/>
        <v>0</v>
      </c>
      <c r="K100" s="92">
        <f t="shared" si="19"/>
        <v>0</v>
      </c>
      <c r="L100" s="92">
        <f t="shared" si="20"/>
        <v>0</v>
      </c>
      <c r="M100" s="93" t="s">
        <v>912</v>
      </c>
      <c r="N100" s="93" t="s">
        <v>914</v>
      </c>
      <c r="O100" s="93" t="s">
        <v>912</v>
      </c>
      <c r="P100" s="94" t="s">
        <v>912</v>
      </c>
      <c r="Q100" s="93" t="s">
        <v>912</v>
      </c>
      <c r="R100" s="95" t="s">
        <v>912</v>
      </c>
      <c r="S100" s="93" t="s">
        <v>912</v>
      </c>
      <c r="T100" s="93" t="s">
        <v>914</v>
      </c>
      <c r="U100" s="93" t="s">
        <v>912</v>
      </c>
      <c r="V100" s="96" t="s">
        <v>912</v>
      </c>
      <c r="W100" s="97" t="s">
        <v>914</v>
      </c>
      <c r="X100" s="92" t="s">
        <v>912</v>
      </c>
      <c r="Y100" s="92">
        <f t="shared" si="21"/>
        <v>0</v>
      </c>
      <c r="Z100" s="92">
        <f t="shared" si="22"/>
        <v>0</v>
      </c>
      <c r="AA100" s="92">
        <f t="shared" si="23"/>
        <v>0</v>
      </c>
      <c r="AB100" s="92">
        <f t="shared" si="24"/>
        <v>0</v>
      </c>
      <c r="AC100" s="92">
        <f t="shared" si="25"/>
        <v>0</v>
      </c>
      <c r="AD100" s="92">
        <f t="shared" si="26"/>
        <v>0</v>
      </c>
      <c r="AE100" s="92">
        <f t="shared" si="27"/>
        <v>0</v>
      </c>
      <c r="AF100" s="98" t="s">
        <v>927</v>
      </c>
      <c r="AG100" s="99">
        <v>25339677</v>
      </c>
      <c r="AH100" s="99">
        <v>21542010</v>
      </c>
      <c r="AI100" s="99">
        <v>27505886</v>
      </c>
      <c r="AJ100" s="100"/>
      <c r="AK100" s="100"/>
      <c r="AL100" s="100"/>
      <c r="AM100" s="100"/>
      <c r="AN100" s="100"/>
      <c r="AO100" s="101"/>
    </row>
    <row r="101" spans="1:41" x14ac:dyDescent="0.2">
      <c r="A101" s="76" t="s">
        <v>318</v>
      </c>
      <c r="B101" s="76" t="s">
        <v>17</v>
      </c>
      <c r="C101" s="102" t="s">
        <v>910</v>
      </c>
      <c r="D101" s="103" t="s">
        <v>910</v>
      </c>
      <c r="E101" s="104" t="s">
        <v>910</v>
      </c>
      <c r="F101" s="105">
        <f t="shared" si="14"/>
        <v>0</v>
      </c>
      <c r="G101" s="105">
        <f t="shared" si="15"/>
        <v>0</v>
      </c>
      <c r="H101" s="105">
        <f t="shared" si="16"/>
        <v>0</v>
      </c>
      <c r="I101" s="105">
        <f t="shared" si="17"/>
        <v>0</v>
      </c>
      <c r="J101" s="105">
        <f t="shared" si="18"/>
        <v>0</v>
      </c>
      <c r="K101" s="105">
        <f t="shared" si="19"/>
        <v>0</v>
      </c>
      <c r="L101" s="105">
        <f t="shared" si="20"/>
        <v>0</v>
      </c>
      <c r="M101" s="50" t="s">
        <v>910</v>
      </c>
      <c r="N101" s="50" t="s">
        <v>911</v>
      </c>
      <c r="O101" s="50" t="s">
        <v>911</v>
      </c>
      <c r="P101" s="106" t="s">
        <v>910</v>
      </c>
      <c r="Q101" s="50" t="s">
        <v>911</v>
      </c>
      <c r="R101" s="107" t="s">
        <v>911</v>
      </c>
      <c r="S101" s="50" t="s">
        <v>910</v>
      </c>
      <c r="T101" s="50" t="s">
        <v>911</v>
      </c>
      <c r="U101" s="50" t="s">
        <v>911</v>
      </c>
      <c r="V101" s="106" t="s">
        <v>910</v>
      </c>
      <c r="W101" s="50" t="s">
        <v>911</v>
      </c>
      <c r="X101" s="105" t="s">
        <v>911</v>
      </c>
      <c r="Y101" s="105">
        <f t="shared" si="21"/>
        <v>0</v>
      </c>
      <c r="Z101" s="105">
        <f t="shared" si="22"/>
        <v>0</v>
      </c>
      <c r="AA101" s="105">
        <f t="shared" si="23"/>
        <v>0</v>
      </c>
      <c r="AB101" s="105">
        <f t="shared" si="24"/>
        <v>0</v>
      </c>
      <c r="AC101" s="105">
        <f t="shared" si="25"/>
        <v>0</v>
      </c>
      <c r="AD101" s="105">
        <f t="shared" si="26"/>
        <v>1</v>
      </c>
      <c r="AE101" s="105">
        <f t="shared" si="27"/>
        <v>0</v>
      </c>
      <c r="AF101" s="108"/>
      <c r="AG101" s="109">
        <v>17196961</v>
      </c>
      <c r="AH101" s="109">
        <v>23462102</v>
      </c>
      <c r="AI101" s="109">
        <v>27693507</v>
      </c>
      <c r="AJ101" s="110"/>
      <c r="AK101" s="110"/>
      <c r="AL101" s="110"/>
      <c r="AM101" s="110"/>
      <c r="AN101" s="110"/>
      <c r="AO101" s="111"/>
    </row>
    <row r="102" spans="1:41" x14ac:dyDescent="0.2">
      <c r="A102" s="88" t="s">
        <v>322</v>
      </c>
      <c r="B102" s="88" t="s">
        <v>17</v>
      </c>
      <c r="C102" s="89" t="s">
        <v>910</v>
      </c>
      <c r="D102" s="90" t="s">
        <v>910</v>
      </c>
      <c r="E102" s="91" t="s">
        <v>910</v>
      </c>
      <c r="F102" s="92">
        <f t="shared" si="14"/>
        <v>0</v>
      </c>
      <c r="G102" s="92">
        <f t="shared" si="15"/>
        <v>0</v>
      </c>
      <c r="H102" s="92">
        <f t="shared" si="16"/>
        <v>0</v>
      </c>
      <c r="I102" s="92">
        <f t="shared" si="17"/>
        <v>0</v>
      </c>
      <c r="J102" s="92">
        <f t="shared" si="18"/>
        <v>0</v>
      </c>
      <c r="K102" s="92">
        <f t="shared" si="19"/>
        <v>0</v>
      </c>
      <c r="L102" s="92">
        <f t="shared" si="20"/>
        <v>0</v>
      </c>
      <c r="M102" s="93" t="s">
        <v>910</v>
      </c>
      <c r="N102" s="93" t="s">
        <v>914</v>
      </c>
      <c r="O102" s="93" t="s">
        <v>914</v>
      </c>
      <c r="P102" s="94" t="s">
        <v>910</v>
      </c>
      <c r="Q102" s="93" t="s">
        <v>911</v>
      </c>
      <c r="R102" s="95" t="s">
        <v>914</v>
      </c>
      <c r="S102" s="93" t="s">
        <v>912</v>
      </c>
      <c r="T102" s="93" t="s">
        <v>911</v>
      </c>
      <c r="U102" s="93" t="s">
        <v>914</v>
      </c>
      <c r="V102" s="96" t="s">
        <v>910</v>
      </c>
      <c r="W102" s="97" t="s">
        <v>911</v>
      </c>
      <c r="X102" s="92" t="s">
        <v>914</v>
      </c>
      <c r="Y102" s="92">
        <f t="shared" si="21"/>
        <v>0</v>
      </c>
      <c r="Z102" s="92">
        <f t="shared" si="22"/>
        <v>1</v>
      </c>
      <c r="AA102" s="92">
        <f t="shared" si="23"/>
        <v>0</v>
      </c>
      <c r="AB102" s="92">
        <f t="shared" si="24"/>
        <v>0</v>
      </c>
      <c r="AC102" s="92">
        <f t="shared" si="25"/>
        <v>0</v>
      </c>
      <c r="AD102" s="92">
        <f t="shared" si="26"/>
        <v>0</v>
      </c>
      <c r="AE102" s="92">
        <f t="shared" si="27"/>
        <v>0</v>
      </c>
      <c r="AF102" s="98" t="s">
        <v>915</v>
      </c>
      <c r="AG102" s="99">
        <v>12432077</v>
      </c>
      <c r="AH102" s="99">
        <v>18426980</v>
      </c>
      <c r="AI102" s="99">
        <v>16982419</v>
      </c>
      <c r="AJ102" s="99">
        <v>23718289</v>
      </c>
      <c r="AK102" s="99"/>
      <c r="AL102" s="99"/>
      <c r="AM102" s="100"/>
      <c r="AN102" s="100"/>
      <c r="AO102" s="101"/>
    </row>
    <row r="103" spans="1:41" x14ac:dyDescent="0.2">
      <c r="A103" s="76" t="s">
        <v>325</v>
      </c>
      <c r="B103" s="76" t="s">
        <v>17</v>
      </c>
      <c r="C103" s="102" t="s">
        <v>910</v>
      </c>
      <c r="D103" s="103" t="s">
        <v>910</v>
      </c>
      <c r="E103" s="104" t="s">
        <v>910</v>
      </c>
      <c r="F103" s="105">
        <f t="shared" si="14"/>
        <v>0</v>
      </c>
      <c r="G103" s="105">
        <f t="shared" si="15"/>
        <v>0</v>
      </c>
      <c r="H103" s="105">
        <f t="shared" si="16"/>
        <v>0</v>
      </c>
      <c r="I103" s="105">
        <f t="shared" si="17"/>
        <v>0</v>
      </c>
      <c r="J103" s="105">
        <f t="shared" si="18"/>
        <v>0</v>
      </c>
      <c r="K103" s="105">
        <f t="shared" si="19"/>
        <v>0</v>
      </c>
      <c r="L103" s="105">
        <f t="shared" si="20"/>
        <v>0</v>
      </c>
      <c r="M103" s="50" t="s">
        <v>912</v>
      </c>
      <c r="N103" s="50" t="s">
        <v>914</v>
      </c>
      <c r="O103" s="50" t="s">
        <v>911</v>
      </c>
      <c r="P103" s="106" t="s">
        <v>912</v>
      </c>
      <c r="Q103" s="50" t="s">
        <v>910</v>
      </c>
      <c r="R103" s="107" t="s">
        <v>911</v>
      </c>
      <c r="S103" s="50" t="s">
        <v>912</v>
      </c>
      <c r="T103" s="50" t="s">
        <v>911</v>
      </c>
      <c r="U103" s="50" t="s">
        <v>911</v>
      </c>
      <c r="V103" s="106" t="s">
        <v>912</v>
      </c>
      <c r="W103" s="50" t="s">
        <v>914</v>
      </c>
      <c r="X103" s="105" t="s">
        <v>911</v>
      </c>
      <c r="Y103" s="105">
        <f t="shared" si="21"/>
        <v>0</v>
      </c>
      <c r="Z103" s="105">
        <f t="shared" si="22"/>
        <v>0</v>
      </c>
      <c r="AA103" s="105">
        <f t="shared" si="23"/>
        <v>1</v>
      </c>
      <c r="AB103" s="105">
        <f t="shared" si="24"/>
        <v>0</v>
      </c>
      <c r="AC103" s="105">
        <f t="shared" si="25"/>
        <v>0</v>
      </c>
      <c r="AD103" s="105">
        <f t="shared" si="26"/>
        <v>0</v>
      </c>
      <c r="AE103" s="105">
        <f t="shared" si="27"/>
        <v>0</v>
      </c>
      <c r="AF103" s="108"/>
      <c r="AG103" s="109">
        <v>22461490</v>
      </c>
      <c r="AH103" s="109">
        <v>22412158</v>
      </c>
      <c r="AI103" s="109">
        <v>28028151</v>
      </c>
      <c r="AJ103" s="110"/>
      <c r="AK103" s="110"/>
      <c r="AL103" s="110"/>
      <c r="AM103" s="110"/>
      <c r="AN103" s="110"/>
      <c r="AO103" s="111"/>
    </row>
    <row r="104" spans="1:41" x14ac:dyDescent="0.2">
      <c r="A104" s="88" t="s">
        <v>329</v>
      </c>
      <c r="B104" s="88" t="s">
        <v>17</v>
      </c>
      <c r="C104" s="89" t="s">
        <v>910</v>
      </c>
      <c r="D104" s="90" t="s">
        <v>910</v>
      </c>
      <c r="E104" s="91" t="s">
        <v>910</v>
      </c>
      <c r="F104" s="92">
        <f t="shared" si="14"/>
        <v>0</v>
      </c>
      <c r="G104" s="92">
        <f t="shared" si="15"/>
        <v>0</v>
      </c>
      <c r="H104" s="92">
        <f t="shared" si="16"/>
        <v>0</v>
      </c>
      <c r="I104" s="92">
        <f t="shared" si="17"/>
        <v>0</v>
      </c>
      <c r="J104" s="92">
        <f t="shared" si="18"/>
        <v>0</v>
      </c>
      <c r="K104" s="92">
        <f t="shared" si="19"/>
        <v>0</v>
      </c>
      <c r="L104" s="92">
        <f t="shared" si="20"/>
        <v>0</v>
      </c>
      <c r="M104" s="93" t="s">
        <v>910</v>
      </c>
      <c r="N104" s="93" t="s">
        <v>910</v>
      </c>
      <c r="O104" s="93" t="s">
        <v>911</v>
      </c>
      <c r="P104" s="94" t="s">
        <v>910</v>
      </c>
      <c r="Q104" s="93" t="s">
        <v>910</v>
      </c>
      <c r="R104" s="95" t="s">
        <v>911</v>
      </c>
      <c r="S104" s="93" t="s">
        <v>910</v>
      </c>
      <c r="T104" s="93" t="s">
        <v>910</v>
      </c>
      <c r="U104" s="93" t="s">
        <v>911</v>
      </c>
      <c r="V104" s="96" t="s">
        <v>910</v>
      </c>
      <c r="W104" s="97" t="s">
        <v>910</v>
      </c>
      <c r="X104" s="92" t="s">
        <v>911</v>
      </c>
      <c r="Y104" s="92">
        <f t="shared" si="21"/>
        <v>0</v>
      </c>
      <c r="Z104" s="92">
        <f t="shared" si="22"/>
        <v>0</v>
      </c>
      <c r="AA104" s="92">
        <f t="shared" si="23"/>
        <v>1</v>
      </c>
      <c r="AB104" s="92">
        <f t="shared" si="24"/>
        <v>0</v>
      </c>
      <c r="AC104" s="92">
        <f t="shared" si="25"/>
        <v>0</v>
      </c>
      <c r="AD104" s="92">
        <f t="shared" si="26"/>
        <v>0</v>
      </c>
      <c r="AE104" s="92">
        <f t="shared" si="27"/>
        <v>0</v>
      </c>
      <c r="AF104" s="98"/>
      <c r="AG104" s="99">
        <v>12432077</v>
      </c>
      <c r="AH104" s="99">
        <v>18056264</v>
      </c>
      <c r="AI104" s="99">
        <v>19156867</v>
      </c>
      <c r="AJ104" s="99">
        <v>12172552</v>
      </c>
      <c r="AK104" s="99">
        <v>17935486</v>
      </c>
      <c r="AL104" s="99">
        <v>25851601</v>
      </c>
      <c r="AM104" s="99">
        <v>19745154</v>
      </c>
      <c r="AN104" s="100"/>
      <c r="AO104" s="101"/>
    </row>
    <row r="105" spans="1:41" x14ac:dyDescent="0.2">
      <c r="A105" s="76" t="s">
        <v>333</v>
      </c>
      <c r="B105" s="76" t="s">
        <v>17</v>
      </c>
      <c r="C105" s="102" t="s">
        <v>910</v>
      </c>
      <c r="D105" s="103" t="s">
        <v>911</v>
      </c>
      <c r="E105" s="104" t="s">
        <v>910</v>
      </c>
      <c r="F105" s="105">
        <f t="shared" si="14"/>
        <v>0</v>
      </c>
      <c r="G105" s="105">
        <f t="shared" si="15"/>
        <v>1</v>
      </c>
      <c r="H105" s="105">
        <f t="shared" si="16"/>
        <v>0</v>
      </c>
      <c r="I105" s="105">
        <f t="shared" si="17"/>
        <v>0</v>
      </c>
      <c r="J105" s="105">
        <f t="shared" si="18"/>
        <v>0</v>
      </c>
      <c r="K105" s="105">
        <f t="shared" si="19"/>
        <v>0</v>
      </c>
      <c r="L105" s="105">
        <f t="shared" si="20"/>
        <v>0</v>
      </c>
      <c r="M105" s="50" t="s">
        <v>910</v>
      </c>
      <c r="N105" s="50" t="s">
        <v>911</v>
      </c>
      <c r="O105" s="50" t="s">
        <v>911</v>
      </c>
      <c r="P105" s="106" t="s">
        <v>910</v>
      </c>
      <c r="Q105" s="50" t="s">
        <v>911</v>
      </c>
      <c r="R105" s="107" t="s">
        <v>911</v>
      </c>
      <c r="S105" s="50" t="s">
        <v>910</v>
      </c>
      <c r="T105" s="50" t="s">
        <v>911</v>
      </c>
      <c r="U105" s="50" t="s">
        <v>911</v>
      </c>
      <c r="V105" s="106" t="s">
        <v>910</v>
      </c>
      <c r="W105" s="50" t="s">
        <v>911</v>
      </c>
      <c r="X105" s="105" t="s">
        <v>911</v>
      </c>
      <c r="Y105" s="105">
        <f t="shared" si="21"/>
        <v>0</v>
      </c>
      <c r="Z105" s="105">
        <f t="shared" si="22"/>
        <v>0</v>
      </c>
      <c r="AA105" s="105">
        <f t="shared" si="23"/>
        <v>0</v>
      </c>
      <c r="AB105" s="105">
        <f t="shared" si="24"/>
        <v>0</v>
      </c>
      <c r="AC105" s="105">
        <f t="shared" si="25"/>
        <v>0</v>
      </c>
      <c r="AD105" s="105">
        <f t="shared" si="26"/>
        <v>1</v>
      </c>
      <c r="AE105" s="105">
        <f t="shared" si="27"/>
        <v>0</v>
      </c>
      <c r="AF105" s="108"/>
      <c r="AG105" s="109">
        <v>18835169</v>
      </c>
      <c r="AH105" s="109">
        <v>25862245</v>
      </c>
      <c r="AI105" s="109">
        <v>25851601</v>
      </c>
      <c r="AJ105" s="110"/>
      <c r="AK105" s="110"/>
      <c r="AL105" s="110"/>
      <c r="AM105" s="110"/>
      <c r="AN105" s="110"/>
      <c r="AO105" s="111"/>
    </row>
    <row r="106" spans="1:41" x14ac:dyDescent="0.2">
      <c r="A106" s="88" t="s">
        <v>338</v>
      </c>
      <c r="B106" s="88" t="s">
        <v>17</v>
      </c>
      <c r="C106" s="89" t="s">
        <v>910</v>
      </c>
      <c r="D106" s="90" t="s">
        <v>910</v>
      </c>
      <c r="E106" s="91" t="s">
        <v>910</v>
      </c>
      <c r="F106" s="92">
        <f t="shared" si="14"/>
        <v>0</v>
      </c>
      <c r="G106" s="92">
        <f t="shared" si="15"/>
        <v>0</v>
      </c>
      <c r="H106" s="92">
        <f t="shared" si="16"/>
        <v>0</v>
      </c>
      <c r="I106" s="92">
        <f t="shared" si="17"/>
        <v>0</v>
      </c>
      <c r="J106" s="92">
        <f t="shared" si="18"/>
        <v>0</v>
      </c>
      <c r="K106" s="92">
        <f t="shared" si="19"/>
        <v>0</v>
      </c>
      <c r="L106" s="92">
        <f t="shared" si="20"/>
        <v>0</v>
      </c>
      <c r="M106" s="93" t="s">
        <v>910</v>
      </c>
      <c r="N106" s="93" t="s">
        <v>910</v>
      </c>
      <c r="O106" s="93" t="s">
        <v>911</v>
      </c>
      <c r="P106" s="94" t="s">
        <v>910</v>
      </c>
      <c r="Q106" s="93" t="s">
        <v>910</v>
      </c>
      <c r="R106" s="95" t="s">
        <v>911</v>
      </c>
      <c r="S106" s="93" t="s">
        <v>910</v>
      </c>
      <c r="T106" s="93" t="s">
        <v>910</v>
      </c>
      <c r="U106" s="93" t="s">
        <v>911</v>
      </c>
      <c r="V106" s="96" t="s">
        <v>910</v>
      </c>
      <c r="W106" s="97" t="s">
        <v>910</v>
      </c>
      <c r="X106" s="92" t="s">
        <v>911</v>
      </c>
      <c r="Y106" s="92">
        <f t="shared" si="21"/>
        <v>0</v>
      </c>
      <c r="Z106" s="92">
        <f t="shared" si="22"/>
        <v>0</v>
      </c>
      <c r="AA106" s="92">
        <f t="shared" si="23"/>
        <v>1</v>
      </c>
      <c r="AB106" s="92">
        <f t="shared" si="24"/>
        <v>0</v>
      </c>
      <c r="AC106" s="92">
        <f t="shared" si="25"/>
        <v>0</v>
      </c>
      <c r="AD106" s="92">
        <f t="shared" si="26"/>
        <v>0</v>
      </c>
      <c r="AE106" s="92">
        <f t="shared" si="27"/>
        <v>0</v>
      </c>
      <c r="AF106" s="98"/>
      <c r="AG106" s="99">
        <v>16968698</v>
      </c>
      <c r="AH106" s="99">
        <v>15710388</v>
      </c>
      <c r="AI106" s="99">
        <v>25851601</v>
      </c>
      <c r="AJ106" s="100"/>
      <c r="AK106" s="100"/>
      <c r="AL106" s="100"/>
      <c r="AM106" s="100"/>
      <c r="AN106" s="100"/>
      <c r="AO106" s="101"/>
    </row>
    <row r="107" spans="1:41" x14ac:dyDescent="0.2">
      <c r="A107" s="76" t="s">
        <v>343</v>
      </c>
      <c r="B107" s="76" t="s">
        <v>17</v>
      </c>
      <c r="C107" s="102" t="s">
        <v>911</v>
      </c>
      <c r="D107" s="103" t="s">
        <v>910</v>
      </c>
      <c r="E107" s="104" t="s">
        <v>910</v>
      </c>
      <c r="F107" s="105">
        <f t="shared" si="14"/>
        <v>1</v>
      </c>
      <c r="G107" s="105">
        <f t="shared" si="15"/>
        <v>0</v>
      </c>
      <c r="H107" s="105">
        <f t="shared" si="16"/>
        <v>0</v>
      </c>
      <c r="I107" s="105">
        <f t="shared" si="17"/>
        <v>0</v>
      </c>
      <c r="J107" s="105">
        <f t="shared" si="18"/>
        <v>0</v>
      </c>
      <c r="K107" s="105">
        <f t="shared" si="19"/>
        <v>0</v>
      </c>
      <c r="L107" s="105">
        <f t="shared" si="20"/>
        <v>0</v>
      </c>
      <c r="M107" s="50" t="s">
        <v>914</v>
      </c>
      <c r="N107" s="50" t="s">
        <v>914</v>
      </c>
      <c r="O107" s="50" t="s">
        <v>914</v>
      </c>
      <c r="P107" s="106" t="s">
        <v>911</v>
      </c>
      <c r="Q107" s="50" t="s">
        <v>914</v>
      </c>
      <c r="R107" s="107" t="s">
        <v>914</v>
      </c>
      <c r="S107" s="50" t="s">
        <v>914</v>
      </c>
      <c r="T107" s="50" t="s">
        <v>911</v>
      </c>
      <c r="U107" s="50" t="s">
        <v>914</v>
      </c>
      <c r="V107" s="106" t="s">
        <v>911</v>
      </c>
      <c r="W107" s="50" t="s">
        <v>911</v>
      </c>
      <c r="X107" s="105" t="s">
        <v>914</v>
      </c>
      <c r="Y107" s="105">
        <f t="shared" si="21"/>
        <v>0</v>
      </c>
      <c r="Z107" s="105">
        <f t="shared" si="22"/>
        <v>0</v>
      </c>
      <c r="AA107" s="105">
        <f t="shared" si="23"/>
        <v>0</v>
      </c>
      <c r="AB107" s="105">
        <f t="shared" si="24"/>
        <v>1</v>
      </c>
      <c r="AC107" s="105">
        <f t="shared" si="25"/>
        <v>0</v>
      </c>
      <c r="AD107" s="105">
        <f t="shared" si="26"/>
        <v>0</v>
      </c>
      <c r="AE107" s="105">
        <f t="shared" si="27"/>
        <v>0</v>
      </c>
      <c r="AF107" s="108"/>
      <c r="AG107" s="109">
        <v>10579713</v>
      </c>
      <c r="AH107" s="109">
        <v>19617897</v>
      </c>
      <c r="AI107" s="109">
        <v>15545273</v>
      </c>
      <c r="AJ107" s="109">
        <v>15073184</v>
      </c>
      <c r="AK107" s="109">
        <v>21189248</v>
      </c>
      <c r="AL107" s="109">
        <v>16247472</v>
      </c>
      <c r="AM107" s="109"/>
      <c r="AN107" s="110"/>
      <c r="AO107" s="111"/>
    </row>
    <row r="108" spans="1:41" x14ac:dyDescent="0.2">
      <c r="A108" s="88" t="s">
        <v>347</v>
      </c>
      <c r="B108" s="88" t="s">
        <v>17</v>
      </c>
      <c r="C108" s="89" t="s">
        <v>910</v>
      </c>
      <c r="D108" s="90" t="s">
        <v>910</v>
      </c>
      <c r="E108" s="91" t="s">
        <v>910</v>
      </c>
      <c r="F108" s="92">
        <f t="shared" si="14"/>
        <v>0</v>
      </c>
      <c r="G108" s="92">
        <f t="shared" si="15"/>
        <v>0</v>
      </c>
      <c r="H108" s="92">
        <f t="shared" si="16"/>
        <v>0</v>
      </c>
      <c r="I108" s="92">
        <f t="shared" si="17"/>
        <v>0</v>
      </c>
      <c r="J108" s="92">
        <f t="shared" si="18"/>
        <v>0</v>
      </c>
      <c r="K108" s="92">
        <f t="shared" si="19"/>
        <v>0</v>
      </c>
      <c r="L108" s="92">
        <f t="shared" si="20"/>
        <v>0</v>
      </c>
      <c r="M108" s="93" t="s">
        <v>912</v>
      </c>
      <c r="N108" s="93" t="s">
        <v>912</v>
      </c>
      <c r="O108" s="93" t="s">
        <v>912</v>
      </c>
      <c r="P108" s="94" t="s">
        <v>912</v>
      </c>
      <c r="Q108" s="93" t="s">
        <v>912</v>
      </c>
      <c r="R108" s="95" t="s">
        <v>912</v>
      </c>
      <c r="S108" s="93" t="s">
        <v>912</v>
      </c>
      <c r="T108" s="93" t="s">
        <v>912</v>
      </c>
      <c r="U108" s="93" t="s">
        <v>912</v>
      </c>
      <c r="V108" s="96" t="s">
        <v>912</v>
      </c>
      <c r="W108" s="97" t="s">
        <v>912</v>
      </c>
      <c r="X108" s="92" t="s">
        <v>912</v>
      </c>
      <c r="Y108" s="92">
        <f t="shared" si="21"/>
        <v>0</v>
      </c>
      <c r="Z108" s="92">
        <f t="shared" si="22"/>
        <v>0</v>
      </c>
      <c r="AA108" s="92">
        <f t="shared" si="23"/>
        <v>0</v>
      </c>
      <c r="AB108" s="92">
        <f t="shared" si="24"/>
        <v>0</v>
      </c>
      <c r="AC108" s="92">
        <f t="shared" si="25"/>
        <v>0</v>
      </c>
      <c r="AD108" s="92">
        <f t="shared" si="26"/>
        <v>0</v>
      </c>
      <c r="AE108" s="92">
        <f t="shared" si="27"/>
        <v>0</v>
      </c>
      <c r="AF108" s="98"/>
      <c r="AG108" s="100"/>
      <c r="AH108" s="100"/>
      <c r="AI108" s="100"/>
      <c r="AJ108" s="100"/>
      <c r="AK108" s="100"/>
      <c r="AL108" s="100"/>
      <c r="AM108" s="100"/>
      <c r="AN108" s="100"/>
      <c r="AO108" s="101"/>
    </row>
    <row r="109" spans="1:41" x14ac:dyDescent="0.2">
      <c r="A109" s="76" t="s">
        <v>358</v>
      </c>
      <c r="B109" s="76" t="s">
        <v>17</v>
      </c>
      <c r="C109" s="102" t="s">
        <v>910</v>
      </c>
      <c r="D109" s="103" t="s">
        <v>910</v>
      </c>
      <c r="E109" s="104" t="s">
        <v>910</v>
      </c>
      <c r="F109" s="105">
        <f t="shared" si="14"/>
        <v>0</v>
      </c>
      <c r="G109" s="105">
        <f t="shared" si="15"/>
        <v>0</v>
      </c>
      <c r="H109" s="105">
        <f t="shared" si="16"/>
        <v>0</v>
      </c>
      <c r="I109" s="105">
        <f t="shared" si="17"/>
        <v>0</v>
      </c>
      <c r="J109" s="105">
        <f t="shared" si="18"/>
        <v>0</v>
      </c>
      <c r="K109" s="105">
        <f t="shared" si="19"/>
        <v>0</v>
      </c>
      <c r="L109" s="105">
        <f t="shared" si="20"/>
        <v>0</v>
      </c>
      <c r="M109" s="50" t="s">
        <v>914</v>
      </c>
      <c r="N109" s="50" t="s">
        <v>914</v>
      </c>
      <c r="O109" s="50" t="s">
        <v>911</v>
      </c>
      <c r="P109" s="106" t="s">
        <v>911</v>
      </c>
      <c r="Q109" s="50" t="s">
        <v>912</v>
      </c>
      <c r="R109" s="107" t="s">
        <v>912</v>
      </c>
      <c r="S109" s="50" t="s">
        <v>914</v>
      </c>
      <c r="T109" s="50" t="s">
        <v>914</v>
      </c>
      <c r="U109" s="50" t="s">
        <v>911</v>
      </c>
      <c r="V109" s="106" t="s">
        <v>911</v>
      </c>
      <c r="W109" s="50" t="s">
        <v>914</v>
      </c>
      <c r="X109" s="105" t="s">
        <v>911</v>
      </c>
      <c r="Y109" s="105">
        <f t="shared" si="21"/>
        <v>0</v>
      </c>
      <c r="Z109" s="105">
        <f t="shared" si="22"/>
        <v>0</v>
      </c>
      <c r="AA109" s="105">
        <f t="shared" si="23"/>
        <v>0</v>
      </c>
      <c r="AB109" s="105">
        <f t="shared" si="24"/>
        <v>0</v>
      </c>
      <c r="AC109" s="105">
        <f t="shared" si="25"/>
        <v>1</v>
      </c>
      <c r="AD109" s="105">
        <f t="shared" si="26"/>
        <v>0</v>
      </c>
      <c r="AE109" s="105">
        <f t="shared" si="27"/>
        <v>0</v>
      </c>
      <c r="AF109" s="108"/>
      <c r="AG109" s="109">
        <v>11680691</v>
      </c>
      <c r="AH109" s="109">
        <v>23209303</v>
      </c>
      <c r="AI109" s="109">
        <v>26911374</v>
      </c>
      <c r="AJ109" s="109">
        <v>28860633</v>
      </c>
      <c r="AK109" s="110"/>
      <c r="AL109" s="110"/>
      <c r="AM109" s="110"/>
      <c r="AN109" s="110"/>
      <c r="AO109" s="111"/>
    </row>
    <row r="110" spans="1:41" x14ac:dyDescent="0.2">
      <c r="A110" s="88" t="s">
        <v>362</v>
      </c>
      <c r="B110" s="88" t="s">
        <v>17</v>
      </c>
      <c r="C110" s="89" t="s">
        <v>910</v>
      </c>
      <c r="D110" s="90" t="s">
        <v>910</v>
      </c>
      <c r="E110" s="91" t="s">
        <v>910</v>
      </c>
      <c r="F110" s="92">
        <f t="shared" si="14"/>
        <v>0</v>
      </c>
      <c r="G110" s="92">
        <f t="shared" si="15"/>
        <v>0</v>
      </c>
      <c r="H110" s="92">
        <f t="shared" si="16"/>
        <v>0</v>
      </c>
      <c r="I110" s="92">
        <f t="shared" si="17"/>
        <v>0</v>
      </c>
      <c r="J110" s="92">
        <f t="shared" si="18"/>
        <v>0</v>
      </c>
      <c r="K110" s="92">
        <f t="shared" si="19"/>
        <v>0</v>
      </c>
      <c r="L110" s="92">
        <f t="shared" si="20"/>
        <v>0</v>
      </c>
      <c r="M110" s="93" t="s">
        <v>910</v>
      </c>
      <c r="N110" s="93" t="s">
        <v>914</v>
      </c>
      <c r="O110" s="93" t="s">
        <v>914</v>
      </c>
      <c r="P110" s="94" t="s">
        <v>910</v>
      </c>
      <c r="Q110" s="93" t="s">
        <v>914</v>
      </c>
      <c r="R110" s="95" t="s">
        <v>914</v>
      </c>
      <c r="S110" s="93" t="s">
        <v>910</v>
      </c>
      <c r="T110" s="93" t="s">
        <v>914</v>
      </c>
      <c r="U110" s="93" t="s">
        <v>914</v>
      </c>
      <c r="V110" s="96" t="s">
        <v>910</v>
      </c>
      <c r="W110" s="97" t="s">
        <v>914</v>
      </c>
      <c r="X110" s="92" t="s">
        <v>914</v>
      </c>
      <c r="Y110" s="92">
        <f t="shared" si="21"/>
        <v>0</v>
      </c>
      <c r="Z110" s="92">
        <f t="shared" si="22"/>
        <v>0</v>
      </c>
      <c r="AA110" s="92">
        <f t="shared" si="23"/>
        <v>0</v>
      </c>
      <c r="AB110" s="92">
        <f t="shared" si="24"/>
        <v>0</v>
      </c>
      <c r="AC110" s="92">
        <f t="shared" si="25"/>
        <v>0</v>
      </c>
      <c r="AD110" s="92">
        <f t="shared" si="26"/>
        <v>0</v>
      </c>
      <c r="AE110" s="92">
        <f t="shared" si="27"/>
        <v>0</v>
      </c>
      <c r="AF110" s="98"/>
      <c r="AG110" s="99">
        <v>12351724</v>
      </c>
      <c r="AH110" s="99">
        <v>16286926</v>
      </c>
      <c r="AI110" s="99">
        <v>15277544</v>
      </c>
      <c r="AJ110" s="99">
        <v>23375260</v>
      </c>
      <c r="AK110" s="99">
        <v>12771149</v>
      </c>
      <c r="AL110" s="100"/>
      <c r="AM110" s="100"/>
      <c r="AN110" s="100"/>
      <c r="AO110" s="101"/>
    </row>
    <row r="111" spans="1:41" x14ac:dyDescent="0.2">
      <c r="A111" s="76" t="s">
        <v>366</v>
      </c>
      <c r="B111" s="76" t="s">
        <v>17</v>
      </c>
      <c r="C111" s="102" t="s">
        <v>910</v>
      </c>
      <c r="D111" s="103" t="s">
        <v>910</v>
      </c>
      <c r="E111" s="104" t="s">
        <v>911</v>
      </c>
      <c r="F111" s="105">
        <f t="shared" si="14"/>
        <v>0</v>
      </c>
      <c r="G111" s="105">
        <f t="shared" si="15"/>
        <v>0</v>
      </c>
      <c r="H111" s="105">
        <f t="shared" si="16"/>
        <v>1</v>
      </c>
      <c r="I111" s="105">
        <f t="shared" si="17"/>
        <v>0</v>
      </c>
      <c r="J111" s="105">
        <f t="shared" si="18"/>
        <v>0</v>
      </c>
      <c r="K111" s="105">
        <f t="shared" si="19"/>
        <v>0</v>
      </c>
      <c r="L111" s="105">
        <f t="shared" si="20"/>
        <v>0</v>
      </c>
      <c r="M111" s="50" t="s">
        <v>912</v>
      </c>
      <c r="N111" s="50" t="s">
        <v>912</v>
      </c>
      <c r="O111" s="50" t="s">
        <v>911</v>
      </c>
      <c r="P111" s="106" t="s">
        <v>912</v>
      </c>
      <c r="Q111" s="50" t="s">
        <v>912</v>
      </c>
      <c r="R111" s="107" t="s">
        <v>911</v>
      </c>
      <c r="S111" s="50" t="s">
        <v>912</v>
      </c>
      <c r="T111" s="50" t="s">
        <v>912</v>
      </c>
      <c r="U111" s="50" t="s">
        <v>911</v>
      </c>
      <c r="V111" s="106" t="s">
        <v>912</v>
      </c>
      <c r="W111" s="50" t="s">
        <v>912</v>
      </c>
      <c r="X111" s="105" t="s">
        <v>911</v>
      </c>
      <c r="Y111" s="105">
        <f t="shared" si="21"/>
        <v>0</v>
      </c>
      <c r="Z111" s="105">
        <f t="shared" si="22"/>
        <v>0</v>
      </c>
      <c r="AA111" s="105">
        <f t="shared" si="23"/>
        <v>1</v>
      </c>
      <c r="AB111" s="105">
        <f t="shared" si="24"/>
        <v>0</v>
      </c>
      <c r="AC111" s="105">
        <f t="shared" si="25"/>
        <v>0</v>
      </c>
      <c r="AD111" s="105">
        <f t="shared" si="26"/>
        <v>0</v>
      </c>
      <c r="AE111" s="105">
        <f t="shared" si="27"/>
        <v>0</v>
      </c>
      <c r="AF111" s="108"/>
      <c r="AG111" s="109">
        <v>8969170</v>
      </c>
      <c r="AH111" s="109">
        <v>19261807</v>
      </c>
      <c r="AI111" s="109">
        <v>15743413</v>
      </c>
      <c r="AJ111" s="110"/>
      <c r="AK111" s="110"/>
      <c r="AL111" s="110"/>
      <c r="AM111" s="110"/>
      <c r="AN111" s="110"/>
      <c r="AO111" s="111"/>
    </row>
    <row r="112" spans="1:41" x14ac:dyDescent="0.2">
      <c r="A112" s="88" t="s">
        <v>370</v>
      </c>
      <c r="B112" s="88" t="s">
        <v>17</v>
      </c>
      <c r="C112" s="89" t="s">
        <v>910</v>
      </c>
      <c r="D112" s="90" t="s">
        <v>910</v>
      </c>
      <c r="E112" s="91" t="s">
        <v>911</v>
      </c>
      <c r="F112" s="92">
        <f t="shared" si="14"/>
        <v>0</v>
      </c>
      <c r="G112" s="92">
        <f t="shared" si="15"/>
        <v>0</v>
      </c>
      <c r="H112" s="92">
        <f t="shared" si="16"/>
        <v>1</v>
      </c>
      <c r="I112" s="92">
        <f t="shared" si="17"/>
        <v>0</v>
      </c>
      <c r="J112" s="92">
        <f t="shared" si="18"/>
        <v>0</v>
      </c>
      <c r="K112" s="92">
        <f t="shared" si="19"/>
        <v>0</v>
      </c>
      <c r="L112" s="92">
        <f t="shared" si="20"/>
        <v>0</v>
      </c>
      <c r="M112" s="93" t="s">
        <v>910</v>
      </c>
      <c r="N112" s="93" t="s">
        <v>910</v>
      </c>
      <c r="O112" s="93" t="s">
        <v>911</v>
      </c>
      <c r="P112" s="94" t="s">
        <v>912</v>
      </c>
      <c r="Q112" s="93" t="s">
        <v>912</v>
      </c>
      <c r="R112" s="95" t="s">
        <v>912</v>
      </c>
      <c r="S112" s="93" t="s">
        <v>910</v>
      </c>
      <c r="T112" s="93" t="s">
        <v>910</v>
      </c>
      <c r="U112" s="93" t="s">
        <v>911</v>
      </c>
      <c r="V112" s="96" t="s">
        <v>910</v>
      </c>
      <c r="W112" s="97" t="s">
        <v>910</v>
      </c>
      <c r="X112" s="92" t="s">
        <v>911</v>
      </c>
      <c r="Y112" s="92">
        <f t="shared" si="21"/>
        <v>0</v>
      </c>
      <c r="Z112" s="92">
        <f t="shared" si="22"/>
        <v>0</v>
      </c>
      <c r="AA112" s="92">
        <f t="shared" si="23"/>
        <v>1</v>
      </c>
      <c r="AB112" s="92">
        <f t="shared" si="24"/>
        <v>0</v>
      </c>
      <c r="AC112" s="92">
        <f t="shared" si="25"/>
        <v>0</v>
      </c>
      <c r="AD112" s="92">
        <f t="shared" si="26"/>
        <v>0</v>
      </c>
      <c r="AE112" s="92">
        <f t="shared" si="27"/>
        <v>0</v>
      </c>
      <c r="AF112" s="98"/>
      <c r="AG112" s="99">
        <v>18838382</v>
      </c>
      <c r="AH112" s="100"/>
      <c r="AI112" s="100"/>
      <c r="AJ112" s="100"/>
      <c r="AK112" s="100"/>
      <c r="AL112" s="100"/>
      <c r="AM112" s="100"/>
      <c r="AN112" s="100"/>
      <c r="AO112" s="101"/>
    </row>
    <row r="113" spans="1:41" x14ac:dyDescent="0.2">
      <c r="A113" s="76" t="s">
        <v>374</v>
      </c>
      <c r="B113" s="76" t="s">
        <v>17</v>
      </c>
      <c r="C113" s="102" t="s">
        <v>910</v>
      </c>
      <c r="D113" s="103" t="s">
        <v>910</v>
      </c>
      <c r="E113" s="104" t="s">
        <v>911</v>
      </c>
      <c r="F113" s="105">
        <f t="shared" si="14"/>
        <v>0</v>
      </c>
      <c r="G113" s="105">
        <f t="shared" si="15"/>
        <v>0</v>
      </c>
      <c r="H113" s="105">
        <f t="shared" si="16"/>
        <v>1</v>
      </c>
      <c r="I113" s="105">
        <f t="shared" si="17"/>
        <v>0</v>
      </c>
      <c r="J113" s="105">
        <f t="shared" si="18"/>
        <v>0</v>
      </c>
      <c r="K113" s="105">
        <f t="shared" si="19"/>
        <v>0</v>
      </c>
      <c r="L113" s="105">
        <f t="shared" si="20"/>
        <v>0</v>
      </c>
      <c r="M113" s="50" t="s">
        <v>912</v>
      </c>
      <c r="N113" s="50" t="s">
        <v>910</v>
      </c>
      <c r="O113" s="50" t="s">
        <v>911</v>
      </c>
      <c r="P113" s="106" t="s">
        <v>912</v>
      </c>
      <c r="Q113" s="50" t="s">
        <v>912</v>
      </c>
      <c r="R113" s="107" t="s">
        <v>912</v>
      </c>
      <c r="S113" s="50" t="s">
        <v>912</v>
      </c>
      <c r="T113" s="50" t="s">
        <v>910</v>
      </c>
      <c r="U113" s="50" t="s">
        <v>911</v>
      </c>
      <c r="V113" s="106" t="s">
        <v>912</v>
      </c>
      <c r="W113" s="50" t="s">
        <v>910</v>
      </c>
      <c r="X113" s="105" t="s">
        <v>911</v>
      </c>
      <c r="Y113" s="105">
        <f t="shared" si="21"/>
        <v>0</v>
      </c>
      <c r="Z113" s="105">
        <f t="shared" si="22"/>
        <v>0</v>
      </c>
      <c r="AA113" s="105">
        <f t="shared" si="23"/>
        <v>1</v>
      </c>
      <c r="AB113" s="105">
        <f t="shared" si="24"/>
        <v>0</v>
      </c>
      <c r="AC113" s="105">
        <f t="shared" si="25"/>
        <v>0</v>
      </c>
      <c r="AD113" s="105">
        <f t="shared" si="26"/>
        <v>0</v>
      </c>
      <c r="AE113" s="105">
        <f t="shared" si="27"/>
        <v>0</v>
      </c>
      <c r="AF113" s="108"/>
      <c r="AG113" s="109">
        <v>18363964</v>
      </c>
      <c r="AH113" s="110"/>
      <c r="AI113" s="110"/>
      <c r="AJ113" s="110"/>
      <c r="AK113" s="110"/>
      <c r="AL113" s="110"/>
      <c r="AM113" s="110"/>
      <c r="AN113" s="110"/>
      <c r="AO113" s="111"/>
    </row>
    <row r="114" spans="1:41" x14ac:dyDescent="0.2">
      <c r="A114" s="88" t="s">
        <v>378</v>
      </c>
      <c r="B114" s="88" t="s">
        <v>17</v>
      </c>
      <c r="C114" s="89" t="s">
        <v>910</v>
      </c>
      <c r="D114" s="90" t="s">
        <v>910</v>
      </c>
      <c r="E114" s="91" t="s">
        <v>911</v>
      </c>
      <c r="F114" s="92">
        <f t="shared" si="14"/>
        <v>0</v>
      </c>
      <c r="G114" s="92">
        <f t="shared" si="15"/>
        <v>0</v>
      </c>
      <c r="H114" s="92">
        <f t="shared" si="16"/>
        <v>1</v>
      </c>
      <c r="I114" s="92">
        <f t="shared" si="17"/>
        <v>0</v>
      </c>
      <c r="J114" s="92">
        <f t="shared" si="18"/>
        <v>0</v>
      </c>
      <c r="K114" s="92">
        <f t="shared" si="19"/>
        <v>0</v>
      </c>
      <c r="L114" s="92">
        <f t="shared" si="20"/>
        <v>0</v>
      </c>
      <c r="M114" s="93" t="s">
        <v>910</v>
      </c>
      <c r="N114" s="93" t="s">
        <v>910</v>
      </c>
      <c r="O114" s="93" t="s">
        <v>911</v>
      </c>
      <c r="P114" s="94" t="s">
        <v>910</v>
      </c>
      <c r="Q114" s="93" t="s">
        <v>910</v>
      </c>
      <c r="R114" s="95" t="s">
        <v>911</v>
      </c>
      <c r="S114" s="93" t="s">
        <v>912</v>
      </c>
      <c r="T114" s="93" t="s">
        <v>912</v>
      </c>
      <c r="U114" s="93" t="s">
        <v>912</v>
      </c>
      <c r="V114" s="96" t="s">
        <v>910</v>
      </c>
      <c r="W114" s="97" t="s">
        <v>910</v>
      </c>
      <c r="X114" s="92" t="s">
        <v>911</v>
      </c>
      <c r="Y114" s="92">
        <f t="shared" si="21"/>
        <v>0</v>
      </c>
      <c r="Z114" s="92">
        <f t="shared" si="22"/>
        <v>0</v>
      </c>
      <c r="AA114" s="92">
        <f t="shared" si="23"/>
        <v>1</v>
      </c>
      <c r="AB114" s="92">
        <f t="shared" si="24"/>
        <v>0</v>
      </c>
      <c r="AC114" s="92">
        <f t="shared" si="25"/>
        <v>0</v>
      </c>
      <c r="AD114" s="92">
        <f t="shared" si="26"/>
        <v>0</v>
      </c>
      <c r="AE114" s="92">
        <f t="shared" si="27"/>
        <v>0</v>
      </c>
      <c r="AF114" s="98"/>
      <c r="AG114" s="99">
        <v>10464238</v>
      </c>
      <c r="AH114" s="100"/>
      <c r="AI114" s="100"/>
      <c r="AJ114" s="100"/>
      <c r="AK114" s="100"/>
      <c r="AL114" s="100"/>
      <c r="AM114" s="100"/>
      <c r="AN114" s="100"/>
      <c r="AO114" s="101"/>
    </row>
    <row r="115" spans="1:41" x14ac:dyDescent="0.2">
      <c r="A115" s="76" t="s">
        <v>382</v>
      </c>
      <c r="B115" s="76" t="s">
        <v>17</v>
      </c>
      <c r="C115" s="102" t="s">
        <v>910</v>
      </c>
      <c r="D115" s="103" t="s">
        <v>911</v>
      </c>
      <c r="E115" s="104" t="s">
        <v>910</v>
      </c>
      <c r="F115" s="105">
        <f t="shared" si="14"/>
        <v>0</v>
      </c>
      <c r="G115" s="105">
        <f t="shared" si="15"/>
        <v>1</v>
      </c>
      <c r="H115" s="105">
        <f t="shared" si="16"/>
        <v>0</v>
      </c>
      <c r="I115" s="105">
        <f t="shared" si="17"/>
        <v>0</v>
      </c>
      <c r="J115" s="105">
        <f t="shared" si="18"/>
        <v>0</v>
      </c>
      <c r="K115" s="105">
        <f t="shared" si="19"/>
        <v>0</v>
      </c>
      <c r="L115" s="105">
        <f t="shared" si="20"/>
        <v>0</v>
      </c>
      <c r="M115" s="50" t="s">
        <v>910</v>
      </c>
      <c r="N115" s="50" t="s">
        <v>910</v>
      </c>
      <c r="O115" s="50" t="s">
        <v>911</v>
      </c>
      <c r="P115" s="106" t="s">
        <v>912</v>
      </c>
      <c r="Q115" s="50" t="s">
        <v>912</v>
      </c>
      <c r="R115" s="107" t="s">
        <v>912</v>
      </c>
      <c r="S115" s="50" t="s">
        <v>910</v>
      </c>
      <c r="T115" s="50" t="s">
        <v>910</v>
      </c>
      <c r="U115" s="50" t="s">
        <v>911</v>
      </c>
      <c r="V115" s="106" t="s">
        <v>910</v>
      </c>
      <c r="W115" s="50" t="s">
        <v>910</v>
      </c>
      <c r="X115" s="105" t="s">
        <v>911</v>
      </c>
      <c r="Y115" s="105">
        <f t="shared" si="21"/>
        <v>0</v>
      </c>
      <c r="Z115" s="105">
        <f t="shared" si="22"/>
        <v>0</v>
      </c>
      <c r="AA115" s="105">
        <f t="shared" si="23"/>
        <v>1</v>
      </c>
      <c r="AB115" s="105">
        <f t="shared" si="24"/>
        <v>0</v>
      </c>
      <c r="AC115" s="105">
        <f t="shared" si="25"/>
        <v>0</v>
      </c>
      <c r="AD115" s="105">
        <f t="shared" si="26"/>
        <v>0</v>
      </c>
      <c r="AE115" s="105">
        <f t="shared" si="27"/>
        <v>0</v>
      </c>
      <c r="AF115" s="108"/>
      <c r="AG115" s="109">
        <v>22328776</v>
      </c>
      <c r="AH115" s="109">
        <v>22661514</v>
      </c>
      <c r="AI115" s="110"/>
      <c r="AJ115" s="110"/>
      <c r="AK115" s="110"/>
      <c r="AL115" s="110"/>
      <c r="AM115" s="110"/>
      <c r="AN115" s="110"/>
      <c r="AO115" s="111"/>
    </row>
    <row r="116" spans="1:41" x14ac:dyDescent="0.2">
      <c r="A116" s="88" t="s">
        <v>386</v>
      </c>
      <c r="B116" s="88" t="s">
        <v>17</v>
      </c>
      <c r="C116" s="89" t="s">
        <v>910</v>
      </c>
      <c r="D116" s="90" t="s">
        <v>910</v>
      </c>
      <c r="E116" s="91" t="s">
        <v>910</v>
      </c>
      <c r="F116" s="92">
        <f t="shared" si="14"/>
        <v>0</v>
      </c>
      <c r="G116" s="92">
        <f t="shared" si="15"/>
        <v>0</v>
      </c>
      <c r="H116" s="92">
        <f t="shared" si="16"/>
        <v>0</v>
      </c>
      <c r="I116" s="92">
        <f t="shared" si="17"/>
        <v>0</v>
      </c>
      <c r="J116" s="92">
        <f t="shared" si="18"/>
        <v>0</v>
      </c>
      <c r="K116" s="92">
        <f t="shared" si="19"/>
        <v>0</v>
      </c>
      <c r="L116" s="92">
        <f t="shared" si="20"/>
        <v>0</v>
      </c>
      <c r="M116" s="93" t="s">
        <v>912</v>
      </c>
      <c r="N116" s="93" t="s">
        <v>912</v>
      </c>
      <c r="O116" s="93" t="s">
        <v>911</v>
      </c>
      <c r="P116" s="94" t="s">
        <v>912</v>
      </c>
      <c r="Q116" s="93" t="s">
        <v>912</v>
      </c>
      <c r="R116" s="95" t="s">
        <v>912</v>
      </c>
      <c r="S116" s="93" t="s">
        <v>912</v>
      </c>
      <c r="T116" s="93" t="s">
        <v>912</v>
      </c>
      <c r="U116" s="93" t="s">
        <v>911</v>
      </c>
      <c r="V116" s="96" t="s">
        <v>912</v>
      </c>
      <c r="W116" s="97" t="s">
        <v>912</v>
      </c>
      <c r="X116" s="92" t="s">
        <v>911</v>
      </c>
      <c r="Y116" s="92">
        <f t="shared" si="21"/>
        <v>0</v>
      </c>
      <c r="Z116" s="92">
        <f t="shared" si="22"/>
        <v>0</v>
      </c>
      <c r="AA116" s="92">
        <f t="shared" si="23"/>
        <v>1</v>
      </c>
      <c r="AB116" s="92">
        <f t="shared" si="24"/>
        <v>0</v>
      </c>
      <c r="AC116" s="92">
        <f t="shared" si="25"/>
        <v>0</v>
      </c>
      <c r="AD116" s="92">
        <f t="shared" si="26"/>
        <v>0</v>
      </c>
      <c r="AE116" s="92">
        <f t="shared" si="27"/>
        <v>0</v>
      </c>
      <c r="AF116" s="98"/>
      <c r="AG116" s="99">
        <v>24821726</v>
      </c>
      <c r="AH116" s="100"/>
      <c r="AI116" s="100"/>
      <c r="AJ116" s="100"/>
      <c r="AK116" s="100"/>
      <c r="AL116" s="100"/>
      <c r="AM116" s="100"/>
      <c r="AN116" s="100"/>
      <c r="AO116" s="101"/>
    </row>
    <row r="117" spans="1:41" x14ac:dyDescent="0.2">
      <c r="A117" s="76" t="s">
        <v>401</v>
      </c>
      <c r="B117" s="76" t="s">
        <v>17</v>
      </c>
      <c r="C117" s="102" t="s">
        <v>910</v>
      </c>
      <c r="D117" s="103" t="s">
        <v>910</v>
      </c>
      <c r="E117" s="104" t="s">
        <v>910</v>
      </c>
      <c r="F117" s="105">
        <f t="shared" si="14"/>
        <v>0</v>
      </c>
      <c r="G117" s="105">
        <f t="shared" si="15"/>
        <v>0</v>
      </c>
      <c r="H117" s="105">
        <f t="shared" si="16"/>
        <v>0</v>
      </c>
      <c r="I117" s="105">
        <f t="shared" si="17"/>
        <v>0</v>
      </c>
      <c r="J117" s="105">
        <f t="shared" si="18"/>
        <v>0</v>
      </c>
      <c r="K117" s="105">
        <f t="shared" si="19"/>
        <v>0</v>
      </c>
      <c r="L117" s="105">
        <f t="shared" si="20"/>
        <v>0</v>
      </c>
      <c r="M117" s="50" t="s">
        <v>910</v>
      </c>
      <c r="N117" s="50" t="s">
        <v>910</v>
      </c>
      <c r="O117" s="50" t="s">
        <v>911</v>
      </c>
      <c r="P117" s="106" t="s">
        <v>910</v>
      </c>
      <c r="Q117" s="50" t="s">
        <v>910</v>
      </c>
      <c r="R117" s="107" t="s">
        <v>911</v>
      </c>
      <c r="S117" s="50" t="s">
        <v>912</v>
      </c>
      <c r="T117" s="50" t="s">
        <v>912</v>
      </c>
      <c r="U117" s="50" t="s">
        <v>911</v>
      </c>
      <c r="V117" s="106" t="s">
        <v>910</v>
      </c>
      <c r="W117" s="50" t="s">
        <v>910</v>
      </c>
      <c r="X117" s="105" t="s">
        <v>911</v>
      </c>
      <c r="Y117" s="105">
        <f t="shared" si="21"/>
        <v>0</v>
      </c>
      <c r="Z117" s="105">
        <f t="shared" si="22"/>
        <v>0</v>
      </c>
      <c r="AA117" s="105">
        <f t="shared" si="23"/>
        <v>1</v>
      </c>
      <c r="AB117" s="105">
        <f t="shared" si="24"/>
        <v>0</v>
      </c>
      <c r="AC117" s="105">
        <f t="shared" si="25"/>
        <v>0</v>
      </c>
      <c r="AD117" s="105">
        <f t="shared" si="26"/>
        <v>0</v>
      </c>
      <c r="AE117" s="105">
        <f t="shared" si="27"/>
        <v>0</v>
      </c>
      <c r="AF117" s="108" t="s">
        <v>929</v>
      </c>
      <c r="AG117" s="109">
        <v>11584276</v>
      </c>
      <c r="AH117" s="109">
        <v>20842712</v>
      </c>
      <c r="AI117" s="109">
        <v>19356586</v>
      </c>
      <c r="AJ117" s="109">
        <v>12006984</v>
      </c>
      <c r="AK117" s="109">
        <v>16394100</v>
      </c>
      <c r="AL117" s="109">
        <v>12389031</v>
      </c>
      <c r="AM117" s="109">
        <v>23255595</v>
      </c>
      <c r="AN117" s="110"/>
      <c r="AO117" s="111"/>
    </row>
    <row r="118" spans="1:41" x14ac:dyDescent="0.2">
      <c r="A118" s="88" t="s">
        <v>405</v>
      </c>
      <c r="B118" s="88" t="s">
        <v>17</v>
      </c>
      <c r="C118" s="89" t="s">
        <v>910</v>
      </c>
      <c r="D118" s="90" t="s">
        <v>910</v>
      </c>
      <c r="E118" s="91" t="s">
        <v>910</v>
      </c>
      <c r="F118" s="92">
        <f t="shared" si="14"/>
        <v>0</v>
      </c>
      <c r="G118" s="92">
        <f t="shared" si="15"/>
        <v>0</v>
      </c>
      <c r="H118" s="92">
        <f t="shared" si="16"/>
        <v>0</v>
      </c>
      <c r="I118" s="92">
        <f t="shared" si="17"/>
        <v>0</v>
      </c>
      <c r="J118" s="92">
        <f t="shared" si="18"/>
        <v>0</v>
      </c>
      <c r="K118" s="92">
        <f t="shared" si="19"/>
        <v>0</v>
      </c>
      <c r="L118" s="92">
        <f t="shared" si="20"/>
        <v>0</v>
      </c>
      <c r="M118" s="93" t="s">
        <v>910</v>
      </c>
      <c r="N118" s="93" t="s">
        <v>910</v>
      </c>
      <c r="O118" s="93" t="s">
        <v>911</v>
      </c>
      <c r="P118" s="94" t="s">
        <v>912</v>
      </c>
      <c r="Q118" s="93" t="s">
        <v>912</v>
      </c>
      <c r="R118" s="95" t="s">
        <v>912</v>
      </c>
      <c r="S118" s="93" t="s">
        <v>910</v>
      </c>
      <c r="T118" s="93" t="s">
        <v>910</v>
      </c>
      <c r="U118" s="93" t="s">
        <v>911</v>
      </c>
      <c r="V118" s="96" t="s">
        <v>910</v>
      </c>
      <c r="W118" s="97" t="s">
        <v>910</v>
      </c>
      <c r="X118" s="92" t="s">
        <v>911</v>
      </c>
      <c r="Y118" s="92">
        <f t="shared" si="21"/>
        <v>0</v>
      </c>
      <c r="Z118" s="92">
        <f t="shared" si="22"/>
        <v>0</v>
      </c>
      <c r="AA118" s="92">
        <f t="shared" si="23"/>
        <v>1</v>
      </c>
      <c r="AB118" s="92">
        <f t="shared" si="24"/>
        <v>0</v>
      </c>
      <c r="AC118" s="92">
        <f t="shared" si="25"/>
        <v>0</v>
      </c>
      <c r="AD118" s="92">
        <f t="shared" si="26"/>
        <v>0</v>
      </c>
      <c r="AE118" s="92">
        <f t="shared" si="27"/>
        <v>0</v>
      </c>
      <c r="AF118" s="98"/>
      <c r="AG118" s="99">
        <v>11748279</v>
      </c>
      <c r="AH118" s="99">
        <v>19622753</v>
      </c>
      <c r="AI118" s="99">
        <v>20479469</v>
      </c>
      <c r="AJ118" s="99">
        <v>12192056</v>
      </c>
      <c r="AK118" s="100"/>
      <c r="AL118" s="100"/>
      <c r="AM118" s="100"/>
      <c r="AN118" s="100"/>
      <c r="AO118" s="101"/>
    </row>
    <row r="119" spans="1:41" x14ac:dyDescent="0.2">
      <c r="A119" s="76" t="s">
        <v>409</v>
      </c>
      <c r="B119" s="76" t="s">
        <v>930</v>
      </c>
      <c r="C119" s="102" t="s">
        <v>910</v>
      </c>
      <c r="D119" s="103" t="s">
        <v>910</v>
      </c>
      <c r="E119" s="104" t="s">
        <v>910</v>
      </c>
      <c r="F119" s="105">
        <f t="shared" si="14"/>
        <v>0</v>
      </c>
      <c r="G119" s="105">
        <f t="shared" si="15"/>
        <v>0</v>
      </c>
      <c r="H119" s="105">
        <f t="shared" si="16"/>
        <v>0</v>
      </c>
      <c r="I119" s="105">
        <f t="shared" si="17"/>
        <v>0</v>
      </c>
      <c r="J119" s="105">
        <f t="shared" si="18"/>
        <v>0</v>
      </c>
      <c r="K119" s="105">
        <f t="shared" si="19"/>
        <v>0</v>
      </c>
      <c r="L119" s="105">
        <f t="shared" si="20"/>
        <v>0</v>
      </c>
      <c r="M119" s="50" t="s">
        <v>912</v>
      </c>
      <c r="N119" s="50" t="s">
        <v>912</v>
      </c>
      <c r="O119" s="50" t="s">
        <v>912</v>
      </c>
      <c r="P119" s="106" t="s">
        <v>912</v>
      </c>
      <c r="Q119" s="50" t="s">
        <v>912</v>
      </c>
      <c r="R119" s="107" t="s">
        <v>912</v>
      </c>
      <c r="S119" s="50" t="s">
        <v>912</v>
      </c>
      <c r="T119" s="50" t="s">
        <v>912</v>
      </c>
      <c r="U119" s="50" t="s">
        <v>912</v>
      </c>
      <c r="V119" s="106" t="s">
        <v>912</v>
      </c>
      <c r="W119" s="50" t="s">
        <v>912</v>
      </c>
      <c r="X119" s="105" t="s">
        <v>912</v>
      </c>
      <c r="Y119" s="105">
        <f t="shared" si="21"/>
        <v>0</v>
      </c>
      <c r="Z119" s="105">
        <f t="shared" si="22"/>
        <v>0</v>
      </c>
      <c r="AA119" s="105">
        <f t="shared" si="23"/>
        <v>0</v>
      </c>
      <c r="AB119" s="105">
        <f t="shared" si="24"/>
        <v>0</v>
      </c>
      <c r="AC119" s="105">
        <f t="shared" si="25"/>
        <v>0</v>
      </c>
      <c r="AD119" s="105">
        <f t="shared" si="26"/>
        <v>0</v>
      </c>
      <c r="AE119" s="105">
        <f t="shared" si="27"/>
        <v>0</v>
      </c>
      <c r="AF119" s="108"/>
      <c r="AG119" s="110"/>
      <c r="AH119" s="110"/>
      <c r="AI119" s="110"/>
      <c r="AJ119" s="110"/>
      <c r="AK119" s="110"/>
      <c r="AL119" s="110"/>
      <c r="AM119" s="110"/>
      <c r="AN119" s="110"/>
      <c r="AO119" s="111"/>
    </row>
    <row r="120" spans="1:41" x14ac:dyDescent="0.2">
      <c r="A120" s="76" t="s">
        <v>409</v>
      </c>
      <c r="B120" s="76" t="s">
        <v>931</v>
      </c>
      <c r="C120" s="102"/>
      <c r="D120" s="103"/>
      <c r="E120" s="104"/>
      <c r="F120" s="105">
        <f t="shared" si="14"/>
        <v>0</v>
      </c>
      <c r="G120" s="105">
        <f t="shared" si="15"/>
        <v>0</v>
      </c>
      <c r="H120" s="105">
        <f t="shared" si="16"/>
        <v>0</v>
      </c>
      <c r="I120" s="105">
        <f t="shared" si="17"/>
        <v>0</v>
      </c>
      <c r="J120" s="105">
        <f t="shared" si="18"/>
        <v>0</v>
      </c>
      <c r="K120" s="105">
        <f t="shared" si="19"/>
        <v>0</v>
      </c>
      <c r="L120" s="105">
        <f t="shared" si="20"/>
        <v>0</v>
      </c>
      <c r="M120" s="50" t="s">
        <v>912</v>
      </c>
      <c r="N120" s="50" t="s">
        <v>911</v>
      </c>
      <c r="O120" s="50" t="s">
        <v>910</v>
      </c>
      <c r="P120" s="106" t="s">
        <v>912</v>
      </c>
      <c r="Q120" s="50" t="s">
        <v>911</v>
      </c>
      <c r="R120" s="107" t="s">
        <v>912</v>
      </c>
      <c r="S120" s="50" t="s">
        <v>912</v>
      </c>
      <c r="T120" s="50" t="s">
        <v>911</v>
      </c>
      <c r="U120" s="50" t="s">
        <v>910</v>
      </c>
      <c r="V120" s="106" t="s">
        <v>912</v>
      </c>
      <c r="W120" s="50" t="s">
        <v>911</v>
      </c>
      <c r="X120" s="105" t="s">
        <v>910</v>
      </c>
      <c r="Y120" s="105">
        <f t="shared" si="21"/>
        <v>0</v>
      </c>
      <c r="Z120" s="105">
        <f t="shared" si="22"/>
        <v>1</v>
      </c>
      <c r="AA120" s="105">
        <f t="shared" si="23"/>
        <v>0</v>
      </c>
      <c r="AB120" s="105">
        <f t="shared" si="24"/>
        <v>0</v>
      </c>
      <c r="AC120" s="105">
        <f t="shared" si="25"/>
        <v>0</v>
      </c>
      <c r="AD120" s="105">
        <f t="shared" si="26"/>
        <v>0</v>
      </c>
      <c r="AE120" s="105">
        <f t="shared" si="27"/>
        <v>0</v>
      </c>
      <c r="AF120" s="108"/>
      <c r="AG120" s="109">
        <v>11606631</v>
      </c>
      <c r="AH120" s="109">
        <v>10692441</v>
      </c>
      <c r="AI120" s="109">
        <v>15950621</v>
      </c>
      <c r="AJ120" s="109">
        <v>17640372</v>
      </c>
      <c r="AK120" s="110"/>
      <c r="AL120" s="110"/>
      <c r="AM120" s="110"/>
      <c r="AN120" s="110"/>
      <c r="AO120" s="111"/>
    </row>
    <row r="121" spans="1:41" x14ac:dyDescent="0.2">
      <c r="A121" s="76" t="s">
        <v>409</v>
      </c>
      <c r="B121" s="76" t="s">
        <v>932</v>
      </c>
      <c r="C121" s="102"/>
      <c r="D121" s="103"/>
      <c r="E121" s="104"/>
      <c r="F121" s="105">
        <f t="shared" si="14"/>
        <v>0</v>
      </c>
      <c r="G121" s="105">
        <f t="shared" si="15"/>
        <v>0</v>
      </c>
      <c r="H121" s="105">
        <f t="shared" si="16"/>
        <v>0</v>
      </c>
      <c r="I121" s="105">
        <f t="shared" si="17"/>
        <v>0</v>
      </c>
      <c r="J121" s="105">
        <f t="shared" si="18"/>
        <v>0</v>
      </c>
      <c r="K121" s="105">
        <f t="shared" si="19"/>
        <v>0</v>
      </c>
      <c r="L121" s="105">
        <f t="shared" si="20"/>
        <v>0</v>
      </c>
      <c r="M121" s="50" t="s">
        <v>912</v>
      </c>
      <c r="N121" s="50" t="s">
        <v>910</v>
      </c>
      <c r="O121" s="50" t="s">
        <v>910</v>
      </c>
      <c r="P121" s="106" t="s">
        <v>912</v>
      </c>
      <c r="Q121" s="50" t="s">
        <v>912</v>
      </c>
      <c r="R121" s="107" t="s">
        <v>912</v>
      </c>
      <c r="S121" s="50" t="s">
        <v>912</v>
      </c>
      <c r="T121" s="50" t="s">
        <v>912</v>
      </c>
      <c r="U121" s="50" t="s">
        <v>912</v>
      </c>
      <c r="V121" s="106" t="s">
        <v>912</v>
      </c>
      <c r="W121" s="50" t="s">
        <v>912</v>
      </c>
      <c r="X121" s="105" t="s">
        <v>912</v>
      </c>
      <c r="Y121" s="105">
        <f t="shared" si="21"/>
        <v>0</v>
      </c>
      <c r="Z121" s="105">
        <f t="shared" si="22"/>
        <v>0</v>
      </c>
      <c r="AA121" s="105">
        <f t="shared" si="23"/>
        <v>0</v>
      </c>
      <c r="AB121" s="105">
        <f t="shared" si="24"/>
        <v>0</v>
      </c>
      <c r="AC121" s="105">
        <f t="shared" si="25"/>
        <v>0</v>
      </c>
      <c r="AD121" s="105">
        <f t="shared" si="26"/>
        <v>0</v>
      </c>
      <c r="AE121" s="105">
        <f t="shared" si="27"/>
        <v>0</v>
      </c>
      <c r="AF121" s="108"/>
      <c r="AG121" s="109">
        <v>11606631</v>
      </c>
      <c r="AH121" s="109">
        <v>15950621</v>
      </c>
      <c r="AI121" s="110"/>
      <c r="AJ121" s="110"/>
      <c r="AK121" s="110"/>
      <c r="AL121" s="110"/>
      <c r="AM121" s="110"/>
      <c r="AN121" s="110"/>
      <c r="AO121" s="111"/>
    </row>
    <row r="122" spans="1:41" x14ac:dyDescent="0.2">
      <c r="A122" s="88" t="s">
        <v>414</v>
      </c>
      <c r="B122" s="88" t="s">
        <v>17</v>
      </c>
      <c r="C122" s="89" t="s">
        <v>911</v>
      </c>
      <c r="D122" s="90" t="s">
        <v>911</v>
      </c>
      <c r="E122" s="91" t="s">
        <v>911</v>
      </c>
      <c r="F122" s="92">
        <f t="shared" si="14"/>
        <v>0</v>
      </c>
      <c r="G122" s="92">
        <f t="shared" si="15"/>
        <v>0</v>
      </c>
      <c r="H122" s="92">
        <f t="shared" si="16"/>
        <v>0</v>
      </c>
      <c r="I122" s="92">
        <f t="shared" si="17"/>
        <v>0</v>
      </c>
      <c r="J122" s="92">
        <f t="shared" si="18"/>
        <v>0</v>
      </c>
      <c r="K122" s="92">
        <f t="shared" si="19"/>
        <v>0</v>
      </c>
      <c r="L122" s="92">
        <f t="shared" si="20"/>
        <v>1</v>
      </c>
      <c r="M122" s="93" t="s">
        <v>911</v>
      </c>
      <c r="N122" s="93" t="s">
        <v>914</v>
      </c>
      <c r="O122" s="93" t="s">
        <v>911</v>
      </c>
      <c r="P122" s="94" t="s">
        <v>911</v>
      </c>
      <c r="Q122" s="93" t="s">
        <v>914</v>
      </c>
      <c r="R122" s="95" t="s">
        <v>911</v>
      </c>
      <c r="S122" s="93" t="s">
        <v>911</v>
      </c>
      <c r="T122" s="93" t="s">
        <v>912</v>
      </c>
      <c r="U122" s="93" t="s">
        <v>911</v>
      </c>
      <c r="V122" s="96" t="s">
        <v>911</v>
      </c>
      <c r="W122" s="97" t="s">
        <v>914</v>
      </c>
      <c r="X122" s="92" t="s">
        <v>911</v>
      </c>
      <c r="Y122" s="92">
        <f t="shared" si="21"/>
        <v>0</v>
      </c>
      <c r="Z122" s="92">
        <f t="shared" si="22"/>
        <v>0</v>
      </c>
      <c r="AA122" s="92">
        <f t="shared" si="23"/>
        <v>0</v>
      </c>
      <c r="AB122" s="92">
        <f t="shared" si="24"/>
        <v>0</v>
      </c>
      <c r="AC122" s="92">
        <f t="shared" si="25"/>
        <v>1</v>
      </c>
      <c r="AD122" s="92">
        <f t="shared" si="26"/>
        <v>0</v>
      </c>
      <c r="AE122" s="92">
        <f t="shared" si="27"/>
        <v>0</v>
      </c>
      <c r="AF122" s="98" t="s">
        <v>933</v>
      </c>
      <c r="AG122" s="99">
        <v>8297393</v>
      </c>
      <c r="AH122" s="99">
        <v>11907027</v>
      </c>
      <c r="AI122" s="99">
        <v>7721814</v>
      </c>
      <c r="AJ122" s="99">
        <v>1956381</v>
      </c>
      <c r="AK122" s="99">
        <v>12445822</v>
      </c>
      <c r="AL122" s="99">
        <v>11062019</v>
      </c>
      <c r="AM122" s="99">
        <v>23255595</v>
      </c>
      <c r="AN122" s="100"/>
      <c r="AO122" s="101"/>
    </row>
    <row r="123" spans="1:41" x14ac:dyDescent="0.2">
      <c r="A123" s="76" t="s">
        <v>418</v>
      </c>
      <c r="B123" s="76" t="s">
        <v>17</v>
      </c>
      <c r="C123" s="102" t="s">
        <v>911</v>
      </c>
      <c r="D123" s="103" t="s">
        <v>910</v>
      </c>
      <c r="E123" s="104" t="s">
        <v>911</v>
      </c>
      <c r="F123" s="105">
        <f t="shared" si="14"/>
        <v>0</v>
      </c>
      <c r="G123" s="105">
        <f t="shared" si="15"/>
        <v>0</v>
      </c>
      <c r="H123" s="105">
        <f t="shared" si="16"/>
        <v>0</v>
      </c>
      <c r="I123" s="105">
        <f t="shared" si="17"/>
        <v>0</v>
      </c>
      <c r="J123" s="105">
        <f t="shared" si="18"/>
        <v>1</v>
      </c>
      <c r="K123" s="105">
        <f t="shared" si="19"/>
        <v>0</v>
      </c>
      <c r="L123" s="105">
        <f t="shared" si="20"/>
        <v>0</v>
      </c>
      <c r="M123" s="50" t="s">
        <v>911</v>
      </c>
      <c r="N123" s="50" t="s">
        <v>914</v>
      </c>
      <c r="O123" s="50" t="s">
        <v>911</v>
      </c>
      <c r="P123" s="106" t="s">
        <v>911</v>
      </c>
      <c r="Q123" s="50" t="s">
        <v>910</v>
      </c>
      <c r="R123" s="107" t="s">
        <v>911</v>
      </c>
      <c r="S123" s="50" t="s">
        <v>911</v>
      </c>
      <c r="T123" s="50" t="s">
        <v>911</v>
      </c>
      <c r="U123" s="50" t="s">
        <v>911</v>
      </c>
      <c r="V123" s="106" t="s">
        <v>911</v>
      </c>
      <c r="W123" s="50" t="s">
        <v>914</v>
      </c>
      <c r="X123" s="105" t="s">
        <v>911</v>
      </c>
      <c r="Y123" s="105">
        <f t="shared" si="21"/>
        <v>0</v>
      </c>
      <c r="Z123" s="105">
        <f t="shared" si="22"/>
        <v>0</v>
      </c>
      <c r="AA123" s="105">
        <f t="shared" si="23"/>
        <v>0</v>
      </c>
      <c r="AB123" s="105">
        <f t="shared" si="24"/>
        <v>0</v>
      </c>
      <c r="AC123" s="105">
        <f t="shared" si="25"/>
        <v>1</v>
      </c>
      <c r="AD123" s="105">
        <f t="shared" si="26"/>
        <v>0</v>
      </c>
      <c r="AE123" s="105">
        <f t="shared" si="27"/>
        <v>0</v>
      </c>
      <c r="AF123" s="108" t="s">
        <v>934</v>
      </c>
      <c r="AG123" s="109">
        <v>7957046</v>
      </c>
      <c r="AH123" s="109">
        <v>10523665</v>
      </c>
      <c r="AI123" s="109">
        <v>12192056</v>
      </c>
      <c r="AJ123" s="109">
        <v>17562712</v>
      </c>
      <c r="AK123" s="109">
        <v>14701795</v>
      </c>
      <c r="AL123" s="109">
        <v>12215546</v>
      </c>
      <c r="AM123" s="109">
        <v>12006984</v>
      </c>
      <c r="AN123" s="109">
        <v>23255595</v>
      </c>
      <c r="AO123" s="113"/>
    </row>
    <row r="124" spans="1:41" x14ac:dyDescent="0.2">
      <c r="A124" s="88" t="s">
        <v>422</v>
      </c>
      <c r="B124" s="88" t="s">
        <v>17</v>
      </c>
      <c r="C124" s="89" t="s">
        <v>910</v>
      </c>
      <c r="D124" s="90" t="s">
        <v>910</v>
      </c>
      <c r="E124" s="91" t="s">
        <v>910</v>
      </c>
      <c r="F124" s="92">
        <f t="shared" si="14"/>
        <v>0</v>
      </c>
      <c r="G124" s="92">
        <f t="shared" si="15"/>
        <v>0</v>
      </c>
      <c r="H124" s="92">
        <f t="shared" si="16"/>
        <v>0</v>
      </c>
      <c r="I124" s="92">
        <f t="shared" si="17"/>
        <v>0</v>
      </c>
      <c r="J124" s="92">
        <f t="shared" si="18"/>
        <v>0</v>
      </c>
      <c r="K124" s="92">
        <f t="shared" si="19"/>
        <v>0</v>
      </c>
      <c r="L124" s="92">
        <f t="shared" si="20"/>
        <v>0</v>
      </c>
      <c r="M124" s="93" t="s">
        <v>912</v>
      </c>
      <c r="N124" s="93" t="s">
        <v>912</v>
      </c>
      <c r="O124" s="93" t="s">
        <v>912</v>
      </c>
      <c r="P124" s="94" t="s">
        <v>912</v>
      </c>
      <c r="Q124" s="93" t="s">
        <v>912</v>
      </c>
      <c r="R124" s="95" t="s">
        <v>912</v>
      </c>
      <c r="S124" s="93" t="s">
        <v>912</v>
      </c>
      <c r="T124" s="93" t="s">
        <v>912</v>
      </c>
      <c r="U124" s="93" t="s">
        <v>912</v>
      </c>
      <c r="V124" s="96" t="s">
        <v>912</v>
      </c>
      <c r="W124" s="97" t="s">
        <v>912</v>
      </c>
      <c r="X124" s="92" t="s">
        <v>912</v>
      </c>
      <c r="Y124" s="92">
        <f t="shared" si="21"/>
        <v>0</v>
      </c>
      <c r="Z124" s="92">
        <f t="shared" si="22"/>
        <v>0</v>
      </c>
      <c r="AA124" s="92">
        <f t="shared" si="23"/>
        <v>0</v>
      </c>
      <c r="AB124" s="92">
        <f t="shared" si="24"/>
        <v>0</v>
      </c>
      <c r="AC124" s="92">
        <f t="shared" si="25"/>
        <v>0</v>
      </c>
      <c r="AD124" s="92">
        <f t="shared" si="26"/>
        <v>0</v>
      </c>
      <c r="AE124" s="92">
        <f t="shared" si="27"/>
        <v>0</v>
      </c>
      <c r="AF124" s="98"/>
      <c r="AG124" s="100"/>
      <c r="AH124" s="100"/>
      <c r="AI124" s="100"/>
      <c r="AJ124" s="100"/>
      <c r="AK124" s="100"/>
      <c r="AL124" s="100"/>
      <c r="AM124" s="100"/>
      <c r="AN124" s="100"/>
      <c r="AO124" s="101"/>
    </row>
    <row r="125" spans="1:41" x14ac:dyDescent="0.2">
      <c r="A125" s="76" t="s">
        <v>434</v>
      </c>
      <c r="B125" s="76" t="s">
        <v>17</v>
      </c>
      <c r="C125" s="102" t="s">
        <v>911</v>
      </c>
      <c r="D125" s="103" t="s">
        <v>910</v>
      </c>
      <c r="E125" s="104" t="s">
        <v>910</v>
      </c>
      <c r="F125" s="105">
        <f t="shared" si="14"/>
        <v>1</v>
      </c>
      <c r="G125" s="105">
        <f t="shared" si="15"/>
        <v>0</v>
      </c>
      <c r="H125" s="105">
        <f t="shared" si="16"/>
        <v>0</v>
      </c>
      <c r="I125" s="105">
        <f t="shared" si="17"/>
        <v>0</v>
      </c>
      <c r="J125" s="105">
        <f t="shared" si="18"/>
        <v>0</v>
      </c>
      <c r="K125" s="105">
        <f t="shared" si="19"/>
        <v>0</v>
      </c>
      <c r="L125" s="105">
        <f t="shared" si="20"/>
        <v>0</v>
      </c>
      <c r="M125" s="50" t="s">
        <v>911</v>
      </c>
      <c r="N125" s="50" t="s">
        <v>910</v>
      </c>
      <c r="O125" s="50" t="s">
        <v>910</v>
      </c>
      <c r="P125" s="106" t="s">
        <v>911</v>
      </c>
      <c r="Q125" s="50" t="s">
        <v>910</v>
      </c>
      <c r="R125" s="107" t="s">
        <v>910</v>
      </c>
      <c r="S125" s="50" t="s">
        <v>911</v>
      </c>
      <c r="T125" s="50" t="s">
        <v>912</v>
      </c>
      <c r="U125" s="50" t="s">
        <v>912</v>
      </c>
      <c r="V125" s="106" t="s">
        <v>911</v>
      </c>
      <c r="W125" s="50" t="s">
        <v>910</v>
      </c>
      <c r="X125" s="105" t="s">
        <v>910</v>
      </c>
      <c r="Y125" s="105">
        <f t="shared" si="21"/>
        <v>1</v>
      </c>
      <c r="Z125" s="105">
        <f t="shared" si="22"/>
        <v>0</v>
      </c>
      <c r="AA125" s="105">
        <f t="shared" si="23"/>
        <v>0</v>
      </c>
      <c r="AB125" s="105">
        <f t="shared" si="24"/>
        <v>0</v>
      </c>
      <c r="AC125" s="105">
        <f t="shared" si="25"/>
        <v>0</v>
      </c>
      <c r="AD125" s="105">
        <f t="shared" si="26"/>
        <v>0</v>
      </c>
      <c r="AE125" s="105">
        <f t="shared" si="27"/>
        <v>0</v>
      </c>
      <c r="AF125" s="108"/>
      <c r="AG125" s="109">
        <v>9670022</v>
      </c>
      <c r="AH125" s="109">
        <v>15611121</v>
      </c>
      <c r="AI125" s="109">
        <v>17938206</v>
      </c>
      <c r="AJ125" s="109">
        <v>15684429</v>
      </c>
      <c r="AK125" s="110"/>
      <c r="AL125" s="110"/>
      <c r="AM125" s="110"/>
      <c r="AN125" s="110"/>
      <c r="AO125" s="111"/>
    </row>
    <row r="126" spans="1:41" x14ac:dyDescent="0.2">
      <c r="A126" s="88" t="s">
        <v>438</v>
      </c>
      <c r="B126" s="88" t="s">
        <v>17</v>
      </c>
      <c r="C126" s="89" t="s">
        <v>911</v>
      </c>
      <c r="D126" s="90" t="s">
        <v>910</v>
      </c>
      <c r="E126" s="91" t="s">
        <v>910</v>
      </c>
      <c r="F126" s="92">
        <f t="shared" si="14"/>
        <v>1</v>
      </c>
      <c r="G126" s="92">
        <f t="shared" si="15"/>
        <v>0</v>
      </c>
      <c r="H126" s="92">
        <f t="shared" si="16"/>
        <v>0</v>
      </c>
      <c r="I126" s="92">
        <f t="shared" si="17"/>
        <v>0</v>
      </c>
      <c r="J126" s="92">
        <f t="shared" si="18"/>
        <v>0</v>
      </c>
      <c r="K126" s="92">
        <f t="shared" si="19"/>
        <v>0</v>
      </c>
      <c r="L126" s="92">
        <f t="shared" si="20"/>
        <v>0</v>
      </c>
      <c r="M126" s="93" t="s">
        <v>911</v>
      </c>
      <c r="N126" s="93" t="s">
        <v>911</v>
      </c>
      <c r="O126" s="93" t="s">
        <v>911</v>
      </c>
      <c r="P126" s="94" t="s">
        <v>912</v>
      </c>
      <c r="Q126" s="93" t="s">
        <v>912</v>
      </c>
      <c r="R126" s="95" t="s">
        <v>912</v>
      </c>
      <c r="S126" s="93" t="s">
        <v>911</v>
      </c>
      <c r="T126" s="93" t="s">
        <v>911</v>
      </c>
      <c r="U126" s="93" t="s">
        <v>911</v>
      </c>
      <c r="V126" s="96" t="s">
        <v>911</v>
      </c>
      <c r="W126" s="97" t="s">
        <v>911</v>
      </c>
      <c r="X126" s="92" t="s">
        <v>911</v>
      </c>
      <c r="Y126" s="92">
        <f t="shared" si="21"/>
        <v>0</v>
      </c>
      <c r="Z126" s="92">
        <f t="shared" si="22"/>
        <v>0</v>
      </c>
      <c r="AA126" s="92">
        <f t="shared" si="23"/>
        <v>0</v>
      </c>
      <c r="AB126" s="92">
        <f t="shared" si="24"/>
        <v>0</v>
      </c>
      <c r="AC126" s="92">
        <f t="shared" si="25"/>
        <v>0</v>
      </c>
      <c r="AD126" s="92">
        <f t="shared" si="26"/>
        <v>0</v>
      </c>
      <c r="AE126" s="92">
        <f t="shared" si="27"/>
        <v>1</v>
      </c>
      <c r="AF126" s="98"/>
      <c r="AG126" s="99">
        <v>21029865</v>
      </c>
      <c r="AH126" s="99">
        <v>11336673</v>
      </c>
      <c r="AI126" s="99">
        <v>17702745</v>
      </c>
      <c r="AJ126" s="100"/>
      <c r="AK126" s="100"/>
      <c r="AL126" s="100"/>
      <c r="AM126" s="100"/>
      <c r="AN126" s="100"/>
      <c r="AO126" s="101"/>
    </row>
    <row r="127" spans="1:41" x14ac:dyDescent="0.2">
      <c r="A127" s="76" t="s">
        <v>458</v>
      </c>
      <c r="B127" s="76" t="s">
        <v>17</v>
      </c>
      <c r="C127" s="102" t="s">
        <v>910</v>
      </c>
      <c r="D127" s="103" t="s">
        <v>910</v>
      </c>
      <c r="E127" s="104" t="s">
        <v>911</v>
      </c>
      <c r="F127" s="105">
        <f t="shared" si="14"/>
        <v>0</v>
      </c>
      <c r="G127" s="105">
        <f t="shared" si="15"/>
        <v>0</v>
      </c>
      <c r="H127" s="105">
        <f t="shared" si="16"/>
        <v>1</v>
      </c>
      <c r="I127" s="105">
        <f t="shared" si="17"/>
        <v>0</v>
      </c>
      <c r="J127" s="105">
        <f t="shared" si="18"/>
        <v>0</v>
      </c>
      <c r="K127" s="105">
        <f t="shared" si="19"/>
        <v>0</v>
      </c>
      <c r="L127" s="105">
        <f t="shared" si="20"/>
        <v>0</v>
      </c>
      <c r="M127" s="50" t="s">
        <v>910</v>
      </c>
      <c r="N127" s="50" t="s">
        <v>911</v>
      </c>
      <c r="O127" s="50" t="s">
        <v>911</v>
      </c>
      <c r="P127" s="106" t="s">
        <v>912</v>
      </c>
      <c r="Q127" s="50" t="s">
        <v>912</v>
      </c>
      <c r="R127" s="107" t="s">
        <v>912</v>
      </c>
      <c r="S127" s="50" t="s">
        <v>910</v>
      </c>
      <c r="T127" s="50" t="s">
        <v>911</v>
      </c>
      <c r="U127" s="50" t="s">
        <v>911</v>
      </c>
      <c r="V127" s="106" t="s">
        <v>910</v>
      </c>
      <c r="W127" s="50" t="s">
        <v>911</v>
      </c>
      <c r="X127" s="105" t="s">
        <v>911</v>
      </c>
      <c r="Y127" s="105">
        <f t="shared" si="21"/>
        <v>0</v>
      </c>
      <c r="Z127" s="105">
        <f t="shared" si="22"/>
        <v>0</v>
      </c>
      <c r="AA127" s="105">
        <f t="shared" si="23"/>
        <v>0</v>
      </c>
      <c r="AB127" s="105">
        <f t="shared" si="24"/>
        <v>0</v>
      </c>
      <c r="AC127" s="105">
        <f t="shared" si="25"/>
        <v>0</v>
      </c>
      <c r="AD127" s="105">
        <f t="shared" si="26"/>
        <v>1</v>
      </c>
      <c r="AE127" s="105">
        <f t="shared" si="27"/>
        <v>0</v>
      </c>
      <c r="AF127" s="108"/>
      <c r="AG127" s="109">
        <v>25795300</v>
      </c>
      <c r="AH127" s="110"/>
      <c r="AI127" s="110"/>
      <c r="AJ127" s="110"/>
      <c r="AK127" s="110"/>
      <c r="AL127" s="110"/>
      <c r="AM127" s="110"/>
      <c r="AN127" s="110"/>
      <c r="AO127" s="111"/>
    </row>
    <row r="128" spans="1:41" x14ac:dyDescent="0.2">
      <c r="A128" s="88" t="s">
        <v>462</v>
      </c>
      <c r="B128" s="88" t="s">
        <v>17</v>
      </c>
      <c r="C128" s="89" t="s">
        <v>910</v>
      </c>
      <c r="D128" s="90" t="s">
        <v>910</v>
      </c>
      <c r="E128" s="91" t="s">
        <v>910</v>
      </c>
      <c r="F128" s="92">
        <f t="shared" si="14"/>
        <v>0</v>
      </c>
      <c r="G128" s="92">
        <f t="shared" si="15"/>
        <v>0</v>
      </c>
      <c r="H128" s="92">
        <f t="shared" si="16"/>
        <v>0</v>
      </c>
      <c r="I128" s="92">
        <f t="shared" si="17"/>
        <v>0</v>
      </c>
      <c r="J128" s="92">
        <f t="shared" si="18"/>
        <v>0</v>
      </c>
      <c r="K128" s="92">
        <f t="shared" si="19"/>
        <v>0</v>
      </c>
      <c r="L128" s="92">
        <f t="shared" si="20"/>
        <v>0</v>
      </c>
      <c r="M128" s="93" t="s">
        <v>910</v>
      </c>
      <c r="N128" s="93" t="s">
        <v>911</v>
      </c>
      <c r="O128" s="93" t="s">
        <v>911</v>
      </c>
      <c r="P128" s="94" t="s">
        <v>912</v>
      </c>
      <c r="Q128" s="93" t="s">
        <v>912</v>
      </c>
      <c r="R128" s="95" t="s">
        <v>912</v>
      </c>
      <c r="S128" s="93" t="s">
        <v>910</v>
      </c>
      <c r="T128" s="93" t="s">
        <v>911</v>
      </c>
      <c r="U128" s="93" t="s">
        <v>911</v>
      </c>
      <c r="V128" s="96" t="s">
        <v>910</v>
      </c>
      <c r="W128" s="97" t="s">
        <v>911</v>
      </c>
      <c r="X128" s="92" t="s">
        <v>911</v>
      </c>
      <c r="Y128" s="92">
        <f t="shared" si="21"/>
        <v>0</v>
      </c>
      <c r="Z128" s="92">
        <f t="shared" si="22"/>
        <v>0</v>
      </c>
      <c r="AA128" s="92">
        <f t="shared" si="23"/>
        <v>0</v>
      </c>
      <c r="AB128" s="92">
        <f t="shared" si="24"/>
        <v>0</v>
      </c>
      <c r="AC128" s="92">
        <f t="shared" si="25"/>
        <v>0</v>
      </c>
      <c r="AD128" s="92">
        <f t="shared" si="26"/>
        <v>1</v>
      </c>
      <c r="AE128" s="92">
        <f t="shared" si="27"/>
        <v>0</v>
      </c>
      <c r="AF128" s="98"/>
      <c r="AG128" s="99">
        <v>18045877</v>
      </c>
      <c r="AH128" s="99">
        <v>24001768</v>
      </c>
      <c r="AI128" s="100"/>
      <c r="AJ128" s="100"/>
      <c r="AK128" s="100"/>
      <c r="AL128" s="100"/>
      <c r="AM128" s="100"/>
      <c r="AN128" s="100"/>
      <c r="AO128" s="101"/>
    </row>
    <row r="129" spans="1:41" x14ac:dyDescent="0.2">
      <c r="A129" s="76" t="s">
        <v>466</v>
      </c>
      <c r="B129" s="76" t="s">
        <v>17</v>
      </c>
      <c r="C129" s="102" t="s">
        <v>910</v>
      </c>
      <c r="D129" s="103" t="s">
        <v>910</v>
      </c>
      <c r="E129" s="104" t="s">
        <v>911</v>
      </c>
      <c r="F129" s="105">
        <f t="shared" si="14"/>
        <v>0</v>
      </c>
      <c r="G129" s="105">
        <f t="shared" si="15"/>
        <v>0</v>
      </c>
      <c r="H129" s="105">
        <f t="shared" si="16"/>
        <v>1</v>
      </c>
      <c r="I129" s="105">
        <f t="shared" si="17"/>
        <v>0</v>
      </c>
      <c r="J129" s="105">
        <f t="shared" si="18"/>
        <v>0</v>
      </c>
      <c r="K129" s="105">
        <f t="shared" si="19"/>
        <v>0</v>
      </c>
      <c r="L129" s="105">
        <f t="shared" si="20"/>
        <v>0</v>
      </c>
      <c r="M129" s="50" t="s">
        <v>912</v>
      </c>
      <c r="N129" s="50" t="s">
        <v>911</v>
      </c>
      <c r="O129" s="50" t="s">
        <v>911</v>
      </c>
      <c r="P129" s="106" t="s">
        <v>912</v>
      </c>
      <c r="Q129" s="50" t="s">
        <v>912</v>
      </c>
      <c r="R129" s="107" t="s">
        <v>912</v>
      </c>
      <c r="S129" s="50" t="s">
        <v>912</v>
      </c>
      <c r="T129" s="50" t="s">
        <v>911</v>
      </c>
      <c r="U129" s="50" t="s">
        <v>911</v>
      </c>
      <c r="V129" s="106" t="s">
        <v>912</v>
      </c>
      <c r="W129" s="50" t="s">
        <v>911</v>
      </c>
      <c r="X129" s="105" t="s">
        <v>911</v>
      </c>
      <c r="Y129" s="105">
        <f t="shared" si="21"/>
        <v>0</v>
      </c>
      <c r="Z129" s="105">
        <f t="shared" si="22"/>
        <v>0</v>
      </c>
      <c r="AA129" s="105">
        <f t="shared" si="23"/>
        <v>0</v>
      </c>
      <c r="AB129" s="105">
        <f t="shared" si="24"/>
        <v>0</v>
      </c>
      <c r="AC129" s="105">
        <f t="shared" si="25"/>
        <v>0</v>
      </c>
      <c r="AD129" s="105">
        <f t="shared" si="26"/>
        <v>1</v>
      </c>
      <c r="AE129" s="105">
        <f t="shared" si="27"/>
        <v>0</v>
      </c>
      <c r="AF129" s="108"/>
      <c r="AG129" s="109">
        <v>27555588</v>
      </c>
      <c r="AH129" s="109"/>
      <c r="AI129" s="110"/>
      <c r="AJ129" s="110"/>
      <c r="AK129" s="110"/>
      <c r="AL129" s="110"/>
      <c r="AM129" s="110"/>
      <c r="AN129" s="110"/>
      <c r="AO129" s="111"/>
    </row>
    <row r="130" spans="1:41" x14ac:dyDescent="0.2">
      <c r="A130" s="88" t="s">
        <v>470</v>
      </c>
      <c r="B130" s="88" t="s">
        <v>17</v>
      </c>
      <c r="C130" s="89" t="s">
        <v>910</v>
      </c>
      <c r="D130" s="90" t="s">
        <v>910</v>
      </c>
      <c r="E130" s="91" t="s">
        <v>911</v>
      </c>
      <c r="F130" s="92">
        <f t="shared" si="14"/>
        <v>0</v>
      </c>
      <c r="G130" s="92">
        <f t="shared" si="15"/>
        <v>0</v>
      </c>
      <c r="H130" s="92">
        <f t="shared" si="16"/>
        <v>1</v>
      </c>
      <c r="I130" s="92">
        <f t="shared" si="17"/>
        <v>0</v>
      </c>
      <c r="J130" s="92">
        <f t="shared" si="18"/>
        <v>0</v>
      </c>
      <c r="K130" s="92">
        <f t="shared" si="19"/>
        <v>0</v>
      </c>
      <c r="L130" s="92">
        <f t="shared" si="20"/>
        <v>0</v>
      </c>
      <c r="M130" s="93" t="s">
        <v>911</v>
      </c>
      <c r="N130" s="93" t="s">
        <v>911</v>
      </c>
      <c r="O130" s="93" t="s">
        <v>911</v>
      </c>
      <c r="P130" s="94" t="s">
        <v>912</v>
      </c>
      <c r="Q130" s="93" t="s">
        <v>912</v>
      </c>
      <c r="R130" s="95" t="s">
        <v>912</v>
      </c>
      <c r="S130" s="93" t="s">
        <v>911</v>
      </c>
      <c r="T130" s="93" t="s">
        <v>911</v>
      </c>
      <c r="U130" s="93" t="s">
        <v>911</v>
      </c>
      <c r="V130" s="96" t="s">
        <v>911</v>
      </c>
      <c r="W130" s="97" t="s">
        <v>911</v>
      </c>
      <c r="X130" s="92" t="s">
        <v>911</v>
      </c>
      <c r="Y130" s="92">
        <f t="shared" si="21"/>
        <v>0</v>
      </c>
      <c r="Z130" s="92">
        <f t="shared" si="22"/>
        <v>0</v>
      </c>
      <c r="AA130" s="92">
        <f t="shared" si="23"/>
        <v>0</v>
      </c>
      <c r="AB130" s="92">
        <f t="shared" si="24"/>
        <v>0</v>
      </c>
      <c r="AC130" s="92">
        <f t="shared" si="25"/>
        <v>0</v>
      </c>
      <c r="AD130" s="92">
        <f t="shared" si="26"/>
        <v>0</v>
      </c>
      <c r="AE130" s="92">
        <f t="shared" si="27"/>
        <v>1</v>
      </c>
      <c r="AF130" s="98"/>
      <c r="AG130" s="99">
        <v>23572525</v>
      </c>
      <c r="AH130" s="100"/>
      <c r="AI130" s="100"/>
      <c r="AJ130" s="100"/>
      <c r="AK130" s="100"/>
      <c r="AL130" s="100"/>
      <c r="AM130" s="100"/>
      <c r="AN130" s="100"/>
      <c r="AO130" s="101"/>
    </row>
    <row r="131" spans="1:41" x14ac:dyDescent="0.2">
      <c r="A131" s="76" t="s">
        <v>474</v>
      </c>
      <c r="B131" s="76" t="s">
        <v>17</v>
      </c>
      <c r="C131" s="102" t="s">
        <v>910</v>
      </c>
      <c r="D131" s="103" t="s">
        <v>910</v>
      </c>
      <c r="E131" s="104" t="s">
        <v>911</v>
      </c>
      <c r="F131" s="105">
        <f t="shared" si="14"/>
        <v>0</v>
      </c>
      <c r="G131" s="105">
        <f t="shared" si="15"/>
        <v>0</v>
      </c>
      <c r="H131" s="105">
        <f t="shared" si="16"/>
        <v>1</v>
      </c>
      <c r="I131" s="105">
        <f t="shared" si="17"/>
        <v>0</v>
      </c>
      <c r="J131" s="105">
        <f t="shared" si="18"/>
        <v>0</v>
      </c>
      <c r="K131" s="105">
        <f t="shared" si="19"/>
        <v>0</v>
      </c>
      <c r="L131" s="105">
        <f t="shared" si="20"/>
        <v>0</v>
      </c>
      <c r="M131" s="50" t="s">
        <v>912</v>
      </c>
      <c r="N131" s="50" t="s">
        <v>912</v>
      </c>
      <c r="O131" s="50" t="s">
        <v>912</v>
      </c>
      <c r="P131" s="106" t="s">
        <v>912</v>
      </c>
      <c r="Q131" s="50" t="s">
        <v>912</v>
      </c>
      <c r="R131" s="107" t="s">
        <v>912</v>
      </c>
      <c r="S131" s="50" t="s">
        <v>912</v>
      </c>
      <c r="T131" s="50" t="s">
        <v>912</v>
      </c>
      <c r="U131" s="50" t="s">
        <v>912</v>
      </c>
      <c r="V131" s="106" t="s">
        <v>912</v>
      </c>
      <c r="W131" s="50" t="s">
        <v>912</v>
      </c>
      <c r="X131" s="105" t="s">
        <v>912</v>
      </c>
      <c r="Y131" s="105">
        <f t="shared" si="21"/>
        <v>0</v>
      </c>
      <c r="Z131" s="105">
        <f t="shared" si="22"/>
        <v>0</v>
      </c>
      <c r="AA131" s="105">
        <f t="shared" si="23"/>
        <v>0</v>
      </c>
      <c r="AB131" s="105">
        <f t="shared" si="24"/>
        <v>0</v>
      </c>
      <c r="AC131" s="105">
        <f t="shared" si="25"/>
        <v>0</v>
      </c>
      <c r="AD131" s="105">
        <f t="shared" si="26"/>
        <v>0</v>
      </c>
      <c r="AE131" s="105">
        <f t="shared" si="27"/>
        <v>0</v>
      </c>
      <c r="AF131" s="108"/>
      <c r="AG131" s="110"/>
      <c r="AH131" s="110"/>
      <c r="AI131" s="110"/>
      <c r="AJ131" s="110"/>
      <c r="AK131" s="110"/>
      <c r="AL131" s="110"/>
      <c r="AM131" s="110"/>
      <c r="AN131" s="110"/>
      <c r="AO131" s="111"/>
    </row>
    <row r="132" spans="1:41" x14ac:dyDescent="0.2">
      <c r="A132" s="88" t="s">
        <v>478</v>
      </c>
      <c r="B132" s="88" t="s">
        <v>17</v>
      </c>
      <c r="C132" s="89" t="s">
        <v>911</v>
      </c>
      <c r="D132" s="90" t="s">
        <v>910</v>
      </c>
      <c r="E132" s="91" t="s">
        <v>910</v>
      </c>
      <c r="F132" s="92">
        <f t="shared" si="14"/>
        <v>1</v>
      </c>
      <c r="G132" s="92">
        <f t="shared" si="15"/>
        <v>0</v>
      </c>
      <c r="H132" s="92">
        <f t="shared" si="16"/>
        <v>0</v>
      </c>
      <c r="I132" s="92">
        <f t="shared" si="17"/>
        <v>0</v>
      </c>
      <c r="J132" s="92">
        <f t="shared" si="18"/>
        <v>0</v>
      </c>
      <c r="K132" s="92">
        <f t="shared" si="19"/>
        <v>0</v>
      </c>
      <c r="L132" s="92">
        <f t="shared" si="20"/>
        <v>0</v>
      </c>
      <c r="M132" s="93" t="s">
        <v>911</v>
      </c>
      <c r="N132" s="93" t="s">
        <v>910</v>
      </c>
      <c r="O132" s="93" t="s">
        <v>912</v>
      </c>
      <c r="P132" s="94" t="s">
        <v>911</v>
      </c>
      <c r="Q132" s="93" t="s">
        <v>912</v>
      </c>
      <c r="R132" s="95" t="s">
        <v>912</v>
      </c>
      <c r="S132" s="93" t="s">
        <v>911</v>
      </c>
      <c r="T132" s="93" t="s">
        <v>910</v>
      </c>
      <c r="U132" s="93" t="s">
        <v>912</v>
      </c>
      <c r="V132" s="96" t="s">
        <v>911</v>
      </c>
      <c r="W132" s="97" t="s">
        <v>910</v>
      </c>
      <c r="X132" s="92" t="s">
        <v>912</v>
      </c>
      <c r="Y132" s="92">
        <f t="shared" si="21"/>
        <v>1</v>
      </c>
      <c r="Z132" s="92">
        <f t="shared" si="22"/>
        <v>0</v>
      </c>
      <c r="AA132" s="92">
        <f t="shared" si="23"/>
        <v>0</v>
      </c>
      <c r="AB132" s="92">
        <f t="shared" si="24"/>
        <v>0</v>
      </c>
      <c r="AC132" s="92">
        <f t="shared" si="25"/>
        <v>0</v>
      </c>
      <c r="AD132" s="92">
        <f t="shared" si="26"/>
        <v>0</v>
      </c>
      <c r="AE132" s="92">
        <f t="shared" si="27"/>
        <v>0</v>
      </c>
      <c r="AF132" s="98"/>
      <c r="AG132" s="99">
        <v>15686487</v>
      </c>
      <c r="AH132" s="99">
        <v>16467373</v>
      </c>
      <c r="AI132" s="99">
        <v>11704860</v>
      </c>
      <c r="AJ132" s="99">
        <v>24126053</v>
      </c>
      <c r="AK132" s="100"/>
      <c r="AL132" s="100"/>
      <c r="AM132" s="100"/>
      <c r="AN132" s="100"/>
      <c r="AO132" s="101"/>
    </row>
    <row r="133" spans="1:41" x14ac:dyDescent="0.2">
      <c r="A133" s="76" t="s">
        <v>482</v>
      </c>
      <c r="B133" s="76" t="s">
        <v>17</v>
      </c>
      <c r="C133" s="102" t="s">
        <v>911</v>
      </c>
      <c r="D133" s="103" t="s">
        <v>911</v>
      </c>
      <c r="E133" s="104" t="s">
        <v>910</v>
      </c>
      <c r="F133" s="105">
        <f t="shared" si="14"/>
        <v>0</v>
      </c>
      <c r="G133" s="105">
        <f t="shared" si="15"/>
        <v>0</v>
      </c>
      <c r="H133" s="105">
        <f t="shared" si="16"/>
        <v>0</v>
      </c>
      <c r="I133" s="105">
        <f t="shared" si="17"/>
        <v>1</v>
      </c>
      <c r="J133" s="105">
        <f t="shared" si="18"/>
        <v>0</v>
      </c>
      <c r="K133" s="105">
        <f t="shared" si="19"/>
        <v>0</v>
      </c>
      <c r="L133" s="105">
        <f t="shared" si="20"/>
        <v>0</v>
      </c>
      <c r="M133" s="50" t="s">
        <v>911</v>
      </c>
      <c r="N133" s="50" t="s">
        <v>914</v>
      </c>
      <c r="O133" s="50" t="s">
        <v>910</v>
      </c>
      <c r="P133" s="106" t="s">
        <v>911</v>
      </c>
      <c r="Q133" s="50" t="s">
        <v>912</v>
      </c>
      <c r="R133" s="107" t="s">
        <v>912</v>
      </c>
      <c r="S133" s="50" t="s">
        <v>911</v>
      </c>
      <c r="T133" s="50" t="s">
        <v>910</v>
      </c>
      <c r="U133" s="50" t="s">
        <v>910</v>
      </c>
      <c r="V133" s="106" t="s">
        <v>911</v>
      </c>
      <c r="W133" s="50" t="s">
        <v>910</v>
      </c>
      <c r="X133" s="105" t="s">
        <v>910</v>
      </c>
      <c r="Y133" s="105">
        <f t="shared" si="21"/>
        <v>1</v>
      </c>
      <c r="Z133" s="105">
        <f t="shared" si="22"/>
        <v>0</v>
      </c>
      <c r="AA133" s="105">
        <f t="shared" si="23"/>
        <v>0</v>
      </c>
      <c r="AB133" s="105">
        <f t="shared" si="24"/>
        <v>0</v>
      </c>
      <c r="AC133" s="105">
        <f t="shared" si="25"/>
        <v>0</v>
      </c>
      <c r="AD133" s="105">
        <f t="shared" si="26"/>
        <v>0</v>
      </c>
      <c r="AE133" s="105">
        <f t="shared" si="27"/>
        <v>0</v>
      </c>
      <c r="AF133" s="108" t="s">
        <v>935</v>
      </c>
      <c r="AG133" s="109">
        <v>20237158</v>
      </c>
      <c r="AH133" s="109">
        <v>17881735</v>
      </c>
      <c r="AI133" s="109">
        <v>16721066</v>
      </c>
      <c r="AJ133" s="109">
        <v>19421144</v>
      </c>
      <c r="AK133" s="109">
        <v>18694934</v>
      </c>
      <c r="AL133" s="110"/>
      <c r="AM133" s="110"/>
      <c r="AN133" s="110"/>
      <c r="AO133" s="111"/>
    </row>
    <row r="134" spans="1:41" x14ac:dyDescent="0.2">
      <c r="A134" s="88" t="s">
        <v>486</v>
      </c>
      <c r="B134" s="88" t="s">
        <v>17</v>
      </c>
      <c r="C134" s="89" t="s">
        <v>910</v>
      </c>
      <c r="D134" s="90" t="s">
        <v>910</v>
      </c>
      <c r="E134" s="91" t="s">
        <v>910</v>
      </c>
      <c r="F134" s="92">
        <f t="shared" ref="F134:F151" si="28">IF(AND($C134="+",$D134&lt;&gt;"+",$E134&lt;&gt;"+"),1,0)</f>
        <v>0</v>
      </c>
      <c r="G134" s="92">
        <f t="shared" ref="G134:G151" si="29">IF(AND($C134&lt;&gt;"+",$D134="+",$E134&lt;&gt;"+"),1,0)</f>
        <v>0</v>
      </c>
      <c r="H134" s="92">
        <f t="shared" ref="H134:H151" si="30">IF(AND($C134&lt;&gt;"+",$D134&lt;&gt;"+",$E134="+"),1,0)</f>
        <v>0</v>
      </c>
      <c r="I134" s="92">
        <f t="shared" ref="I134:I151" si="31">IF(AND($C134="+",$D134="+",$E134&lt;&gt;"+"),1,0)</f>
        <v>0</v>
      </c>
      <c r="J134" s="92">
        <f t="shared" ref="J134:J151" si="32">IF(AND($C134="+",$D134&lt;&gt;"+",$E134="+"),1,0)</f>
        <v>0</v>
      </c>
      <c r="K134" s="92">
        <f t="shared" ref="K134:K151" si="33">IF(AND($C134&lt;&gt;"+",$D134="+",$E134="+"),1,0)</f>
        <v>0</v>
      </c>
      <c r="L134" s="92">
        <f t="shared" ref="L134:L151" si="34">IF(AND($C134="+",$D134="+",$E134="+"),1,0)</f>
        <v>0</v>
      </c>
      <c r="M134" s="93" t="s">
        <v>912</v>
      </c>
      <c r="N134" s="93" t="s">
        <v>912</v>
      </c>
      <c r="O134" s="93" t="s">
        <v>912</v>
      </c>
      <c r="P134" s="94" t="s">
        <v>912</v>
      </c>
      <c r="Q134" s="93" t="s">
        <v>912</v>
      </c>
      <c r="R134" s="95" t="s">
        <v>912</v>
      </c>
      <c r="S134" s="93" t="s">
        <v>912</v>
      </c>
      <c r="T134" s="93" t="s">
        <v>912</v>
      </c>
      <c r="U134" s="93" t="s">
        <v>912</v>
      </c>
      <c r="V134" s="96" t="s">
        <v>912</v>
      </c>
      <c r="W134" s="97" t="s">
        <v>912</v>
      </c>
      <c r="X134" s="92" t="s">
        <v>912</v>
      </c>
      <c r="Y134" s="92">
        <f t="shared" ref="Y134:Y151" si="35">IF(AND($V134="+",$W134&lt;&gt;"+",$X134&lt;&gt;"+"),1,0)</f>
        <v>0</v>
      </c>
      <c r="Z134" s="92">
        <f t="shared" ref="Z134:Z151" si="36">IF(AND($V134&lt;&gt;"+",$W134="+",$X134&lt;&gt;"+"),1,0)</f>
        <v>0</v>
      </c>
      <c r="AA134" s="92">
        <f t="shared" ref="AA134:AA151" si="37">IF(AND($V134&lt;&gt;"+",$W134&lt;&gt;"+",$X134="+"),1,0)</f>
        <v>0</v>
      </c>
      <c r="AB134" s="92">
        <f t="shared" ref="AB134:AB151" si="38">IF(AND($V134="+",$W134="+",$X134&lt;&gt;"+"),1,0)</f>
        <v>0</v>
      </c>
      <c r="AC134" s="92">
        <f t="shared" ref="AC134:AC151" si="39">IF(AND($V134="+",$W134&lt;&gt;"+",$X134="+"),1,0)</f>
        <v>0</v>
      </c>
      <c r="AD134" s="92">
        <f t="shared" ref="AD134:AD151" si="40">IF(AND($V134&lt;&gt;"+",$W134="+",$X134="+"),1,0)</f>
        <v>0</v>
      </c>
      <c r="AE134" s="92">
        <f t="shared" ref="AE134:AE151" si="41">IF(AND($V134="+",$W134="+",$X134="+"),1,0)</f>
        <v>0</v>
      </c>
      <c r="AF134" s="98"/>
      <c r="AG134" s="100"/>
      <c r="AH134" s="100"/>
      <c r="AI134" s="100"/>
      <c r="AJ134" s="100"/>
      <c r="AK134" s="100"/>
      <c r="AL134" s="100"/>
      <c r="AM134" s="100"/>
      <c r="AN134" s="100"/>
      <c r="AO134" s="101"/>
    </row>
    <row r="135" spans="1:41" x14ac:dyDescent="0.2">
      <c r="A135" s="76" t="s">
        <v>490</v>
      </c>
      <c r="B135" s="76" t="s">
        <v>17</v>
      </c>
      <c r="C135" s="102" t="s">
        <v>910</v>
      </c>
      <c r="D135" s="103" t="s">
        <v>911</v>
      </c>
      <c r="E135" s="104" t="s">
        <v>910</v>
      </c>
      <c r="F135" s="105">
        <f t="shared" si="28"/>
        <v>0</v>
      </c>
      <c r="G135" s="105">
        <f t="shared" si="29"/>
        <v>1</v>
      </c>
      <c r="H135" s="105">
        <f t="shared" si="30"/>
        <v>0</v>
      </c>
      <c r="I135" s="105">
        <f t="shared" si="31"/>
        <v>0</v>
      </c>
      <c r="J135" s="105">
        <f t="shared" si="32"/>
        <v>0</v>
      </c>
      <c r="K135" s="105">
        <f t="shared" si="33"/>
        <v>0</v>
      </c>
      <c r="L135" s="105">
        <f t="shared" si="34"/>
        <v>0</v>
      </c>
      <c r="M135" s="50" t="s">
        <v>914</v>
      </c>
      <c r="N135" s="50" t="s">
        <v>911</v>
      </c>
      <c r="O135" s="50" t="s">
        <v>914</v>
      </c>
      <c r="P135" s="106" t="s">
        <v>914</v>
      </c>
      <c r="Q135" s="50" t="s">
        <v>911</v>
      </c>
      <c r="R135" s="107" t="s">
        <v>911</v>
      </c>
      <c r="S135" s="50" t="s">
        <v>910</v>
      </c>
      <c r="T135" s="50" t="s">
        <v>911</v>
      </c>
      <c r="U135" s="50" t="s">
        <v>910</v>
      </c>
      <c r="V135" s="106" t="s">
        <v>910</v>
      </c>
      <c r="W135" s="50" t="s">
        <v>911</v>
      </c>
      <c r="X135" s="105" t="s">
        <v>914</v>
      </c>
      <c r="Y135" s="105">
        <f t="shared" si="35"/>
        <v>0</v>
      </c>
      <c r="Z135" s="105">
        <f t="shared" si="36"/>
        <v>1</v>
      </c>
      <c r="AA135" s="105">
        <f t="shared" si="37"/>
        <v>0</v>
      </c>
      <c r="AB135" s="105">
        <f t="shared" si="38"/>
        <v>0</v>
      </c>
      <c r="AC135" s="105">
        <f t="shared" si="39"/>
        <v>0</v>
      </c>
      <c r="AD135" s="105">
        <f t="shared" si="40"/>
        <v>0</v>
      </c>
      <c r="AE135" s="105">
        <f t="shared" si="41"/>
        <v>0</v>
      </c>
      <c r="AF135" s="108" t="s">
        <v>936</v>
      </c>
      <c r="AG135" s="109">
        <v>23255595</v>
      </c>
      <c r="AH135" s="109">
        <v>24659802</v>
      </c>
      <c r="AI135" s="109">
        <v>11955434</v>
      </c>
      <c r="AJ135" s="109">
        <v>18514484</v>
      </c>
      <c r="AK135" s="109"/>
      <c r="AL135" s="110"/>
      <c r="AM135" s="110"/>
      <c r="AN135" s="110"/>
      <c r="AO135" s="111"/>
    </row>
    <row r="136" spans="1:41" x14ac:dyDescent="0.2">
      <c r="A136" s="88" t="s">
        <v>494</v>
      </c>
      <c r="B136" s="88" t="s">
        <v>17</v>
      </c>
      <c r="C136" s="89" t="s">
        <v>911</v>
      </c>
      <c r="D136" s="90" t="s">
        <v>911</v>
      </c>
      <c r="E136" s="91" t="s">
        <v>911</v>
      </c>
      <c r="F136" s="92">
        <f t="shared" si="28"/>
        <v>0</v>
      </c>
      <c r="G136" s="92">
        <f t="shared" si="29"/>
        <v>0</v>
      </c>
      <c r="H136" s="92">
        <f t="shared" si="30"/>
        <v>0</v>
      </c>
      <c r="I136" s="92">
        <f t="shared" si="31"/>
        <v>0</v>
      </c>
      <c r="J136" s="92">
        <f t="shared" si="32"/>
        <v>0</v>
      </c>
      <c r="K136" s="92">
        <f t="shared" si="33"/>
        <v>0</v>
      </c>
      <c r="L136" s="92">
        <f t="shared" si="34"/>
        <v>1</v>
      </c>
      <c r="M136" s="93" t="s">
        <v>910</v>
      </c>
      <c r="N136" s="93" t="s">
        <v>911</v>
      </c>
      <c r="O136" s="93" t="s">
        <v>914</v>
      </c>
      <c r="P136" s="94" t="s">
        <v>912</v>
      </c>
      <c r="Q136" s="93" t="s">
        <v>911</v>
      </c>
      <c r="R136" s="95" t="s">
        <v>910</v>
      </c>
      <c r="S136" s="93" t="s">
        <v>910</v>
      </c>
      <c r="T136" s="93" t="s">
        <v>911</v>
      </c>
      <c r="U136" s="93" t="s">
        <v>914</v>
      </c>
      <c r="V136" s="96" t="s">
        <v>910</v>
      </c>
      <c r="W136" s="97" t="s">
        <v>911</v>
      </c>
      <c r="X136" s="92" t="s">
        <v>910</v>
      </c>
      <c r="Y136" s="92">
        <f t="shared" si="35"/>
        <v>0</v>
      </c>
      <c r="Z136" s="92">
        <f t="shared" si="36"/>
        <v>1</v>
      </c>
      <c r="AA136" s="92">
        <f t="shared" si="37"/>
        <v>0</v>
      </c>
      <c r="AB136" s="92">
        <f t="shared" si="38"/>
        <v>0</v>
      </c>
      <c r="AC136" s="92">
        <f t="shared" si="39"/>
        <v>0</v>
      </c>
      <c r="AD136" s="92">
        <f t="shared" si="40"/>
        <v>0</v>
      </c>
      <c r="AE136" s="92">
        <f t="shared" si="41"/>
        <v>0</v>
      </c>
      <c r="AF136" s="98"/>
      <c r="AG136" s="99">
        <v>15304343</v>
      </c>
      <c r="AH136" s="99">
        <v>15304342</v>
      </c>
      <c r="AI136" s="99">
        <v>15897194</v>
      </c>
      <c r="AJ136" s="99">
        <v>25829446</v>
      </c>
      <c r="AK136" s="100"/>
      <c r="AL136" s="100"/>
      <c r="AM136" s="100"/>
      <c r="AN136" s="100"/>
      <c r="AO136" s="101"/>
    </row>
    <row r="137" spans="1:41" x14ac:dyDescent="0.2">
      <c r="A137" s="76" t="s">
        <v>506</v>
      </c>
      <c r="B137" s="76" t="s">
        <v>17</v>
      </c>
      <c r="C137" s="102" t="s">
        <v>910</v>
      </c>
      <c r="D137" s="103" t="s">
        <v>910</v>
      </c>
      <c r="E137" s="104" t="s">
        <v>910</v>
      </c>
      <c r="F137" s="105">
        <f t="shared" si="28"/>
        <v>0</v>
      </c>
      <c r="G137" s="105">
        <f t="shared" si="29"/>
        <v>0</v>
      </c>
      <c r="H137" s="105">
        <f t="shared" si="30"/>
        <v>0</v>
      </c>
      <c r="I137" s="105">
        <f t="shared" si="31"/>
        <v>0</v>
      </c>
      <c r="J137" s="105">
        <f t="shared" si="32"/>
        <v>0</v>
      </c>
      <c r="K137" s="105">
        <f t="shared" si="33"/>
        <v>0</v>
      </c>
      <c r="L137" s="105">
        <f t="shared" si="34"/>
        <v>0</v>
      </c>
      <c r="M137" s="50" t="s">
        <v>910</v>
      </c>
      <c r="N137" s="50" t="s">
        <v>911</v>
      </c>
      <c r="O137" s="50" t="s">
        <v>910</v>
      </c>
      <c r="P137" s="106" t="s">
        <v>910</v>
      </c>
      <c r="Q137" s="50" t="s">
        <v>911</v>
      </c>
      <c r="R137" s="107" t="s">
        <v>910</v>
      </c>
      <c r="S137" s="50" t="s">
        <v>912</v>
      </c>
      <c r="T137" s="50" t="s">
        <v>911</v>
      </c>
      <c r="U137" s="50" t="s">
        <v>912</v>
      </c>
      <c r="V137" s="106" t="s">
        <v>910</v>
      </c>
      <c r="W137" s="50" t="s">
        <v>911</v>
      </c>
      <c r="X137" s="105" t="s">
        <v>910</v>
      </c>
      <c r="Y137" s="105">
        <f t="shared" si="35"/>
        <v>0</v>
      </c>
      <c r="Z137" s="105">
        <f t="shared" si="36"/>
        <v>1</v>
      </c>
      <c r="AA137" s="105">
        <f t="shared" si="37"/>
        <v>0</v>
      </c>
      <c r="AB137" s="105">
        <f t="shared" si="38"/>
        <v>0</v>
      </c>
      <c r="AC137" s="105">
        <f t="shared" si="39"/>
        <v>0</v>
      </c>
      <c r="AD137" s="105">
        <f t="shared" si="40"/>
        <v>0</v>
      </c>
      <c r="AE137" s="105">
        <f t="shared" si="41"/>
        <v>0</v>
      </c>
      <c r="AF137" s="108"/>
      <c r="AG137" s="109">
        <v>10220378</v>
      </c>
      <c r="AH137" s="109">
        <v>10681520</v>
      </c>
      <c r="AI137" s="109">
        <v>16481401</v>
      </c>
      <c r="AJ137" s="110"/>
      <c r="AK137" s="110"/>
      <c r="AL137" s="110"/>
      <c r="AM137" s="110"/>
      <c r="AN137" s="110"/>
      <c r="AO137" s="111"/>
    </row>
    <row r="138" spans="1:41" x14ac:dyDescent="0.2">
      <c r="A138" s="88" t="s">
        <v>510</v>
      </c>
      <c r="B138" s="88" t="s">
        <v>17</v>
      </c>
      <c r="C138" s="89" t="s">
        <v>911</v>
      </c>
      <c r="D138" s="90" t="s">
        <v>911</v>
      </c>
      <c r="E138" s="91" t="s">
        <v>911</v>
      </c>
      <c r="F138" s="92">
        <f t="shared" si="28"/>
        <v>0</v>
      </c>
      <c r="G138" s="92">
        <f t="shared" si="29"/>
        <v>0</v>
      </c>
      <c r="H138" s="92">
        <f t="shared" si="30"/>
        <v>0</v>
      </c>
      <c r="I138" s="92">
        <f t="shared" si="31"/>
        <v>0</v>
      </c>
      <c r="J138" s="92">
        <f t="shared" si="32"/>
        <v>0</v>
      </c>
      <c r="K138" s="92">
        <f t="shared" si="33"/>
        <v>0</v>
      </c>
      <c r="L138" s="92">
        <f t="shared" si="34"/>
        <v>1</v>
      </c>
      <c r="M138" s="93" t="s">
        <v>910</v>
      </c>
      <c r="N138" s="93" t="s">
        <v>911</v>
      </c>
      <c r="O138" s="93" t="s">
        <v>910</v>
      </c>
      <c r="P138" s="94" t="s">
        <v>910</v>
      </c>
      <c r="Q138" s="93" t="s">
        <v>911</v>
      </c>
      <c r="R138" s="95" t="s">
        <v>910</v>
      </c>
      <c r="S138" s="93" t="s">
        <v>912</v>
      </c>
      <c r="T138" s="93" t="s">
        <v>912</v>
      </c>
      <c r="U138" s="93" t="s">
        <v>912</v>
      </c>
      <c r="V138" s="96" t="s">
        <v>910</v>
      </c>
      <c r="W138" s="97" t="s">
        <v>911</v>
      </c>
      <c r="X138" s="92" t="s">
        <v>910</v>
      </c>
      <c r="Y138" s="92">
        <f t="shared" si="35"/>
        <v>0</v>
      </c>
      <c r="Z138" s="92">
        <f t="shared" si="36"/>
        <v>1</v>
      </c>
      <c r="AA138" s="92">
        <f t="shared" si="37"/>
        <v>0</v>
      </c>
      <c r="AB138" s="92">
        <f t="shared" si="38"/>
        <v>0</v>
      </c>
      <c r="AC138" s="92">
        <f t="shared" si="39"/>
        <v>0</v>
      </c>
      <c r="AD138" s="92">
        <f t="shared" si="40"/>
        <v>0</v>
      </c>
      <c r="AE138" s="92">
        <f t="shared" si="41"/>
        <v>0</v>
      </c>
      <c r="AF138" s="98"/>
      <c r="AG138" s="99">
        <v>9707409</v>
      </c>
      <c r="AH138" s="100"/>
      <c r="AI138" s="100"/>
      <c r="AJ138" s="100"/>
      <c r="AK138" s="100"/>
      <c r="AL138" s="100"/>
      <c r="AM138" s="100"/>
      <c r="AN138" s="100"/>
      <c r="AO138" s="101"/>
    </row>
    <row r="139" spans="1:41" x14ac:dyDescent="0.2">
      <c r="A139" s="76" t="s">
        <v>518</v>
      </c>
      <c r="B139" s="76" t="s">
        <v>17</v>
      </c>
      <c r="C139" s="102" t="s">
        <v>910</v>
      </c>
      <c r="D139" s="103" t="s">
        <v>910</v>
      </c>
      <c r="E139" s="104" t="s">
        <v>910</v>
      </c>
      <c r="F139" s="105">
        <f t="shared" si="28"/>
        <v>0</v>
      </c>
      <c r="G139" s="105">
        <f t="shared" si="29"/>
        <v>0</v>
      </c>
      <c r="H139" s="105">
        <f t="shared" si="30"/>
        <v>0</v>
      </c>
      <c r="I139" s="105">
        <f t="shared" si="31"/>
        <v>0</v>
      </c>
      <c r="J139" s="105">
        <f t="shared" si="32"/>
        <v>0</v>
      </c>
      <c r="K139" s="105">
        <f t="shared" si="33"/>
        <v>0</v>
      </c>
      <c r="L139" s="105">
        <f t="shared" si="34"/>
        <v>0</v>
      </c>
      <c r="M139" s="50" t="s">
        <v>912</v>
      </c>
      <c r="N139" s="50" t="s">
        <v>911</v>
      </c>
      <c r="O139" s="50" t="s">
        <v>914</v>
      </c>
      <c r="P139" s="106" t="s">
        <v>912</v>
      </c>
      <c r="Q139" s="50" t="s">
        <v>911</v>
      </c>
      <c r="R139" s="107" t="s">
        <v>910</v>
      </c>
      <c r="S139" s="50" t="s">
        <v>912</v>
      </c>
      <c r="T139" s="50" t="s">
        <v>911</v>
      </c>
      <c r="U139" s="50" t="s">
        <v>911</v>
      </c>
      <c r="V139" s="106" t="s">
        <v>912</v>
      </c>
      <c r="W139" s="50" t="s">
        <v>911</v>
      </c>
      <c r="X139" s="105" t="s">
        <v>914</v>
      </c>
      <c r="Y139" s="105">
        <f t="shared" si="35"/>
        <v>0</v>
      </c>
      <c r="Z139" s="105">
        <f t="shared" si="36"/>
        <v>1</v>
      </c>
      <c r="AA139" s="105">
        <f t="shared" si="37"/>
        <v>0</v>
      </c>
      <c r="AB139" s="105">
        <f t="shared" si="38"/>
        <v>0</v>
      </c>
      <c r="AC139" s="105">
        <f t="shared" si="39"/>
        <v>0</v>
      </c>
      <c r="AD139" s="105">
        <f t="shared" si="40"/>
        <v>0</v>
      </c>
      <c r="AE139" s="105">
        <f t="shared" si="41"/>
        <v>0</v>
      </c>
      <c r="AF139" s="108"/>
      <c r="AG139" s="109">
        <v>9438849</v>
      </c>
      <c r="AH139" s="109">
        <v>12515821</v>
      </c>
      <c r="AI139" s="109">
        <v>15728722</v>
      </c>
      <c r="AJ139" s="109">
        <v>10499589</v>
      </c>
      <c r="AK139" s="110"/>
      <c r="AL139" s="110"/>
      <c r="AM139" s="110"/>
      <c r="AN139" s="110"/>
      <c r="AO139" s="111"/>
    </row>
    <row r="140" spans="1:41" x14ac:dyDescent="0.2">
      <c r="A140" s="88" t="s">
        <v>522</v>
      </c>
      <c r="B140" s="88" t="s">
        <v>17</v>
      </c>
      <c r="C140" s="89" t="s">
        <v>910</v>
      </c>
      <c r="D140" s="90" t="s">
        <v>910</v>
      </c>
      <c r="E140" s="91" t="s">
        <v>910</v>
      </c>
      <c r="F140" s="92">
        <f t="shared" si="28"/>
        <v>0</v>
      </c>
      <c r="G140" s="92">
        <f t="shared" si="29"/>
        <v>0</v>
      </c>
      <c r="H140" s="92">
        <f t="shared" si="30"/>
        <v>0</v>
      </c>
      <c r="I140" s="92">
        <f t="shared" si="31"/>
        <v>0</v>
      </c>
      <c r="J140" s="92">
        <f t="shared" si="32"/>
        <v>0</v>
      </c>
      <c r="K140" s="92">
        <f t="shared" si="33"/>
        <v>0</v>
      </c>
      <c r="L140" s="92">
        <f t="shared" si="34"/>
        <v>0</v>
      </c>
      <c r="M140" s="93" t="s">
        <v>912</v>
      </c>
      <c r="N140" s="93" t="s">
        <v>910</v>
      </c>
      <c r="O140" s="93" t="s">
        <v>910</v>
      </c>
      <c r="P140" s="94" t="s">
        <v>912</v>
      </c>
      <c r="Q140" s="93" t="s">
        <v>912</v>
      </c>
      <c r="R140" s="95" t="s">
        <v>912</v>
      </c>
      <c r="S140" s="93" t="s">
        <v>912</v>
      </c>
      <c r="T140" s="93" t="s">
        <v>910</v>
      </c>
      <c r="U140" s="93" t="s">
        <v>910</v>
      </c>
      <c r="V140" s="96" t="s">
        <v>912</v>
      </c>
      <c r="W140" s="97" t="s">
        <v>910</v>
      </c>
      <c r="X140" s="92" t="s">
        <v>910</v>
      </c>
      <c r="Y140" s="92">
        <f t="shared" si="35"/>
        <v>0</v>
      </c>
      <c r="Z140" s="92">
        <f t="shared" si="36"/>
        <v>0</v>
      </c>
      <c r="AA140" s="92">
        <f t="shared" si="37"/>
        <v>0</v>
      </c>
      <c r="AB140" s="92">
        <f t="shared" si="38"/>
        <v>0</v>
      </c>
      <c r="AC140" s="92">
        <f t="shared" si="39"/>
        <v>0</v>
      </c>
      <c r="AD140" s="92">
        <f t="shared" si="40"/>
        <v>0</v>
      </c>
      <c r="AE140" s="92">
        <f t="shared" si="41"/>
        <v>0</v>
      </c>
      <c r="AF140" s="98"/>
      <c r="AG140" s="99">
        <v>15728722</v>
      </c>
      <c r="AH140" s="100"/>
      <c r="AI140" s="100"/>
      <c r="AJ140" s="100"/>
      <c r="AK140" s="100"/>
      <c r="AL140" s="100"/>
      <c r="AM140" s="100"/>
      <c r="AN140" s="100"/>
      <c r="AO140" s="101"/>
    </row>
    <row r="141" spans="1:41" x14ac:dyDescent="0.2">
      <c r="A141" s="76" t="s">
        <v>525</v>
      </c>
      <c r="B141" s="76" t="s">
        <v>17</v>
      </c>
      <c r="C141" s="102" t="s">
        <v>910</v>
      </c>
      <c r="D141" s="103" t="s">
        <v>910</v>
      </c>
      <c r="E141" s="104" t="s">
        <v>911</v>
      </c>
      <c r="F141" s="105">
        <f t="shared" si="28"/>
        <v>0</v>
      </c>
      <c r="G141" s="105">
        <f t="shared" si="29"/>
        <v>0</v>
      </c>
      <c r="H141" s="105">
        <f t="shared" si="30"/>
        <v>1</v>
      </c>
      <c r="I141" s="105">
        <f t="shared" si="31"/>
        <v>0</v>
      </c>
      <c r="J141" s="105">
        <f t="shared" si="32"/>
        <v>0</v>
      </c>
      <c r="K141" s="105">
        <f t="shared" si="33"/>
        <v>0</v>
      </c>
      <c r="L141" s="105">
        <f t="shared" si="34"/>
        <v>0</v>
      </c>
      <c r="M141" s="50" t="s">
        <v>910</v>
      </c>
      <c r="N141" s="50" t="s">
        <v>914</v>
      </c>
      <c r="O141" s="50" t="s">
        <v>914</v>
      </c>
      <c r="P141" s="106" t="s">
        <v>910</v>
      </c>
      <c r="Q141" s="50" t="s">
        <v>910</v>
      </c>
      <c r="R141" s="107" t="s">
        <v>911</v>
      </c>
      <c r="S141" s="50" t="s">
        <v>910</v>
      </c>
      <c r="T141" s="50" t="s">
        <v>911</v>
      </c>
      <c r="U141" s="50" t="s">
        <v>911</v>
      </c>
      <c r="V141" s="106" t="s">
        <v>910</v>
      </c>
      <c r="W141" s="50" t="s">
        <v>914</v>
      </c>
      <c r="X141" s="105" t="s">
        <v>911</v>
      </c>
      <c r="Y141" s="105">
        <f t="shared" si="35"/>
        <v>0</v>
      </c>
      <c r="Z141" s="105">
        <f t="shared" si="36"/>
        <v>0</v>
      </c>
      <c r="AA141" s="105">
        <f t="shared" si="37"/>
        <v>1</v>
      </c>
      <c r="AB141" s="105">
        <f t="shared" si="38"/>
        <v>0</v>
      </c>
      <c r="AC141" s="105">
        <f t="shared" si="39"/>
        <v>0</v>
      </c>
      <c r="AD141" s="105">
        <f t="shared" si="40"/>
        <v>0</v>
      </c>
      <c r="AE141" s="105">
        <f t="shared" si="41"/>
        <v>0</v>
      </c>
      <c r="AF141" s="108"/>
      <c r="AG141" s="109">
        <v>17599059</v>
      </c>
      <c r="AH141" s="109">
        <v>17145773</v>
      </c>
      <c r="AI141" s="109">
        <v>24144700</v>
      </c>
      <c r="AJ141" s="109">
        <v>19151759</v>
      </c>
      <c r="AK141" s="109">
        <v>19934221</v>
      </c>
      <c r="AL141" s="110"/>
      <c r="AM141" s="110"/>
      <c r="AN141" s="110"/>
      <c r="AO141" s="111"/>
    </row>
    <row r="142" spans="1:41" x14ac:dyDescent="0.2">
      <c r="A142" s="88" t="s">
        <v>561</v>
      </c>
      <c r="B142" s="88" t="s">
        <v>17</v>
      </c>
      <c r="C142" s="89" t="s">
        <v>910</v>
      </c>
      <c r="D142" s="90" t="s">
        <v>911</v>
      </c>
      <c r="E142" s="91" t="s">
        <v>910</v>
      </c>
      <c r="F142" s="92">
        <f t="shared" si="28"/>
        <v>0</v>
      </c>
      <c r="G142" s="92">
        <f t="shared" si="29"/>
        <v>1</v>
      </c>
      <c r="H142" s="92">
        <f t="shared" si="30"/>
        <v>0</v>
      </c>
      <c r="I142" s="92">
        <f t="shared" si="31"/>
        <v>0</v>
      </c>
      <c r="J142" s="92">
        <f t="shared" si="32"/>
        <v>0</v>
      </c>
      <c r="K142" s="92">
        <f t="shared" si="33"/>
        <v>0</v>
      </c>
      <c r="L142" s="92">
        <f t="shared" si="34"/>
        <v>0</v>
      </c>
      <c r="M142" s="93" t="s">
        <v>914</v>
      </c>
      <c r="N142" s="93" t="s">
        <v>911</v>
      </c>
      <c r="O142" s="93" t="s">
        <v>914</v>
      </c>
      <c r="P142" s="94" t="s">
        <v>914</v>
      </c>
      <c r="Q142" s="93" t="s">
        <v>911</v>
      </c>
      <c r="R142" s="95" t="s">
        <v>914</v>
      </c>
      <c r="S142" s="93" t="s">
        <v>910</v>
      </c>
      <c r="T142" s="93" t="s">
        <v>911</v>
      </c>
      <c r="U142" s="93" t="s">
        <v>910</v>
      </c>
      <c r="V142" s="96" t="s">
        <v>910</v>
      </c>
      <c r="W142" s="97" t="s">
        <v>911</v>
      </c>
      <c r="X142" s="92" t="s">
        <v>910</v>
      </c>
      <c r="Y142" s="92">
        <f t="shared" si="35"/>
        <v>0</v>
      </c>
      <c r="Z142" s="92">
        <f t="shared" si="36"/>
        <v>1</v>
      </c>
      <c r="AA142" s="92">
        <f t="shared" si="37"/>
        <v>0</v>
      </c>
      <c r="AB142" s="92">
        <f t="shared" si="38"/>
        <v>0</v>
      </c>
      <c r="AC142" s="92">
        <f t="shared" si="39"/>
        <v>0</v>
      </c>
      <c r="AD142" s="92">
        <f t="shared" si="40"/>
        <v>0</v>
      </c>
      <c r="AE142" s="92">
        <f t="shared" si="41"/>
        <v>0</v>
      </c>
      <c r="AF142" s="98" t="s">
        <v>923</v>
      </c>
      <c r="AG142" s="99">
        <v>7753201</v>
      </c>
      <c r="AH142" s="99">
        <v>11685227</v>
      </c>
      <c r="AI142" s="99">
        <v>15340013</v>
      </c>
      <c r="AJ142" s="99">
        <v>10893266</v>
      </c>
      <c r="AK142" s="99">
        <v>16599904</v>
      </c>
      <c r="AL142" s="99">
        <v>23255595</v>
      </c>
      <c r="AM142" s="99">
        <v>28882897</v>
      </c>
      <c r="AN142" s="100"/>
      <c r="AO142" s="101"/>
    </row>
    <row r="143" spans="1:41" x14ac:dyDescent="0.2">
      <c r="A143" s="76" t="s">
        <v>564</v>
      </c>
      <c r="B143" s="76" t="s">
        <v>17</v>
      </c>
      <c r="C143" s="102" t="s">
        <v>910</v>
      </c>
      <c r="D143" s="103" t="s">
        <v>911</v>
      </c>
      <c r="E143" s="104" t="s">
        <v>910</v>
      </c>
      <c r="F143" s="105">
        <f t="shared" si="28"/>
        <v>0</v>
      </c>
      <c r="G143" s="105">
        <f t="shared" si="29"/>
        <v>1</v>
      </c>
      <c r="H143" s="105">
        <f t="shared" si="30"/>
        <v>0</v>
      </c>
      <c r="I143" s="105">
        <f t="shared" si="31"/>
        <v>0</v>
      </c>
      <c r="J143" s="105">
        <f t="shared" si="32"/>
        <v>0</v>
      </c>
      <c r="K143" s="105">
        <f t="shared" si="33"/>
        <v>0</v>
      </c>
      <c r="L143" s="105">
        <f t="shared" si="34"/>
        <v>0</v>
      </c>
      <c r="M143" s="50" t="s">
        <v>910</v>
      </c>
      <c r="N143" s="50" t="s">
        <v>911</v>
      </c>
      <c r="O143" s="50" t="s">
        <v>910</v>
      </c>
      <c r="P143" s="106" t="s">
        <v>910</v>
      </c>
      <c r="Q143" s="50" t="s">
        <v>911</v>
      </c>
      <c r="R143" s="107" t="s">
        <v>910</v>
      </c>
      <c r="S143" s="50" t="s">
        <v>910</v>
      </c>
      <c r="T143" s="50" t="s">
        <v>911</v>
      </c>
      <c r="U143" s="50" t="s">
        <v>910</v>
      </c>
      <c r="V143" s="106" t="s">
        <v>910</v>
      </c>
      <c r="W143" s="50" t="s">
        <v>911</v>
      </c>
      <c r="X143" s="105" t="s">
        <v>910</v>
      </c>
      <c r="Y143" s="105">
        <f t="shared" si="35"/>
        <v>0</v>
      </c>
      <c r="Z143" s="105">
        <f t="shared" si="36"/>
        <v>1</v>
      </c>
      <c r="AA143" s="105">
        <f t="shared" si="37"/>
        <v>0</v>
      </c>
      <c r="AB143" s="105">
        <f t="shared" si="38"/>
        <v>0</v>
      </c>
      <c r="AC143" s="105">
        <f t="shared" si="39"/>
        <v>0</v>
      </c>
      <c r="AD143" s="105">
        <f t="shared" si="40"/>
        <v>0</v>
      </c>
      <c r="AE143" s="105">
        <f t="shared" si="41"/>
        <v>0</v>
      </c>
      <c r="AF143" s="108"/>
      <c r="AG143" s="109">
        <v>10364228</v>
      </c>
      <c r="AH143" s="109">
        <v>10512681</v>
      </c>
      <c r="AI143" s="109">
        <v>11707441</v>
      </c>
      <c r="AJ143" s="109">
        <v>28860633</v>
      </c>
      <c r="AK143" s="110"/>
      <c r="AL143" s="110"/>
      <c r="AM143" s="110"/>
      <c r="AN143" s="110"/>
      <c r="AO143" s="111"/>
    </row>
    <row r="144" spans="1:41" x14ac:dyDescent="0.2">
      <c r="A144" s="88" t="s">
        <v>568</v>
      </c>
      <c r="B144" s="88" t="s">
        <v>930</v>
      </c>
      <c r="C144" s="89" t="s">
        <v>910</v>
      </c>
      <c r="D144" s="90" t="s">
        <v>911</v>
      </c>
      <c r="E144" s="91" t="s">
        <v>910</v>
      </c>
      <c r="F144" s="92">
        <f t="shared" si="28"/>
        <v>0</v>
      </c>
      <c r="G144" s="92">
        <f t="shared" si="29"/>
        <v>1</v>
      </c>
      <c r="H144" s="92">
        <f t="shared" si="30"/>
        <v>0</v>
      </c>
      <c r="I144" s="92">
        <f t="shared" si="31"/>
        <v>0</v>
      </c>
      <c r="J144" s="92">
        <f t="shared" si="32"/>
        <v>0</v>
      </c>
      <c r="K144" s="92">
        <f t="shared" si="33"/>
        <v>0</v>
      </c>
      <c r="L144" s="92">
        <f t="shared" si="34"/>
        <v>0</v>
      </c>
      <c r="M144" s="93" t="s">
        <v>911</v>
      </c>
      <c r="N144" s="93" t="s">
        <v>911</v>
      </c>
      <c r="O144" s="93" t="s">
        <v>912</v>
      </c>
      <c r="P144" s="94" t="s">
        <v>912</v>
      </c>
      <c r="Q144" s="93" t="s">
        <v>912</v>
      </c>
      <c r="R144" s="95" t="s">
        <v>912</v>
      </c>
      <c r="S144" s="93" t="s">
        <v>911</v>
      </c>
      <c r="T144" s="93" t="s">
        <v>911</v>
      </c>
      <c r="U144" s="93" t="s">
        <v>912</v>
      </c>
      <c r="V144" s="96" t="s">
        <v>911</v>
      </c>
      <c r="W144" s="97" t="s">
        <v>911</v>
      </c>
      <c r="X144" s="92" t="s">
        <v>912</v>
      </c>
      <c r="Y144" s="92">
        <f t="shared" si="35"/>
        <v>0</v>
      </c>
      <c r="Z144" s="92">
        <f t="shared" si="36"/>
        <v>0</v>
      </c>
      <c r="AA144" s="92">
        <f t="shared" si="37"/>
        <v>0</v>
      </c>
      <c r="AB144" s="92">
        <f t="shared" si="38"/>
        <v>1</v>
      </c>
      <c r="AC144" s="92">
        <f t="shared" si="39"/>
        <v>0</v>
      </c>
      <c r="AD144" s="92">
        <f t="shared" si="40"/>
        <v>0</v>
      </c>
      <c r="AE144" s="92">
        <f t="shared" si="41"/>
        <v>0</v>
      </c>
      <c r="AF144" s="98" t="s">
        <v>926</v>
      </c>
      <c r="AG144" s="99">
        <v>25355950</v>
      </c>
      <c r="AH144" s="99">
        <v>26116572</v>
      </c>
      <c r="AI144" s="99">
        <v>24859002</v>
      </c>
      <c r="AJ144" s="99">
        <v>23177739</v>
      </c>
      <c r="AK144" s="100"/>
      <c r="AL144" s="100"/>
      <c r="AM144" s="100"/>
      <c r="AN144" s="100"/>
      <c r="AO144" s="101"/>
    </row>
    <row r="145" spans="1:41" x14ac:dyDescent="0.2">
      <c r="A145" s="88" t="s">
        <v>568</v>
      </c>
      <c r="B145" s="88" t="s">
        <v>931</v>
      </c>
      <c r="C145" s="89"/>
      <c r="D145" s="90"/>
      <c r="E145" s="91"/>
      <c r="F145" s="92">
        <f t="shared" si="28"/>
        <v>0</v>
      </c>
      <c r="G145" s="92">
        <f t="shared" si="29"/>
        <v>0</v>
      </c>
      <c r="H145" s="92">
        <f t="shared" si="30"/>
        <v>0</v>
      </c>
      <c r="I145" s="92">
        <f t="shared" si="31"/>
        <v>0</v>
      </c>
      <c r="J145" s="92">
        <f t="shared" si="32"/>
        <v>0</v>
      </c>
      <c r="K145" s="92">
        <f t="shared" si="33"/>
        <v>0</v>
      </c>
      <c r="L145" s="92">
        <f t="shared" si="34"/>
        <v>0</v>
      </c>
      <c r="M145" s="93" t="s">
        <v>910</v>
      </c>
      <c r="N145" s="93" t="s">
        <v>911</v>
      </c>
      <c r="O145" s="93" t="s">
        <v>910</v>
      </c>
      <c r="P145" s="94" t="s">
        <v>910</v>
      </c>
      <c r="Q145" s="93" t="s">
        <v>911</v>
      </c>
      <c r="R145" s="95" t="s">
        <v>910</v>
      </c>
      <c r="S145" s="93" t="s">
        <v>912</v>
      </c>
      <c r="T145" s="93" t="s">
        <v>912</v>
      </c>
      <c r="U145" s="93" t="s">
        <v>912</v>
      </c>
      <c r="V145" s="96" t="s">
        <v>910</v>
      </c>
      <c r="W145" s="97" t="s">
        <v>911</v>
      </c>
      <c r="X145" s="92" t="s">
        <v>910</v>
      </c>
      <c r="Y145" s="92">
        <f t="shared" si="35"/>
        <v>0</v>
      </c>
      <c r="Z145" s="92">
        <f t="shared" si="36"/>
        <v>1</v>
      </c>
      <c r="AA145" s="92">
        <f t="shared" si="37"/>
        <v>0</v>
      </c>
      <c r="AB145" s="92">
        <f t="shared" si="38"/>
        <v>0</v>
      </c>
      <c r="AC145" s="92">
        <f t="shared" si="39"/>
        <v>0</v>
      </c>
      <c r="AD145" s="92">
        <f t="shared" si="40"/>
        <v>0</v>
      </c>
      <c r="AE145" s="92">
        <f t="shared" si="41"/>
        <v>0</v>
      </c>
      <c r="AF145" s="98" t="s">
        <v>937</v>
      </c>
      <c r="AG145" s="99">
        <v>8643598</v>
      </c>
      <c r="AH145" s="99">
        <v>10652265</v>
      </c>
      <c r="AI145" s="99">
        <v>14720465</v>
      </c>
      <c r="AJ145" s="99">
        <v>9790533</v>
      </c>
      <c r="AK145" s="99">
        <v>23255595</v>
      </c>
      <c r="AL145" s="100"/>
      <c r="AM145" s="100"/>
      <c r="AN145" s="100"/>
      <c r="AO145" s="101"/>
    </row>
    <row r="146" spans="1:41" x14ac:dyDescent="0.2">
      <c r="A146" s="88" t="s">
        <v>568</v>
      </c>
      <c r="B146" s="88" t="s">
        <v>932</v>
      </c>
      <c r="C146" s="89"/>
      <c r="D146" s="90"/>
      <c r="E146" s="91"/>
      <c r="F146" s="92">
        <f t="shared" si="28"/>
        <v>0</v>
      </c>
      <c r="G146" s="92">
        <f t="shared" si="29"/>
        <v>0</v>
      </c>
      <c r="H146" s="92">
        <f t="shared" si="30"/>
        <v>0</v>
      </c>
      <c r="I146" s="92">
        <f t="shared" si="31"/>
        <v>0</v>
      </c>
      <c r="J146" s="92">
        <f t="shared" si="32"/>
        <v>0</v>
      </c>
      <c r="K146" s="92">
        <f t="shared" si="33"/>
        <v>0</v>
      </c>
      <c r="L146" s="92">
        <f t="shared" si="34"/>
        <v>0</v>
      </c>
      <c r="M146" s="93" t="s">
        <v>911</v>
      </c>
      <c r="N146" s="93" t="s">
        <v>910</v>
      </c>
      <c r="O146" s="93" t="s">
        <v>910</v>
      </c>
      <c r="P146" s="94" t="s">
        <v>911</v>
      </c>
      <c r="Q146" s="93" t="s">
        <v>910</v>
      </c>
      <c r="R146" s="95" t="s">
        <v>910</v>
      </c>
      <c r="S146" s="93" t="s">
        <v>912</v>
      </c>
      <c r="T146" s="93" t="s">
        <v>912</v>
      </c>
      <c r="U146" s="93" t="s">
        <v>912</v>
      </c>
      <c r="V146" s="96" t="s">
        <v>911</v>
      </c>
      <c r="W146" s="97" t="s">
        <v>910</v>
      </c>
      <c r="X146" s="92" t="s">
        <v>910</v>
      </c>
      <c r="Y146" s="92">
        <f t="shared" si="35"/>
        <v>1</v>
      </c>
      <c r="Z146" s="92">
        <f t="shared" si="36"/>
        <v>0</v>
      </c>
      <c r="AA146" s="92">
        <f t="shared" si="37"/>
        <v>0</v>
      </c>
      <c r="AB146" s="92">
        <f t="shared" si="38"/>
        <v>0</v>
      </c>
      <c r="AC146" s="92">
        <f t="shared" si="39"/>
        <v>0</v>
      </c>
      <c r="AD146" s="92">
        <f t="shared" si="40"/>
        <v>0</v>
      </c>
      <c r="AE146" s="92">
        <f t="shared" si="41"/>
        <v>0</v>
      </c>
      <c r="AF146" s="98"/>
      <c r="AG146" s="99">
        <v>8643598</v>
      </c>
      <c r="AH146" s="99">
        <v>10652265</v>
      </c>
      <c r="AI146" s="99">
        <v>17606614</v>
      </c>
      <c r="AJ146" s="99">
        <v>14720465</v>
      </c>
      <c r="AK146" s="100"/>
      <c r="AL146" s="100"/>
      <c r="AM146" s="100"/>
      <c r="AN146" s="100"/>
      <c r="AO146" s="101"/>
    </row>
    <row r="147" spans="1:41" x14ac:dyDescent="0.2">
      <c r="A147" s="76" t="s">
        <v>572</v>
      </c>
      <c r="B147" s="76" t="s">
        <v>17</v>
      </c>
      <c r="C147" s="102" t="s">
        <v>911</v>
      </c>
      <c r="D147" s="103" t="s">
        <v>911</v>
      </c>
      <c r="E147" s="104" t="s">
        <v>910</v>
      </c>
      <c r="F147" s="105">
        <f t="shared" si="28"/>
        <v>0</v>
      </c>
      <c r="G147" s="105">
        <f t="shared" si="29"/>
        <v>0</v>
      </c>
      <c r="H147" s="105">
        <f t="shared" si="30"/>
        <v>0</v>
      </c>
      <c r="I147" s="105">
        <f t="shared" si="31"/>
        <v>1</v>
      </c>
      <c r="J147" s="105">
        <f t="shared" si="32"/>
        <v>0</v>
      </c>
      <c r="K147" s="105">
        <f t="shared" si="33"/>
        <v>0</v>
      </c>
      <c r="L147" s="105">
        <f t="shared" si="34"/>
        <v>0</v>
      </c>
      <c r="M147" s="50" t="s">
        <v>914</v>
      </c>
      <c r="N147" s="50" t="s">
        <v>911</v>
      </c>
      <c r="O147" s="50" t="s">
        <v>914</v>
      </c>
      <c r="P147" s="106" t="s">
        <v>911</v>
      </c>
      <c r="Q147" s="50" t="s">
        <v>911</v>
      </c>
      <c r="R147" s="107" t="s">
        <v>914</v>
      </c>
      <c r="S147" s="50" t="s">
        <v>912</v>
      </c>
      <c r="T147" s="50" t="s">
        <v>911</v>
      </c>
      <c r="U147" s="50" t="s">
        <v>911</v>
      </c>
      <c r="V147" s="106" t="s">
        <v>911</v>
      </c>
      <c r="W147" s="50" t="s">
        <v>911</v>
      </c>
      <c r="X147" s="105" t="s">
        <v>911</v>
      </c>
      <c r="Y147" s="105">
        <f t="shared" si="35"/>
        <v>0</v>
      </c>
      <c r="Z147" s="105">
        <f t="shared" si="36"/>
        <v>0</v>
      </c>
      <c r="AA147" s="105">
        <f t="shared" si="37"/>
        <v>0</v>
      </c>
      <c r="AB147" s="105">
        <f t="shared" si="38"/>
        <v>0</v>
      </c>
      <c r="AC147" s="105">
        <f t="shared" si="39"/>
        <v>0</v>
      </c>
      <c r="AD147" s="105">
        <f t="shared" si="40"/>
        <v>0</v>
      </c>
      <c r="AE147" s="105">
        <f t="shared" si="41"/>
        <v>1</v>
      </c>
      <c r="AF147" s="108"/>
      <c r="AG147" s="109">
        <v>8990121</v>
      </c>
      <c r="AH147" s="109">
        <v>9438848</v>
      </c>
      <c r="AI147" s="109">
        <v>20141838</v>
      </c>
      <c r="AJ147" s="109">
        <v>24332539</v>
      </c>
      <c r="AK147" s="109">
        <v>18511940</v>
      </c>
      <c r="AL147" s="109">
        <v>10669745</v>
      </c>
      <c r="AM147" s="109">
        <v>9822605</v>
      </c>
      <c r="AN147" s="110"/>
      <c r="AO147" s="111"/>
    </row>
    <row r="148" spans="1:41" x14ac:dyDescent="0.2">
      <c r="A148" s="88" t="s">
        <v>575</v>
      </c>
      <c r="B148" s="88" t="s">
        <v>17</v>
      </c>
      <c r="C148" s="89" t="s">
        <v>911</v>
      </c>
      <c r="D148" s="90" t="s">
        <v>911</v>
      </c>
      <c r="E148" s="91" t="s">
        <v>910</v>
      </c>
      <c r="F148" s="92">
        <f t="shared" si="28"/>
        <v>0</v>
      </c>
      <c r="G148" s="92">
        <f t="shared" si="29"/>
        <v>0</v>
      </c>
      <c r="H148" s="92">
        <f t="shared" si="30"/>
        <v>0</v>
      </c>
      <c r="I148" s="92">
        <f t="shared" si="31"/>
        <v>1</v>
      </c>
      <c r="J148" s="92">
        <f t="shared" si="32"/>
        <v>0</v>
      </c>
      <c r="K148" s="92">
        <f t="shared" si="33"/>
        <v>0</v>
      </c>
      <c r="L148" s="92">
        <f t="shared" si="34"/>
        <v>0</v>
      </c>
      <c r="M148" s="93" t="s">
        <v>914</v>
      </c>
      <c r="N148" s="93" t="s">
        <v>914</v>
      </c>
      <c r="O148" s="93" t="s">
        <v>914</v>
      </c>
      <c r="P148" s="94" t="s">
        <v>911</v>
      </c>
      <c r="Q148" s="93" t="s">
        <v>911</v>
      </c>
      <c r="R148" s="95" t="s">
        <v>911</v>
      </c>
      <c r="S148" s="93" t="s">
        <v>914</v>
      </c>
      <c r="T148" s="93" t="s">
        <v>911</v>
      </c>
      <c r="U148" s="93" t="s">
        <v>911</v>
      </c>
      <c r="V148" s="96" t="s">
        <v>911</v>
      </c>
      <c r="W148" s="97" t="s">
        <v>911</v>
      </c>
      <c r="X148" s="92" t="s">
        <v>911</v>
      </c>
      <c r="Y148" s="92">
        <f t="shared" si="35"/>
        <v>0</v>
      </c>
      <c r="Z148" s="92">
        <f t="shared" si="36"/>
        <v>0</v>
      </c>
      <c r="AA148" s="92">
        <f t="shared" si="37"/>
        <v>0</v>
      </c>
      <c r="AB148" s="92">
        <f t="shared" si="38"/>
        <v>0</v>
      </c>
      <c r="AC148" s="92">
        <f t="shared" si="39"/>
        <v>0</v>
      </c>
      <c r="AD148" s="92">
        <f t="shared" si="40"/>
        <v>0</v>
      </c>
      <c r="AE148" s="92">
        <f t="shared" si="41"/>
        <v>1</v>
      </c>
      <c r="AF148" s="98" t="s">
        <v>938</v>
      </c>
      <c r="AG148" s="99">
        <v>11909943</v>
      </c>
      <c r="AH148" s="99">
        <v>10982832</v>
      </c>
      <c r="AI148" s="99">
        <v>11448999</v>
      </c>
      <c r="AJ148" s="99">
        <v>9822605</v>
      </c>
      <c r="AK148" s="99">
        <v>15728722</v>
      </c>
      <c r="AL148" s="99">
        <v>10744696</v>
      </c>
      <c r="AM148" s="99">
        <v>20940296</v>
      </c>
      <c r="AN148" s="99">
        <v>23255595</v>
      </c>
      <c r="AO148" s="101"/>
    </row>
    <row r="149" spans="1:41" x14ac:dyDescent="0.2">
      <c r="A149" s="76" t="s">
        <v>578</v>
      </c>
      <c r="B149" s="76" t="s">
        <v>17</v>
      </c>
      <c r="C149" s="102" t="s">
        <v>911</v>
      </c>
      <c r="D149" s="103" t="s">
        <v>910</v>
      </c>
      <c r="E149" s="104" t="s">
        <v>910</v>
      </c>
      <c r="F149" s="105">
        <f t="shared" si="28"/>
        <v>1</v>
      </c>
      <c r="G149" s="105">
        <f t="shared" si="29"/>
        <v>0</v>
      </c>
      <c r="H149" s="105">
        <f t="shared" si="30"/>
        <v>0</v>
      </c>
      <c r="I149" s="105">
        <f t="shared" si="31"/>
        <v>0</v>
      </c>
      <c r="J149" s="105">
        <f t="shared" si="32"/>
        <v>0</v>
      </c>
      <c r="K149" s="105">
        <f t="shared" si="33"/>
        <v>0</v>
      </c>
      <c r="L149" s="105">
        <f t="shared" si="34"/>
        <v>0</v>
      </c>
      <c r="M149" s="50" t="s">
        <v>914</v>
      </c>
      <c r="N149" s="50" t="s">
        <v>911</v>
      </c>
      <c r="O149" s="50" t="s">
        <v>914</v>
      </c>
      <c r="P149" s="106" t="s">
        <v>911</v>
      </c>
      <c r="Q149" s="50" t="s">
        <v>911</v>
      </c>
      <c r="R149" s="107" t="s">
        <v>910</v>
      </c>
      <c r="S149" s="50" t="s">
        <v>910</v>
      </c>
      <c r="T149" s="50" t="s">
        <v>911</v>
      </c>
      <c r="U149" s="50" t="s">
        <v>911</v>
      </c>
      <c r="V149" s="106" t="s">
        <v>914</v>
      </c>
      <c r="W149" s="50" t="s">
        <v>911</v>
      </c>
      <c r="X149" s="105" t="s">
        <v>914</v>
      </c>
      <c r="Y149" s="105">
        <f t="shared" si="35"/>
        <v>0</v>
      </c>
      <c r="Z149" s="105">
        <f t="shared" si="36"/>
        <v>1</v>
      </c>
      <c r="AA149" s="105">
        <f t="shared" si="37"/>
        <v>0</v>
      </c>
      <c r="AB149" s="105">
        <f t="shared" si="38"/>
        <v>0</v>
      </c>
      <c r="AC149" s="105">
        <f t="shared" si="39"/>
        <v>0</v>
      </c>
      <c r="AD149" s="105">
        <f t="shared" si="40"/>
        <v>0</v>
      </c>
      <c r="AE149" s="105">
        <f t="shared" si="41"/>
        <v>0</v>
      </c>
      <c r="AF149" s="108" t="s">
        <v>926</v>
      </c>
      <c r="AG149" s="109">
        <v>11094073</v>
      </c>
      <c r="AH149" s="109">
        <v>10523675</v>
      </c>
      <c r="AI149" s="109">
        <v>15728722</v>
      </c>
      <c r="AJ149" s="110"/>
      <c r="AK149" s="110"/>
      <c r="AL149" s="110"/>
      <c r="AM149" s="110"/>
      <c r="AN149" s="110"/>
      <c r="AO149" s="111"/>
    </row>
    <row r="150" spans="1:41" x14ac:dyDescent="0.2">
      <c r="A150" s="88" t="s">
        <v>8</v>
      </c>
      <c r="B150" s="88" t="s">
        <v>17</v>
      </c>
      <c r="C150" s="89" t="s">
        <v>910</v>
      </c>
      <c r="D150" s="90" t="s">
        <v>910</v>
      </c>
      <c r="E150" s="91" t="s">
        <v>910</v>
      </c>
      <c r="F150" s="92">
        <f t="shared" si="28"/>
        <v>0</v>
      </c>
      <c r="G150" s="92">
        <f t="shared" si="29"/>
        <v>0</v>
      </c>
      <c r="H150" s="92">
        <f t="shared" si="30"/>
        <v>0</v>
      </c>
      <c r="I150" s="92">
        <f t="shared" si="31"/>
        <v>0</v>
      </c>
      <c r="J150" s="92">
        <f t="shared" si="32"/>
        <v>0</v>
      </c>
      <c r="K150" s="92">
        <f t="shared" si="33"/>
        <v>0</v>
      </c>
      <c r="L150" s="92">
        <f t="shared" si="34"/>
        <v>0</v>
      </c>
      <c r="M150" s="93" t="s">
        <v>911</v>
      </c>
      <c r="N150" s="93" t="s">
        <v>911</v>
      </c>
      <c r="O150" s="93" t="s">
        <v>911</v>
      </c>
      <c r="P150" s="94" t="s">
        <v>911</v>
      </c>
      <c r="Q150" s="93" t="s">
        <v>911</v>
      </c>
      <c r="R150" s="95" t="s">
        <v>911</v>
      </c>
      <c r="S150" s="93" t="s">
        <v>912</v>
      </c>
      <c r="T150" s="93" t="s">
        <v>912</v>
      </c>
      <c r="U150" s="93" t="s">
        <v>912</v>
      </c>
      <c r="V150" s="96" t="s">
        <v>911</v>
      </c>
      <c r="W150" s="97" t="s">
        <v>911</v>
      </c>
      <c r="X150" s="92" t="s">
        <v>911</v>
      </c>
      <c r="Y150" s="92">
        <f t="shared" si="35"/>
        <v>0</v>
      </c>
      <c r="Z150" s="92">
        <f t="shared" si="36"/>
        <v>0</v>
      </c>
      <c r="AA150" s="92">
        <f t="shared" si="37"/>
        <v>0</v>
      </c>
      <c r="AB150" s="92">
        <f t="shared" si="38"/>
        <v>0</v>
      </c>
      <c r="AC150" s="92">
        <f t="shared" si="39"/>
        <v>0</v>
      </c>
      <c r="AD150" s="92">
        <f t="shared" si="40"/>
        <v>0</v>
      </c>
      <c r="AE150" s="92">
        <f t="shared" si="41"/>
        <v>1</v>
      </c>
      <c r="AF150" s="98" t="s">
        <v>927</v>
      </c>
      <c r="AG150" s="99">
        <v>7479768</v>
      </c>
      <c r="AH150" s="100"/>
      <c r="AI150" s="100"/>
      <c r="AJ150" s="100"/>
      <c r="AK150" s="100"/>
      <c r="AL150" s="100"/>
      <c r="AM150" s="100"/>
      <c r="AN150" s="100"/>
      <c r="AO150" s="101"/>
    </row>
    <row r="151" spans="1:41" ht="16" thickBot="1" x14ac:dyDescent="0.25">
      <c r="A151" s="76" t="s">
        <v>268</v>
      </c>
      <c r="B151" s="76" t="s">
        <v>17</v>
      </c>
      <c r="C151" s="114" t="s">
        <v>910</v>
      </c>
      <c r="D151" s="115" t="s">
        <v>910</v>
      </c>
      <c r="E151" s="116" t="s">
        <v>910</v>
      </c>
      <c r="F151" s="117">
        <f t="shared" si="28"/>
        <v>0</v>
      </c>
      <c r="G151" s="117">
        <f t="shared" si="29"/>
        <v>0</v>
      </c>
      <c r="H151" s="117">
        <f t="shared" si="30"/>
        <v>0</v>
      </c>
      <c r="I151" s="117">
        <f t="shared" si="31"/>
        <v>0</v>
      </c>
      <c r="J151" s="117">
        <f t="shared" si="32"/>
        <v>0</v>
      </c>
      <c r="K151" s="117">
        <f t="shared" si="33"/>
        <v>0</v>
      </c>
      <c r="L151" s="117">
        <f t="shared" si="34"/>
        <v>0</v>
      </c>
      <c r="M151" s="118" t="s">
        <v>911</v>
      </c>
      <c r="N151" s="118" t="s">
        <v>911</v>
      </c>
      <c r="O151" s="118" t="s">
        <v>914</v>
      </c>
      <c r="P151" s="119" t="s">
        <v>911</v>
      </c>
      <c r="Q151" s="118" t="s">
        <v>911</v>
      </c>
      <c r="R151" s="120" t="s">
        <v>911</v>
      </c>
      <c r="S151" s="118" t="s">
        <v>911</v>
      </c>
      <c r="T151" s="118" t="s">
        <v>911</v>
      </c>
      <c r="U151" s="118" t="s">
        <v>910</v>
      </c>
      <c r="V151" s="119" t="s">
        <v>911</v>
      </c>
      <c r="W151" s="118" t="s">
        <v>911</v>
      </c>
      <c r="X151" s="117" t="s">
        <v>914</v>
      </c>
      <c r="Y151" s="117">
        <f t="shared" si="35"/>
        <v>0</v>
      </c>
      <c r="Z151" s="117">
        <f t="shared" si="36"/>
        <v>0</v>
      </c>
      <c r="AA151" s="117">
        <f t="shared" si="37"/>
        <v>0</v>
      </c>
      <c r="AB151" s="117">
        <f t="shared" si="38"/>
        <v>1</v>
      </c>
      <c r="AC151" s="117">
        <f t="shared" si="39"/>
        <v>0</v>
      </c>
      <c r="AD151" s="117">
        <f t="shared" si="40"/>
        <v>0</v>
      </c>
      <c r="AE151" s="117">
        <f t="shared" si="41"/>
        <v>0</v>
      </c>
      <c r="AF151" s="121" t="s">
        <v>927</v>
      </c>
      <c r="AG151" s="122">
        <v>7479768</v>
      </c>
      <c r="AH151" s="122">
        <v>23940119</v>
      </c>
      <c r="AI151" s="123"/>
      <c r="AJ151" s="123"/>
      <c r="AK151" s="123"/>
      <c r="AL151" s="123"/>
      <c r="AM151" s="123"/>
      <c r="AN151" s="123"/>
      <c r="AO151" s="124"/>
    </row>
  </sheetData>
  <mergeCells count="8">
    <mergeCell ref="C2:E3"/>
    <mergeCell ref="M2:X2"/>
    <mergeCell ref="AF2:AF3"/>
    <mergeCell ref="AG2:AO3"/>
    <mergeCell ref="M3:O3"/>
    <mergeCell ref="P3:R3"/>
    <mergeCell ref="S3:U3"/>
    <mergeCell ref="V3:X3"/>
  </mergeCells>
  <conditionalFormatting sqref="V5:AE151">
    <cfRule type="expression" dxfId="2" priority="2">
      <formula>OR(#REF!="+",#REF!="-")</formula>
    </cfRule>
  </conditionalFormatting>
  <conditionalFormatting sqref="F5:L151">
    <cfRule type="expression" dxfId="1" priority="1">
      <formula>OR(#REF!="+",#REF!="-")</formula>
    </cfRule>
  </conditionalFormatting>
  <hyperlinks>
    <hyperlink ref="AG120" r:id="rId1" display="11606631" xr:uid="{BDA0A80B-ABF1-AE4D-AB35-9565B45EEE31}"/>
    <hyperlink ref="AJ120" r:id="rId2" display="17640372" xr:uid="{2F1FBCD9-7981-6C40-B120-97089BA6C23E}"/>
    <hyperlink ref="AI120" r:id="rId3" display="15950621" xr:uid="{7CB91E60-2E70-A14F-85C5-212A1CA820B3}"/>
    <hyperlink ref="AH120" r:id="rId4" display="10692441" xr:uid="{C31F6C00-615F-2240-B426-31FCF4811972}"/>
    <hyperlink ref="AK145" r:id="rId5" display="23255595" xr:uid="{65995174-296D-3648-8601-EBF24EE5835D}"/>
    <hyperlink ref="AJ145" r:id="rId6" display="9790533" xr:uid="{51C71C12-B3A2-F042-9AB5-205867956ED7}"/>
    <hyperlink ref="AI145" r:id="rId7" display="14720465" xr:uid="{8F240AB4-EAA2-D942-9DC0-7CABF434EF84}"/>
    <hyperlink ref="AH145" r:id="rId8" display="10652265" xr:uid="{DA82CEDA-085B-7348-B38F-023D10530247}"/>
    <hyperlink ref="AG145" r:id="rId9" display="8643598" xr:uid="{37E87BF4-13A3-4C40-B6D7-5A5F442AFA23}"/>
    <hyperlink ref="AH121" r:id="rId10" display="15950621" xr:uid="{3490E09A-BA08-1C44-834C-47C6F2345ECB}"/>
    <hyperlink ref="AG121" r:id="rId11" display="11606631" xr:uid="{3764B160-C158-C24A-B222-CEDDBBA18900}"/>
    <hyperlink ref="AI146" r:id="rId12" display="17606614" xr:uid="{62AD8412-E3A1-1146-B5C8-9F699B9BD60D}"/>
    <hyperlink ref="AJ146" r:id="rId13" display="14720465" xr:uid="{405DD801-657B-6246-8FCE-375CE241D097}"/>
    <hyperlink ref="AH146" r:id="rId14" display="10652265" xr:uid="{125F75CE-BC37-9D4B-8F39-3B2E1B0BC2C5}"/>
    <hyperlink ref="AG146" r:id="rId15" display="8643598" xr:uid="{BBD19395-FA7E-5845-8DEE-FD5E769F5E2B}"/>
    <hyperlink ref="AK7" r:id="rId16" display="15296756" xr:uid="{FE478B63-B742-D34C-AF79-20852457E2E7}"/>
    <hyperlink ref="AM142" r:id="rId17" display="28882897" xr:uid="{FEB65534-3F57-4248-90F7-B8C59E9F18D0}"/>
    <hyperlink ref="AJ143" r:id="rId18" display="28860633" xr:uid="{D22F6631-7576-224E-B026-B46EDE8D9C4A}"/>
    <hyperlink ref="AH66" r:id="rId19" display="28860633" xr:uid="{CC5BB459-5513-7B44-8A12-A8DD7B7E0B3D}"/>
    <hyperlink ref="AJ109" r:id="rId20" display="28860633" xr:uid="{E6DD8E09-6F3D-6F4B-A5DB-2B6E44477A46}"/>
    <hyperlink ref="AI27" r:id="rId21" display="12192056" xr:uid="{5E5CD7F6-ABE5-E949-9051-DA2D2CA54C99}"/>
    <hyperlink ref="AJ118" r:id="rId22" display="12192056" xr:uid="{987A5009-B836-B740-AAE8-81EE74608281}"/>
    <hyperlink ref="AI111" r:id="rId23" display="15743413" xr:uid="{9EC97206-74C4-044A-B732-B15193396471}"/>
    <hyperlink ref="AI95" r:id="rId24" display="25097232" xr:uid="{D10126B8-E920-EE43-A9CD-131F85374F30}"/>
    <hyperlink ref="AI94" r:id="rId25" display="26823019" xr:uid="{6C3ABA24-B15D-324A-9E5C-CB9A3531121A}"/>
    <hyperlink ref="AH75" r:id="rId26" display="24043828" xr:uid="{D3E5EA60-0DE2-2B44-B749-D4C67944259A}"/>
    <hyperlink ref="AI92" r:id="rId27" display="12702722" xr:uid="{35135D8B-1708-DD44-A3FB-730877885364}"/>
    <hyperlink ref="AJ87" r:id="rId28" display="23195829" xr:uid="{25291828-4604-B145-B4AD-F86A82DDF595}"/>
    <hyperlink ref="AI87" r:id="rId29" display="23729734" xr:uid="{B61AC11D-FFEE-354E-BEA8-FCE43B483F16}"/>
    <hyperlink ref="AI71" r:id="rId30" display="12270917" xr:uid="{B93A9C00-0785-CD4A-85D8-8C3F93E017CD}"/>
    <hyperlink ref="AH62" r:id="rId31" display="21148482" xr:uid="{2489271C-5D59-694A-B2D6-6FB40222EA25}"/>
    <hyperlink ref="AI50" r:id="rId32" display="22438581" xr:uid="{E9A87040-B40F-2A43-9FFE-8D80EAE42709}"/>
    <hyperlink ref="AH50" r:id="rId33" display="25074242" xr:uid="{60C59B7D-3E66-6D44-A123-9B25DACC8CF6}"/>
    <hyperlink ref="AI33" r:id="rId34" display="14699061" xr:uid="{DB170C58-D26C-A34B-8D6D-74678B3C0AA8}"/>
    <hyperlink ref="AJ33" r:id="rId35" display="12192056" xr:uid="{C2F4CA69-1CF8-8C44-AF5E-EEA831E75D80}"/>
    <hyperlink ref="AH32" r:id="rId36" display="25156493" xr:uid="{A7751A8D-8FAF-9947-B647-F55D4D10C4DC}"/>
    <hyperlink ref="AJ28" r:id="rId37" display="21622574" xr:uid="{93DDB9CF-7D98-BE40-9068-B77EBCC9EDED}"/>
    <hyperlink ref="AH20" r:id="rId38" display="25425145" xr:uid="{84A086A8-1A1A-5640-8251-35B8ED517B95}"/>
    <hyperlink ref="AH17" r:id="rId39" display="26854232" xr:uid="{AB0B8B5A-C558-AF48-97D5-40B065F323C2}"/>
    <hyperlink ref="AI7" r:id="rId40" display="21490342" xr:uid="{633F0001-5594-EB41-848A-828F09EE5EBE}"/>
    <hyperlink ref="AH14" r:id="rId41" display="11238453" xr:uid="{CEEA292E-FDCE-C542-8314-A88755EB6419}"/>
    <hyperlink ref="AI64" r:id="rId42" display="27481945" xr:uid="{5B3A64B9-D230-8B4C-BE01-1BB8307DFE67}"/>
    <hyperlink ref="AK65" r:id="rId43" display="27481945" xr:uid="{EE2A809E-CAE5-EE40-90A4-001601F1179F}"/>
    <hyperlink ref="AM47" r:id="rId44" display="27481945" xr:uid="{E99EFAFA-788C-2145-9B81-C558FAA4B647}"/>
    <hyperlink ref="AJ58" r:id="rId45" display="27481945" xr:uid="{210F3931-D0BA-864F-AB1C-3379B077579D}"/>
    <hyperlink ref="AK69" r:id="rId46" display="27481945" xr:uid="{CC21D168-EDAE-034D-A007-B423214CC9FD}"/>
    <hyperlink ref="AL19" r:id="rId47" display="27481945" xr:uid="{84510802-CF53-6243-9B82-F983D170C750}"/>
    <hyperlink ref="AL36" r:id="rId48" display="27481945" xr:uid="{9B41BD7B-5F5E-0249-AEC2-22F11E9C785B}"/>
    <hyperlink ref="AI28" r:id="rId49" display="27481945" xr:uid="{AFB83111-26D7-B443-8C3A-4C40DBA3552C}"/>
    <hyperlink ref="AJ55" r:id="rId50" display="27481945" xr:uid="{8C341EDE-DE08-5C45-9FED-C7C527ECA3D9}"/>
    <hyperlink ref="AN8" r:id="rId51" display="27481945" xr:uid="{8C9C6FD4-A331-EE41-A46B-AC771D50856A}"/>
    <hyperlink ref="AN148" r:id="rId52" display="23255595" xr:uid="{4D497BF6-B5E1-3546-9044-6352F2429440}"/>
    <hyperlink ref="AN123" r:id="rId53" display="23255595" xr:uid="{B5EA6FFA-7D6B-A846-B2FC-0CCFE1268477}"/>
    <hyperlink ref="AM122" r:id="rId54" display="23255595" xr:uid="{2A98BA49-6CCA-AF42-999F-D37D1D86456C}"/>
    <hyperlink ref="AL142" r:id="rId55" display="23255595" xr:uid="{3E6D97F4-9932-C242-89F8-DBCA1F6F297D}"/>
    <hyperlink ref="AI80" r:id="rId56" display="23255595" xr:uid="{ECC0EFFC-D1EE-3E4C-BBCB-926C2F498864}"/>
    <hyperlink ref="AH95" r:id="rId57" display="23255595" xr:uid="{9021570D-91B1-8A48-B463-F95EB85618BC}"/>
    <hyperlink ref="AO76" r:id="rId58" display="23255595" xr:uid="{DB931D8D-F57F-E54B-8189-CBD1A4CECAD0}"/>
    <hyperlink ref="AM117" r:id="rId59" display="23255595" xr:uid="{FE3D0C20-225E-384E-8F6C-9D9367F8AB0B}"/>
    <hyperlink ref="AK73" r:id="rId60" display="23255595" xr:uid="{B018CA9F-4432-A948-8DCD-ABA15F063D61}"/>
    <hyperlink ref="AJ92" r:id="rId61" display="23255595" xr:uid="{5824B400-657E-4545-9088-B609CB543232}"/>
    <hyperlink ref="AL83" r:id="rId62" display="23255595" xr:uid="{9318DBD9-55C0-FB42-B4CD-09CA9C5CA960}"/>
    <hyperlink ref="AL84" r:id="rId63" display="23255595" xr:uid="{3E667B92-1115-B246-8917-F0619F730C16}"/>
    <hyperlink ref="AM8" r:id="rId64" display="8253717" xr:uid="{9E0BD5E7-605E-4F4D-A4DA-43D65784F022}"/>
    <hyperlink ref="AK44" r:id="rId65" display="8440677" xr:uid="{3D663848-3B44-2648-ABB2-B3B62B63C107}"/>
    <hyperlink ref="AM123" r:id="rId66" display="12006984" xr:uid="{A12B5CD3-0B78-E94A-BBA7-E34679102BD7}"/>
    <hyperlink ref="AK84" r:id="rId67" display="11094164" xr:uid="{2B1D101E-DDFA-054C-8763-907FA94A2AFF}"/>
    <hyperlink ref="AI73" r:id="rId68" display="22661716" xr:uid="{73D31A5E-745E-5643-8327-B1E81049C966}"/>
    <hyperlink ref="AL70" r:id="rId69" display="11684658" xr:uid="{CD5C61BB-91DD-FC44-9DA1-3FB145594856}"/>
    <hyperlink ref="AL69" r:id="rId70" display="11684658" xr:uid="{4D873148-ED2D-584C-B0A7-B1D34B66C6F3}"/>
    <hyperlink ref="AG151" r:id="rId71" display="7479768" xr:uid="{5C4BBFEC-B1BD-D745-A895-8374F78B3C3E}"/>
    <hyperlink ref="AH151" r:id="rId72" display="23940119" xr:uid="{9D077803-5502-B84C-8A6E-3B697BEFC664}"/>
    <hyperlink ref="AJ69" r:id="rId73" display="8349582" xr:uid="{FED317C7-B2B0-EB45-A9C8-3675E918C7DF}"/>
    <hyperlink ref="AJ70" r:id="rId74" display="http://www.ncbi.nlm.nih.gov/pubmed/17116687" xr:uid="{BD896C4D-68D6-4F49-A4DA-D276F5006E61}"/>
    <hyperlink ref="AI70" r:id="rId75" display="8262969" xr:uid="{37A7BC2A-24C9-684A-B21F-9091B45F5969}"/>
    <hyperlink ref="AH69" r:id="rId76" display="8262969" xr:uid="{016A734B-9462-1947-B5EC-5CF8F7DA432E}"/>
    <hyperlink ref="AG70" r:id="rId77" display="7479768" xr:uid="{B71D127B-5D47-D742-ABD1-0C0293BC49CC}"/>
    <hyperlink ref="AK70" r:id="rId78" display="8262058" xr:uid="{3C5C9FEC-2589-0E4E-A53D-F55FEC00310B}"/>
    <hyperlink ref="AG150" r:id="rId79" display="7479768" xr:uid="{233B9DE9-655F-044D-8A68-7FD605B75B9D}"/>
    <hyperlink ref="AI10" r:id="rId80" display="23552690" xr:uid="{491124BC-F316-8246-853E-0A05E4DEA69D}"/>
    <hyperlink ref="AG10" r:id="rId81" display="18948007" xr:uid="{D05DB36D-8170-C344-998D-75F9EF938087}"/>
    <hyperlink ref="AJ36" r:id="rId82" display="18541700" xr:uid="{ADCAFE9C-F95C-F94C-AF61-33D1ADBDA4CD}"/>
    <hyperlink ref="AK36" r:id="rId83" display="11553710" xr:uid="{3BB755CA-1F32-8347-AA98-F36DA85128F3}"/>
    <hyperlink ref="AJ44" r:id="rId84" display="20335173" xr:uid="{162C062F-499B-4942-AADC-6BAD48640BC5}"/>
    <hyperlink ref="AI44" r:id="rId85" display="15507211" xr:uid="{E1187437-6C49-694F-9916-5567AC48E8B7}"/>
    <hyperlink ref="AM43" r:id="rId86" display="17785182" xr:uid="{765AA8EB-603B-C848-A813-529722EF3F51}"/>
    <hyperlink ref="AL43" r:id="rId87" display="8496137" xr:uid="{7292B22C-9DC3-E546-80B1-0333EE7D6278}"/>
    <hyperlink ref="AN76" r:id="rId88" display="19897489" xr:uid="{B83F0638-74AA-B042-A33A-C492E2B6ACCA}"/>
    <hyperlink ref="AJ139" r:id="rId89" display="10499589" xr:uid="{F52D5A39-4A4B-ED4A-BF1C-6CAF3FD6D1A3}"/>
    <hyperlink ref="AG149" r:id="rId90" display="11094073" xr:uid="{75A98A90-DCC7-A64F-8FF2-8BF992F9D6DB}"/>
    <hyperlink ref="AG148" r:id="rId91" display="11909943" xr:uid="{39DA7B56-BAD3-AF47-9195-57F410A5758F}"/>
    <hyperlink ref="AM148" r:id="rId92" display="20940296" xr:uid="{C8E80B2B-AA43-094F-B8A6-ED7DB95D8DFB}"/>
    <hyperlink ref="AG140" r:id="rId93" display="15728722" xr:uid="{862B3998-4824-6548-AD25-520DBD13387C}"/>
    <hyperlink ref="AM147" r:id="rId94" display="9822605" xr:uid="{5F6C4159-29D7-D647-A36E-036E4F84C1FB}"/>
    <hyperlink ref="AL147" r:id="rId95" display="10669745" xr:uid="{DD178291-F65C-4844-A507-F3FDF4EE5A1B}"/>
    <hyperlink ref="AJ144" r:id="rId96" display="23177739" xr:uid="{7FFE480B-83B6-DD45-B795-0BC12BC7AA04}"/>
    <hyperlink ref="AK142" r:id="rId97" display="16599904" xr:uid="{6872E38A-5A54-2E40-95A5-FEF6A4BF6D22}"/>
    <hyperlink ref="AJ142" r:id="rId98" display="10893266" xr:uid="{00CB88A7-90D1-F64D-B6E3-176EFEAA2C93}"/>
    <hyperlink ref="AI142" r:id="rId99" display="15340013" xr:uid="{4C88AAE0-3FEC-7743-8125-C65052607A6F}"/>
    <hyperlink ref="AK141" r:id="rId100" display="19934221" xr:uid="{FF02046C-EC44-554B-A96B-47AA5653C5B1}"/>
    <hyperlink ref="AJ141" r:id="rId101" display="19151759" xr:uid="{33816077-16BE-8D4D-B572-EB98160E7C0C}"/>
    <hyperlink ref="AI141" r:id="rId102" display="24144700" xr:uid="{2FBC2DFE-390E-564B-A7D4-E809D2BFF746}"/>
    <hyperlink ref="AI137" r:id="rId103" display="16481401" xr:uid="{2AC7E3C8-DCE0-D947-98E5-DF9D66832A0B}"/>
    <hyperlink ref="AJ136" r:id="rId104" display="25829446" xr:uid="{B9351E7B-ED2A-8B46-9A40-EDC2DE1848F7}"/>
    <hyperlink ref="AJ135" r:id="rId105" display="18514484" xr:uid="{067A6201-351C-284E-965D-5913CB57A760}"/>
    <hyperlink ref="AI126" r:id="rId106" display="17702745" xr:uid="{52B1117E-C57E-EE4D-8032-E3ECE1FE0FE0}"/>
    <hyperlink ref="AH126" r:id="rId107" display="11336673" xr:uid="{23FFE0CD-86A8-A34D-AF29-D25DC3D6BB39}"/>
    <hyperlink ref="AJ125" r:id="rId108" display="15684429" xr:uid="{C4C4C6F6-A734-8642-BD72-7D00CEFECA1B}"/>
    <hyperlink ref="AI125" r:id="rId109" display="17938206" xr:uid="{712079F0-4A03-EF46-A828-1CD78DA57EFA}"/>
    <hyperlink ref="AL123" r:id="rId110" display="12215546" xr:uid="{54D46E91-5732-FE42-861A-2D29F48046A3}"/>
    <hyperlink ref="AK123" r:id="rId111" display="14701795" xr:uid="{5FF59383-CA9B-C14A-9595-541354321189}"/>
    <hyperlink ref="AL122" r:id="rId112" display="11062019" xr:uid="{812211E3-2DB7-EA40-97F7-B5F02BDCD944}"/>
    <hyperlink ref="AK122" r:id="rId113" display="12445822" xr:uid="{498B899C-0DDD-C54F-BD5A-4013E83AEDE6}"/>
    <hyperlink ref="AJ122" r:id="rId114" display="1956381" xr:uid="{CBE62832-CE96-3C41-9D50-7B678EB0E0FA}"/>
    <hyperlink ref="AL117" r:id="rId115" display="12389031" xr:uid="{16A9CD78-1F79-D143-9950-B790B7FA9146}"/>
    <hyperlink ref="AI118" r:id="rId116" display="20479469" xr:uid="{24DCB642-2ED4-1347-BD23-1A1F248D754B}"/>
    <hyperlink ref="AK117" r:id="rId117" display="16394100" xr:uid="{FA4B32FF-05C9-4B4E-94E2-0EC60153A8CD}"/>
    <hyperlink ref="AI117" r:id="rId118" display="19356586" xr:uid="{E5BEDAC0-6CEE-D545-909B-B46789A3534C}"/>
    <hyperlink ref="AH115" r:id="rId119" display="22661514" xr:uid="{6849C459-C7FA-AC48-898F-31E71A223828}"/>
    <hyperlink ref="AL73" r:id="rId120" display="26911374" xr:uid="{F41B5375-84B2-8044-9861-ADB021BE1485}"/>
    <hyperlink ref="AI109" r:id="rId121" display="26911374" xr:uid="{C71C6FCE-8FA8-6347-BF0C-4F2014C58FED}"/>
    <hyperlink ref="AL107" r:id="rId122" display="16247472" xr:uid="{B1BF0D41-550C-7E41-B87D-978098160818}"/>
    <hyperlink ref="AI107" r:id="rId123" display="15545273" xr:uid="{EA18F608-71A4-8248-B607-3DB2CD054ACD}"/>
    <hyperlink ref="AK107" r:id="rId124" display="21189248" xr:uid="{3E0884F8-80DE-8145-A03D-20994D9FE320}"/>
    <hyperlink ref="AM104" r:id="rId125" display="19745154" xr:uid="{4817A7F3-B6D9-4349-B05A-BA8887A64C61}"/>
    <hyperlink ref="AI103" r:id="rId126" display="28028151" xr:uid="{74EE6813-578B-034D-A914-C17625443540}"/>
    <hyperlink ref="AH103" r:id="rId127" display="22412158" xr:uid="{7F839B7F-9BF2-BC42-AFB9-973489CACBBF}"/>
    <hyperlink ref="AJ102" r:id="rId128" display="23718289" xr:uid="{C7F6C86D-5344-1F4E-8151-FBE3160A3552}"/>
    <hyperlink ref="AI101" r:id="rId129" display="27693507" xr:uid="{04A975E0-9762-8A41-8018-3F39C100E325}"/>
    <hyperlink ref="AH101" r:id="rId130" display="23462102" xr:uid="{92F628C4-DEDD-2F4D-BFA1-F75DE5388F96}"/>
    <hyperlink ref="AI100" r:id="rId131" display="27505886" xr:uid="{0E73E6D7-8E93-A94D-B8DC-5520C684B23E}"/>
    <hyperlink ref="AH100" r:id="rId132" display="21542010" xr:uid="{3545F873-84C8-584B-9650-A06E125E62B8}"/>
    <hyperlink ref="AM96" r:id="rId133" display="15723800" xr:uid="{0A936063-D182-8A43-9F01-9F5D01918470}"/>
    <hyperlink ref="AL99" r:id="rId134" display="15723800" xr:uid="{F6EB633E-3A59-CB42-94AD-1C3B58991E8C}"/>
    <hyperlink ref="AK98" r:id="rId135" display="14638695" xr:uid="{DBC3FC13-1BE9-7C47-9FF0-AF742AC3834B}"/>
    <hyperlink ref="AI106" r:id="rId136" display="25851601" xr:uid="{E005D0AB-E671-4846-95B7-305EAC67DCA5}"/>
    <hyperlink ref="AL104" r:id="rId137" display="25851601" xr:uid="{40CBEED4-170A-3C42-967C-2CAF7CCA895A}"/>
    <hyperlink ref="AI105" r:id="rId138" display="25851601" xr:uid="{3277CBC4-C865-EE4D-9164-51E420FDFF80}"/>
    <hyperlink ref="AL96" r:id="rId139" display="12879077" xr:uid="{4E6923DF-48E0-9248-939B-F2FFB2C86C14}"/>
    <hyperlink ref="AK79" r:id="rId140" display="21048939" xr:uid="{97C4B6E5-E662-AE46-9BE6-B723C725F6E1}"/>
    <hyperlink ref="AK77" r:id="rId141" display="12006984" xr:uid="{1FB1F934-AC68-014D-BB90-79BD2EB473B7}"/>
    <hyperlink ref="AN74" r:id="rId142" display="21406564" xr:uid="{D6554546-20FA-8F42-AA53-E1C2BC147494}"/>
    <hyperlink ref="AJ85" r:id="rId143" display="27145964" xr:uid="{6D5B830A-CA3F-314B-93F4-ABCCAF83363B}"/>
    <hyperlink ref="AJ84" r:id="rId144" display="11724822" xr:uid="{CC37F4E3-4B2E-034E-ACA5-0DA097026F5F}"/>
    <hyperlink ref="AK83" r:id="rId145" display="10900204" xr:uid="{238BC62A-8D81-8A4E-8DD3-3E2C0811DDC7}"/>
    <hyperlink ref="AJ83" r:id="rId146" display="16954208" xr:uid="{722CF838-D370-C641-BF59-C66F5BCF7369}"/>
    <hyperlink ref="AI84" r:id="rId147" display="11373293" xr:uid="{A1452082-8DDB-C44B-A375-92E5EF0AA94E}"/>
    <hyperlink ref="AI83" r:id="rId148" display="10526156" xr:uid="{6C17737E-5FCC-4C4D-9660-1D528B0E577F}"/>
    <hyperlink ref="AJ73" r:id="rId149" display="14712228" xr:uid="{9B4892A4-C5CC-DD47-9080-8322044E5571}"/>
    <hyperlink ref="AH84" r:id="rId150" display="14712228" xr:uid="{203181CC-F22E-4840-9C9E-A18408746410}"/>
    <hyperlink ref="AH83" r:id="rId151" display="14712228" xr:uid="{21D6F911-4066-7F4C-84C6-4BE021C08F3F}"/>
    <hyperlink ref="AI81" r:id="rId152" display="19635168" xr:uid="{305E581B-8619-A440-9A65-D27DA6FC06A1}"/>
    <hyperlink ref="AI72" r:id="rId153" display="12837691" xr:uid="{1B3A6A09-50A2-E341-9F30-C834E7841118}"/>
    <hyperlink ref="AH72" r:id="rId154" display="15579468" xr:uid="{91B141B9-0884-FC4C-AA4C-DB69CC56AE33}"/>
    <hyperlink ref="AH64" r:id="rId155" display="23552697" xr:uid="{3A5B2115-02B1-AB46-BAC9-905DB815E762}"/>
    <hyperlink ref="AJ65" r:id="rId156" display="25518808" xr:uid="{0BFCEC1D-DCE9-E846-A263-9E9295F4D298}"/>
    <hyperlink ref="AI63" r:id="rId157" display="12447388" xr:uid="{48982EBD-12A1-904C-A036-0D0A3117F875}"/>
    <hyperlink ref="AH61" r:id="rId158" display="24006490" xr:uid="{F16F8A33-E538-DC4B-9605-1970DD12DC21}"/>
    <hyperlink ref="AH59" r:id="rId159" display="7623849" xr:uid="{950B3A12-150A-8148-8FB8-A4B847E3FDA5}"/>
    <hyperlink ref="AI58" r:id="rId160" display="22945935" xr:uid="{4BBDB372-D10A-FF43-9E1B-AFA61A1F0BD4}"/>
    <hyperlink ref="AH58" r:id="rId161" display="10979956" xr:uid="{37958E73-A631-5448-9977-936E9EC88FFE}"/>
    <hyperlink ref="AI55" r:id="rId162" display="15034583" xr:uid="{3860D202-C05E-434E-A6D0-EC59FBDB614D}"/>
    <hyperlink ref="AL47" r:id="rId163" display="19710422" xr:uid="{93ABC0A9-1636-FC4B-B628-4F73F2E7A42E}"/>
    <hyperlink ref="AK47" r:id="rId164" display="14633684" xr:uid="{22F95646-D021-B140-9C27-C06014C5EF16}"/>
    <hyperlink ref="AJ47" r:id="rId165" display="17932950" xr:uid="{68971970-D502-1741-8396-FD3113DCCFD3}"/>
    <hyperlink ref="AI47" r:id="rId166" display="19170769" xr:uid="{6F9D2D7E-B983-EE42-A5CC-E0C82D94A181}"/>
    <hyperlink ref="AI46" r:id="rId167" display="25091805" xr:uid="{F9BC6A04-8250-1843-AE79-FDE178CD4EB3}"/>
    <hyperlink ref="AH10" r:id="rId168" display="8537347" xr:uid="{C5B56F95-A5E0-2940-AF5F-DD81DCCC5474}"/>
    <hyperlink ref="AH41" r:id="rId169" display="24352656" xr:uid="{14B2C07B-C112-3244-B89F-1834F47F3B2F}"/>
    <hyperlink ref="AH35" r:id="rId170" display="16777849" xr:uid="{F0AD53CE-E480-CF47-97D2-64A94E558178}"/>
    <hyperlink ref="AM34" r:id="rId171" display="16716191" xr:uid="{86BDF56F-B788-CF42-90B2-6142DBA7FAF5}"/>
    <hyperlink ref="AL34" r:id="rId172" display="17663722" xr:uid="{378A92FB-A44A-BC43-8475-890428D55B99}"/>
    <hyperlink ref="AK34" r:id="rId173" display="12454018" xr:uid="{FF642F1F-355F-5B44-82B0-E9A386BBE155}"/>
    <hyperlink ref="AJ34" r:id="rId174" display="17272280" xr:uid="{2C4B887A-1D07-5641-9C45-166CF25288FE}"/>
    <hyperlink ref="AI34" r:id="rId175" display="12446789" xr:uid="{2335D1B0-96F2-AC44-9CFE-1BAD6108B3C6}"/>
    <hyperlink ref="AH34" r:id="rId176" display="12531901" xr:uid="{BC8F4D06-DABA-B94A-B2AC-B19BB599E1A9}"/>
    <hyperlink ref="AH33" r:id="rId177" display="16519628" xr:uid="{9C7872D7-5A27-1F46-B93A-1FE26FB7C2B6}"/>
    <hyperlink ref="AH27" r:id="rId178" display="27566826" xr:uid="{63B81EEC-CD8E-314A-884B-D6D9BD3A34A9}"/>
    <hyperlink ref="AJ26" r:id="rId179" display="15302923" xr:uid="{3A1D2F39-88C3-0047-A9F8-5BD75AB3F7DA}"/>
    <hyperlink ref="AI26" r:id="rId180" display="15611138" xr:uid="{1155D287-7C46-7845-BFD4-51D322344F9D}"/>
    <hyperlink ref="AJ24" r:id="rId181" display="14966113" xr:uid="{AB4A0B23-E13A-1D4B-9D66-631AB9BE102C}"/>
    <hyperlink ref="AI24" r:id="rId182" display="24933155" xr:uid="{55CFD2FB-BFEA-A145-887B-1002369FE79E}"/>
    <hyperlink ref="AJ23" r:id="rId183" display="16184169" xr:uid="{A096E5DC-1A6A-B145-A3A4-8E4A6C38B820}"/>
    <hyperlink ref="AI23" r:id="rId184" display="19268501" xr:uid="{37C9BDCC-7867-8B48-97EE-2691F24810DA}"/>
    <hyperlink ref="AG23" r:id="rId185" display="15793564" xr:uid="{C4A294F5-BAE3-7A46-BFD9-1CE174D4E8E4}"/>
    <hyperlink ref="AH22" r:id="rId186" display="21169361" xr:uid="{7E01D986-EE44-F94C-BD67-511E4DFD1AB2}"/>
    <hyperlink ref="AK19" r:id="rId187" display="22975681" xr:uid="{3EB1493F-B0D9-EE4B-9522-AB4E89C26521}"/>
    <hyperlink ref="AJ19" r:id="rId188" display="23355722" xr:uid="{F4EA4110-6345-3F4D-A2A0-A8B04E3628D5}"/>
    <hyperlink ref="AI19" r:id="rId189" display="10967100" xr:uid="{EDC1C737-839F-B84F-85AD-C20B9F1CFC61}"/>
    <hyperlink ref="AH19" r:id="rId190" display="16678097" xr:uid="{C8062EED-779A-1040-8397-25FC43A4599D}"/>
    <hyperlink ref="AH18" r:id="rId191" display="27713499" xr:uid="{DE6B83A5-14E1-C047-A163-1CD848D89833}"/>
    <hyperlink ref="AI18" r:id="rId192" display="27862679" xr:uid="{01B3A5ED-77A0-5F4A-B8F8-226BE15237DE}"/>
    <hyperlink ref="AL8" r:id="rId193" display="16157885" xr:uid="{DE2B9A98-63ED-7A4B-943A-E4CBDAAD589C}"/>
    <hyperlink ref="AK8" r:id="rId194" display="8262058" xr:uid="{375FF643-5A42-8A42-8C08-B4DA95591A84}"/>
    <hyperlink ref="AI8" r:id="rId195" display="20660160" xr:uid="{4BEFFDC2-E5E1-F847-8A1B-3E71861BA5FC}"/>
    <hyperlink ref="AJ8" r:id="rId196" display="8288572" xr:uid="{2FD6459A-491F-8042-8D23-9070C851669D}"/>
    <hyperlink ref="AK43" r:id="rId197" display="18826946" xr:uid="{DBFFF1C7-A3C4-7649-AA03-6D2A28C284B8}"/>
    <hyperlink ref="AI36" r:id="rId198" display="1522900" xr:uid="{2B300CEB-0420-DF49-AABD-304F78643D31}"/>
    <hyperlink ref="AH36" r:id="rId199" display="18267090" xr:uid="{40A0F044-0804-DE45-AEFB-2DDF50FDDE03}"/>
    <hyperlink ref="AG36" r:id="rId200" display="8262058" xr:uid="{01855725-E61A-004D-8F54-BFAA32BB0D7E}"/>
    <hyperlink ref="AI53" r:id="rId201" display="9348541" xr:uid="{FB0DF910-5FDF-A24E-9E0C-5AD4B010655C}"/>
    <hyperlink ref="AH53" r:id="rId202" display="7882973" xr:uid="{05177A1A-5613-6344-97DD-DB319C92BCE1}"/>
    <hyperlink ref="AG53" r:id="rId203" display="20566876" xr:uid="{331678E4-AE0F-0849-B699-5E28F3873B2C}"/>
    <hyperlink ref="AH52" r:id="rId204" display="9819351" xr:uid="{CCD5B1ED-4ACB-2D49-90E8-31902BBC960D}"/>
    <hyperlink ref="AG52" r:id="rId205" display="22305756" xr:uid="{54A4405D-B067-B444-8023-064CF5E94B5E}"/>
    <hyperlink ref="AH56" r:id="rId206" display="8227021" xr:uid="{28E89E8D-A649-D14A-B14E-555ADF326E6A}"/>
    <hyperlink ref="AG56" r:id="rId207" display="8034624" xr:uid="{AFC06CAA-8573-F94D-945F-3539269969CD}"/>
    <hyperlink ref="AG66" r:id="rId208" display="23791195" xr:uid="{911E12D6-E284-F14F-8837-F75AF83DE4BD}"/>
    <hyperlink ref="AG68" r:id="rId209" display="16116428" xr:uid="{7BEEA4D8-D164-9E4C-A4DE-EC50293735DC}"/>
    <hyperlink ref="AG62" r:id="rId210" display="19737524" xr:uid="{A3F3B3A9-46A9-4347-AE42-C98D743A7AA9}"/>
    <hyperlink ref="AH38" r:id="rId211" display="24656827" xr:uid="{224446EF-7FE9-4548-9B51-231CBAA73524}"/>
    <hyperlink ref="AG38" r:id="rId212" display="15342493" xr:uid="{840A85E0-42E7-C348-B0E0-E90EB0AB63A6}"/>
    <hyperlink ref="AG30" r:id="rId213" display="25211221" xr:uid="{88D34383-E2CD-E74C-9BF4-AC4DBA737260}"/>
    <hyperlink ref="AG29" r:id="rId214" display="15147912" xr:uid="{385CC2C7-1D0A-804E-9A02-74CD78609055}"/>
    <hyperlink ref="AG25" r:id="rId215" display="27226243" xr:uid="{24016846-CF82-2846-A419-C1FD3027D4E3}"/>
    <hyperlink ref="AG21" r:id="rId216" display="24259668" xr:uid="{3709D9C2-570A-6F4D-A8D9-B35E74CC58D1}"/>
    <hyperlink ref="AG17" r:id="rId217" display="18504429" xr:uid="{3E9384D9-9B40-DD45-8DA6-EF5EE06337FF}"/>
    <hyperlink ref="AG15" r:id="rId218" display="27216196" xr:uid="{848741A9-5683-1549-9B81-5AB486CEC861}"/>
    <hyperlink ref="AK133" r:id="rId219" display="18694934" xr:uid="{0421423D-0CB8-5B4F-B00B-56C91BFB40CB}"/>
    <hyperlink ref="AJ133" r:id="rId220" display="19421144" xr:uid="{F59C2296-B567-8E48-A7D7-F52547687721}"/>
    <hyperlink ref="AI133" r:id="rId221" display="16721066" xr:uid="{BC672885-A2BE-6F4F-88DA-50999E215B3E}"/>
    <hyperlink ref="AH133" r:id="rId222" display="17881735" xr:uid="{A212F359-3A66-C649-8895-124AE5F8A886}"/>
    <hyperlink ref="AG133" r:id="rId223" display="20237158" xr:uid="{5FC92B02-9B04-8848-B520-A635976F9B68}"/>
    <hyperlink ref="AJ132" r:id="rId224" display="24126053" xr:uid="{C42C14AD-8763-2F44-9599-FFC2AAC5BC6F}"/>
    <hyperlink ref="AI132" r:id="rId225" display="11704860" xr:uid="{9D0F1574-895F-E943-90B7-A8FAB9F8DEE7}"/>
    <hyperlink ref="AH132" r:id="rId226" display="16467373" xr:uid="{DB4707F5-F23B-C04C-9F2F-8B70F41E8791}"/>
    <hyperlink ref="AG132" r:id="rId227" display="15686487" xr:uid="{0E4BBF87-E65D-C842-9524-F427F4C1EC2E}"/>
    <hyperlink ref="AG130" r:id="rId228" display="23572525" xr:uid="{F6120251-F278-1146-8993-1B2D40AD166D}"/>
    <hyperlink ref="AG129" r:id="rId229" display="27555588" xr:uid="{A7C9A0A7-7F7E-2D4D-ABD4-00E6C1CFFF37}"/>
    <hyperlink ref="AH128" r:id="rId230" display="24001768" xr:uid="{5F3179D0-A89D-BC4C-B2F0-88CBBB9E5665}"/>
    <hyperlink ref="AG128" r:id="rId231" display="18045877" xr:uid="{5ABCB2B0-5187-054B-8BE0-1FF775FEBC3C}"/>
    <hyperlink ref="AG127" r:id="rId232" display="25795300" xr:uid="{B7CDF145-BAEE-E140-9EED-39C4222D9F5D}"/>
    <hyperlink ref="AH149" r:id="rId233" display="10523675" xr:uid="{42EE9B53-3165-B642-9E03-E7467E64E9DA}"/>
    <hyperlink ref="AL148" r:id="rId234" display="10744696" xr:uid="{ED641CF8-2FB6-3F48-AB71-A48BB82FD11D}"/>
    <hyperlink ref="AI139" r:id="rId235" display="15728722" xr:uid="{B81FF9F9-C2C9-7143-BE1F-525E0C9059D9}"/>
    <hyperlink ref="AI149" r:id="rId236" display="15728722" xr:uid="{57661DB4-E82F-AB48-8F18-31E6341B2652}"/>
    <hyperlink ref="AK148" r:id="rId237" display="15728722" xr:uid="{DB62A494-45C8-244C-AF2B-5F8BF4E50C5B}"/>
    <hyperlink ref="AJ148" r:id="rId238" display="9822605" xr:uid="{2EF2AFDF-E13A-A24A-8F38-942F692139A3}"/>
    <hyperlink ref="AI148" r:id="rId239" display="11448999" xr:uid="{ABE946CD-7960-5949-B2A5-11F15AD5DCB3}"/>
    <hyperlink ref="AH148" r:id="rId240" display="10982832" xr:uid="{EC3CC6DC-8863-B54B-AF76-232F558898E8}"/>
    <hyperlink ref="AK147" r:id="rId241" display="18511940" xr:uid="{A1D5B344-ECA0-FA41-B37F-7C6960FE8357}"/>
    <hyperlink ref="AJ147" r:id="rId242" display="24332539" xr:uid="{8A0D289C-5531-C44A-9293-E08AF9B06E59}"/>
    <hyperlink ref="AI147" r:id="rId243" display="20141838" xr:uid="{736928F3-9584-9242-B9CB-14F2531775DA}"/>
    <hyperlink ref="AH147" r:id="rId244" display="9438848" xr:uid="{BDD3EE96-EEB5-F443-BC1F-703490173C97}"/>
    <hyperlink ref="AG147" r:id="rId245" display="8990121" xr:uid="{42D90F47-A7CC-BE47-BA64-36746F16EC8C}"/>
    <hyperlink ref="AI144" r:id="rId246" display="24859002" xr:uid="{44366E3D-F5C0-F747-A09E-606D4A53CA63}"/>
    <hyperlink ref="AH144" r:id="rId247" display="26116572" xr:uid="{D047873F-0576-474E-A01C-236E800C192E}"/>
    <hyperlink ref="AG144" r:id="rId248" display="25355950" xr:uid="{950E9CB4-76C2-4049-9E6D-CA2E628F9DCD}"/>
    <hyperlink ref="AI143" r:id="rId249" display="11707441" xr:uid="{1F04913C-2317-F241-B4FF-E656DA2A246B}"/>
    <hyperlink ref="AH143" r:id="rId250" display="10512681" xr:uid="{0972232C-2ABD-8F43-A2FB-CF12703AB8F4}"/>
    <hyperlink ref="AG143" r:id="rId251" display="10364228" xr:uid="{5EC34D4D-0D81-964D-9FBC-2B12D36E4E02}"/>
    <hyperlink ref="AH142" r:id="rId252" display="11685227" xr:uid="{E8183D56-9F26-324C-9422-7713BF3F4726}"/>
    <hyperlink ref="AG142" r:id="rId253" display="7753201" xr:uid="{F233A96F-3D46-F044-8185-5F8BA873911F}"/>
    <hyperlink ref="AH139" r:id="rId254" display="12515821" xr:uid="{8870673D-2B31-3946-8A24-E36764A995FB}"/>
    <hyperlink ref="AG139" r:id="rId255" display="9438849" xr:uid="{63A4166A-DB59-7E49-9EE5-B1E4B1918718}"/>
    <hyperlink ref="AG138" r:id="rId256" display="9707409" xr:uid="{5B594874-8BCA-9541-894E-520084A59E40}"/>
    <hyperlink ref="AH137" r:id="rId257" display="10681520" xr:uid="{E72F8B98-1045-6148-ACDC-4D97ECD5367A}"/>
    <hyperlink ref="AG137" r:id="rId258" display="10220378" xr:uid="{153D6C87-B947-CC46-B122-FAD07A1B92C2}"/>
    <hyperlink ref="AI136" r:id="rId259" display="15897194" xr:uid="{AECF87DC-6432-3043-8ED9-EEBDBA9334A9}"/>
    <hyperlink ref="AH136" r:id="rId260" display="15304342" xr:uid="{2C0829EE-371D-054B-9A68-8EEB355FBA6E}"/>
    <hyperlink ref="AG136" r:id="rId261" display="15304343" xr:uid="{06D0C8C5-28A8-4245-9740-8DE898746338}"/>
    <hyperlink ref="AI135" r:id="rId262" display="11955434" xr:uid="{F378BD7F-49AB-854D-87B1-6FB6CEC14B8B}"/>
    <hyperlink ref="AH135" r:id="rId263" display="24659802" xr:uid="{AD8BD5B1-5C47-034D-BE35-A65267A3B5A4}"/>
    <hyperlink ref="AG135" r:id="rId264" display="23255595" xr:uid="{160919E3-E221-C341-BDC2-391113DA4EAB}"/>
    <hyperlink ref="AH125" r:id="rId265" display="15611121" xr:uid="{A801FD07-E811-9E43-940F-FCE6BABC093D}"/>
    <hyperlink ref="AG125" r:id="rId266" display="9670022" xr:uid="{99EF3390-CE71-3C4C-A8EA-D085D6899D14}"/>
    <hyperlink ref="AJ123" r:id="rId267" display="17562712" xr:uid="{A59000E1-B1E7-B446-8115-CBED8894030D}"/>
    <hyperlink ref="AI123" r:id="rId268" display="12192056" xr:uid="{CC94B688-C04C-424B-B057-02D4387F1AD2}"/>
    <hyperlink ref="AH123" r:id="rId269" display="10523665" xr:uid="{5C7EB2B6-5650-F046-A170-FB52287FD273}"/>
    <hyperlink ref="AG123" r:id="rId270" display="7957046" xr:uid="{65698D81-90D4-C442-90A7-040DADD6F99F}"/>
    <hyperlink ref="AJ117" r:id="rId271" display="12006984" xr:uid="{14C44054-7ACD-EC4F-BEA4-F4A56D0BAFAE}"/>
    <hyperlink ref="AH71" r:id="rId272" display="7721814" xr:uid="{254C672D-C105-A746-9E7C-9B18C7AE8927}"/>
    <hyperlink ref="AI122" r:id="rId273" display="7721814" xr:uid="{22363530-C3D5-064A-AF56-5D1271EBC2B2}"/>
    <hyperlink ref="AH122" r:id="rId274" display="11907027" xr:uid="{382A5D2B-693F-6C4E-BC47-BA280005793E}"/>
    <hyperlink ref="AG122" r:id="rId275" display="8297393" xr:uid="{8AEA637B-C332-3E4D-866C-953A00264304}"/>
    <hyperlink ref="AH118" r:id="rId276" display="19622753" xr:uid="{A0028CF2-62CE-CE4B-B394-7F574B9F8730}"/>
    <hyperlink ref="AG118" r:id="rId277" display="11748279" xr:uid="{3727CDA8-4171-1F4B-9F9A-A4A5CDEFC2CE}"/>
    <hyperlink ref="AG117" r:id="rId278" display="11584276" xr:uid="{28A4F35F-2575-864D-B2A9-9625212120F5}"/>
    <hyperlink ref="AH117" r:id="rId279" display="20842712" xr:uid="{412ED214-D8B8-9C42-BB7A-BFE7E5E53267}"/>
    <hyperlink ref="AG42" r:id="rId280" display="24086303" xr:uid="{938A763E-FD81-3E4D-AC24-44023871FEF6}"/>
    <hyperlink ref="AG116" r:id="rId281" display="24821726" xr:uid="{6637D761-A1C1-2E4F-BEDD-FFD6C384350E}"/>
    <hyperlink ref="AG115" r:id="rId282" display="22328776" xr:uid="{654CC661-2C2A-624F-8D0F-171BF3CBE4C1}"/>
    <hyperlink ref="AG114" r:id="rId283" display="10464238" xr:uid="{0CB2121C-AEFD-FB42-9606-6F36EAA66BE8}"/>
    <hyperlink ref="AG113" r:id="rId284" display="18363964" xr:uid="{A100A7A0-0D11-124A-A269-A75387587612}"/>
    <hyperlink ref="AG112" r:id="rId285" display="18838382" xr:uid="{EE00B25D-1B2B-7E49-B358-7C75EAB429F7}"/>
    <hyperlink ref="AH111" r:id="rId286" display="19261807" xr:uid="{3F95FF11-74AF-0E48-84FB-82399E73FD47}"/>
    <hyperlink ref="AG111" r:id="rId287" display="8969170" xr:uid="{93D69D06-80CD-1341-AFEB-7829A1FD8B5C}"/>
    <hyperlink ref="AK110" r:id="rId288" display="12771149" xr:uid="{4F2EF55D-47EF-D148-B8DF-FC27528DDBB2}"/>
    <hyperlink ref="AJ110" r:id="rId289" display="23375260" xr:uid="{C773F013-902F-BD42-81F7-3E9D45100E52}"/>
    <hyperlink ref="AI110" r:id="rId290" display="15277544" xr:uid="{05882A4C-479C-1F4D-AC37-151113020889}"/>
    <hyperlink ref="AH110" r:id="rId291" display="16286926" xr:uid="{B8F09C49-DC13-BA47-988C-FC360ABAA72D}"/>
    <hyperlink ref="AG110" r:id="rId292" display="12351724" xr:uid="{4695875A-642D-9445-AFB7-6D6E4EDAEF69}"/>
    <hyperlink ref="AH109" r:id="rId293" display="23209303" xr:uid="{CDF64831-3AC9-E040-955C-AC732F7CA37A}"/>
    <hyperlink ref="AG109" r:id="rId294" display="11680691" xr:uid="{8C7B9D9B-A85E-9643-B6C6-581A542129C8}"/>
    <hyperlink ref="AJ107" r:id="rId295" display="15073184" xr:uid="{D60904B1-CB03-9543-982B-B34E7A152A23}"/>
    <hyperlink ref="AH107" r:id="rId296" display="19617897" xr:uid="{1254C7FC-09DB-F14D-AC5F-446D53A940C2}"/>
    <hyperlink ref="AG107" r:id="rId297" display="10579713" xr:uid="{6D99A0C1-3775-D747-97A2-FD86E0163298}"/>
    <hyperlink ref="AH106" r:id="rId298" display="15710388" xr:uid="{21BB506D-57FB-AB4C-8597-E8143AA2AD73}"/>
    <hyperlink ref="AG106" r:id="rId299" display="16968698" xr:uid="{009BA54C-BBEA-BF46-A71A-45CF61D73C65}"/>
    <hyperlink ref="AH105" r:id="rId300" display="25862245" xr:uid="{821079DE-F645-8942-A49C-5A42A1B50C94}"/>
    <hyperlink ref="AG105" r:id="rId301" display="18835169" xr:uid="{230F2C94-40C5-4045-931C-36E492C84CC8}"/>
    <hyperlink ref="AK104" r:id="rId302" display="17935486" xr:uid="{4E9BDF5F-879A-4E42-936A-5F6B0A65EF32}"/>
    <hyperlink ref="AJ104" r:id="rId303" display="12172552" xr:uid="{AE74AE9C-63FC-2141-BC19-8778FE79ADCA}"/>
    <hyperlink ref="AI104" r:id="rId304" display="19156867" xr:uid="{5820EA05-2BDB-D847-BCE2-10249958B472}"/>
    <hyperlink ref="AM97" r:id="rId305" display="22461490" xr:uid="{5C67C213-B4B1-5247-A1AA-7495E231B7FD}"/>
    <hyperlink ref="AG103" r:id="rId306" display="22461490" xr:uid="{7F95FFE4-D18D-8A4C-A5C4-0EAEEFAADE4F}"/>
    <hyperlink ref="AI102" r:id="rId307" display="16982419" xr:uid="{D21AD7FC-8BD3-8840-8BF3-31AAE2FDB0C1}"/>
    <hyperlink ref="AH102" r:id="rId308" display="18426980" xr:uid="{A34AE56E-5CC5-A548-855D-60616E5D93E0}"/>
    <hyperlink ref="AG101" r:id="rId309" display="17196961" xr:uid="{043214FD-5283-6347-AC30-0B1F335A8456}"/>
    <hyperlink ref="AG100" r:id="rId310" display="25339677" xr:uid="{F9DA4792-3B08-7C43-B321-5FC7CE76D4FA}"/>
    <hyperlink ref="AK99" r:id="rId311" display="26129894" xr:uid="{AD3056DB-4950-B840-993D-181C27CC3775}"/>
    <hyperlink ref="AJ99" r:id="rId312" display="12628187" xr:uid="{BC7D53E1-AC0F-DB49-80AF-CD02DF0B43E3}"/>
    <hyperlink ref="AI99" r:id="rId313" display="16464467" xr:uid="{E82F7894-EC9C-F646-9DCC-C6400CE2E5EF}"/>
    <hyperlink ref="AG99" r:id="rId314" display="17027967" xr:uid="{6DDCA5D1-BF93-B045-B10F-C37A9F0EF827}"/>
    <hyperlink ref="AJ98" r:id="rId315" display="14718541" xr:uid="{415ECB5D-D5D8-F640-9330-4379F8825510}"/>
    <hyperlink ref="AI98" r:id="rId316" display="21750657" xr:uid="{84551640-0E65-F14A-8B99-55BE7297F448}"/>
    <hyperlink ref="AH96" r:id="rId317" display="18056264" xr:uid="{59BCFC37-BB17-BF48-9ABD-69E04F942C22}"/>
    <hyperlink ref="AH99" r:id="rId318" display="18056264" xr:uid="{D3DF4FDF-9F06-CD47-A14B-E012A3A3BFCD}"/>
    <hyperlink ref="AH98" r:id="rId319" display="18056264" xr:uid="{A4236089-5E8D-804D-A690-D06C5267E8FD}"/>
    <hyperlink ref="AH104" r:id="rId320" display="18056264" xr:uid="{54E17956-3351-4A4F-A576-C152A9584C3A}"/>
    <hyperlink ref="AH97" r:id="rId321" display="18056264" xr:uid="{C60CC351-F8B9-3147-BD26-E2F1172A6AAB}"/>
    <hyperlink ref="AL97" r:id="rId322" display="25339677" xr:uid="{57E98074-BD06-B04F-867C-FC0B1B014A92}"/>
    <hyperlink ref="AK97" r:id="rId323" display="12871644" xr:uid="{25FAB220-07C7-D341-A474-B13FC5B66384}"/>
    <hyperlink ref="AJ97" r:id="rId324" display="10559471" xr:uid="{9886955C-0178-E245-983B-75E56C52FE86}"/>
    <hyperlink ref="AI97" r:id="rId325" display="12393632" xr:uid="{28747438-0218-F84C-9E05-99D320E8D818}"/>
    <hyperlink ref="AK96" r:id="rId326" display="14638695" xr:uid="{4E56A39F-1CC5-C041-97A2-F1E0879F5778}"/>
    <hyperlink ref="AJ96" r:id="rId327" display="12134158" xr:uid="{F26C59E4-9049-B04C-B644-56ECC6C9B02B}"/>
    <hyperlink ref="AI96" r:id="rId328" display="9808620" xr:uid="{176C128A-D825-1D4C-9D9C-AB13251FEDD2}"/>
    <hyperlink ref="AG104" r:id="rId329" display="12432077" xr:uid="{0CE5E10D-61B7-4D45-B4B9-1B85F484A3FC}"/>
    <hyperlink ref="AG102" r:id="rId330" display="12432077" xr:uid="{817C317E-62D4-FF41-B672-7CD6F83007D3}"/>
    <hyperlink ref="AG98" r:id="rId331" display="12432077" xr:uid="{288E7007-3B28-3541-A5F6-BA0EE10DBCC6}"/>
    <hyperlink ref="AG97" r:id="rId332" display="12432077" xr:uid="{D2C5AB14-E88B-6741-AB37-DC3C81D116B4}"/>
    <hyperlink ref="AG96" r:id="rId333" display="12432077" xr:uid="{E72006FD-E093-5449-BC90-6A95028F1619}"/>
    <hyperlink ref="AG95" r:id="rId334" display="14506234" xr:uid="{77122BF3-A3FD-B24E-A523-F419C1DA9033}"/>
    <hyperlink ref="AH46" r:id="rId335" display="25704760" xr:uid="{C57B1A2F-08AD-FC45-8A11-B60ED8D3A7D4}"/>
    <hyperlink ref="AG46" r:id="rId336" display="25458010" xr:uid="{A6C2D209-FF60-E942-A44C-E3F82B705C91}"/>
    <hyperlink ref="AH44" r:id="rId337" display="16628218" xr:uid="{4A25D2FE-0826-F144-9413-A5FE13CD1D05}"/>
    <hyperlink ref="AJ43" r:id="rId338" display="12877655" xr:uid="{8B8306E0-92EF-304C-BED1-3701A4A0DA64}"/>
    <hyperlink ref="AG44" r:id="rId339" display="12877655" xr:uid="{ABA2ACA0-46F3-EA44-87E8-8450C4036B1D}"/>
    <hyperlink ref="AI43" r:id="rId340" display="1644791" xr:uid="{C40A00FE-DA06-0F4D-B59C-93EE9CB7E28C}"/>
    <hyperlink ref="AH43" r:id="rId341" display="8336731" xr:uid="{E7331996-16B7-614A-8A72-28532311F2AB}"/>
    <hyperlink ref="AG43" r:id="rId342" display="1903516" xr:uid="{72B0F6F1-2023-3449-8839-0CA685C413E5}"/>
    <hyperlink ref="AH94" r:id="rId343" display="15107133" xr:uid="{B4A20C86-9891-0C4C-AA9D-E447B7BC90C8}"/>
    <hyperlink ref="AG94" r:id="rId344" display="25795300" xr:uid="{1733CBBC-7F50-1442-BA0D-CBEEABE29D23}"/>
    <hyperlink ref="AG91" r:id="rId345" display="15133129" xr:uid="{C44EBB20-EC65-A041-AAE5-8F4C59B37449}"/>
    <hyperlink ref="AL90" r:id="rId346" display="17606614" xr:uid="{D9E90F8D-98B7-E042-8B21-323752DD0661}"/>
    <hyperlink ref="AK90" r:id="rId347" display="15069594" xr:uid="{54334D69-8017-A341-8C9B-B43AF6DF8D32}"/>
    <hyperlink ref="AJ90" r:id="rId348" display="15322108" xr:uid="{7AFCFF4D-C952-694C-BD37-130B4D5F7997}"/>
    <hyperlink ref="AI90" r:id="rId349" display="16314529" xr:uid="{418B64D7-93C0-EE48-81C1-7400A790C162}"/>
    <hyperlink ref="AH90" r:id="rId350" display="11861769" xr:uid="{3391BF03-7E4A-7142-A1C8-6C7E261A8FAA}"/>
    <hyperlink ref="AG90" r:id="rId351" display="12547822" xr:uid="{A742E59D-44C2-C741-BD53-E337B13FCF64}"/>
    <hyperlink ref="AH80" r:id="rId352" display="24297911" xr:uid="{A9C19F6D-3159-B142-AF23-6B1C1344EB83}"/>
    <hyperlink ref="AG80" r:id="rId353" display="10559246" xr:uid="{34A2DD93-B041-564E-BC29-3573E214BD28}"/>
    <hyperlink ref="AJ79" r:id="rId354" display="18160719" xr:uid="{BD170D83-A847-6244-8E0A-2EB7BA4C7754}"/>
    <hyperlink ref="AG79" r:id="rId355" display="16492808" xr:uid="{A83F6B8E-F458-4B4A-A636-7467DCE4683C}"/>
    <hyperlink ref="AK78" r:id="rId356" display="10523848" xr:uid="{322B2601-E058-934D-960F-BC9041BCCFAC}"/>
    <hyperlink ref="AJ78" r:id="rId357" display="9726964" xr:uid="{3AD0886E-2803-7E44-95D5-0430FDE63547}"/>
    <hyperlink ref="AI79" r:id="rId358" display="9659915" xr:uid="{A716DCC8-C338-DD45-9F0D-DE1952EF904B}"/>
    <hyperlink ref="AI78" r:id="rId359" display="9659915" xr:uid="{5B20E63D-5F2A-DB41-99B9-559CF93122F3}"/>
    <hyperlink ref="AH79" r:id="rId360" display="11741931" xr:uid="{321C54D4-1A82-714A-8EFA-37EA1CD298CD}"/>
    <hyperlink ref="AH78" r:id="rId361" display="11741931" xr:uid="{70EC7B4B-432E-864A-9E0F-BA1B692F7FF2}"/>
    <hyperlink ref="AG78" r:id="rId362" display="15306850" xr:uid="{5D14D865-392D-0740-971F-3742F3AA6D4F}"/>
    <hyperlink ref="AJ77" r:id="rId363" display="21525037" xr:uid="{620DF21D-5E75-5342-B426-0324059116E9}"/>
    <hyperlink ref="AI77" r:id="rId364" display="17337446" xr:uid="{382D18BE-C29A-8A40-A82A-43CD58B138F0}"/>
    <hyperlink ref="AH77" r:id="rId365" display="19713215" xr:uid="{49BF9427-BD0F-AC47-BA90-642C3B953F44}"/>
    <hyperlink ref="AG77" r:id="rId366" display="15601624" xr:uid="{C7AFCBC0-03CD-F846-A1A8-A6F625F77A6F}"/>
    <hyperlink ref="AG76" r:id="rId367" display="17190834" xr:uid="{0169FFDB-A4F8-A14D-B5DA-B5C854E98800}"/>
    <hyperlink ref="AM76" r:id="rId368" display="18653540" xr:uid="{043D8CDD-965F-D84A-B452-BF0851D4EBA6}"/>
    <hyperlink ref="AL76" r:id="rId369" display="17704816" xr:uid="{91B144C4-8E9B-9F4D-9D7B-FD20F5684313}"/>
    <hyperlink ref="AH141" r:id="rId370" display="17145773" xr:uid="{A52DA77B-837A-F34A-AEFD-24E3AF6D7038}"/>
    <hyperlink ref="AK76" r:id="rId371" display="17145773" xr:uid="{7C44B3BD-98F9-AB42-8B43-21B89F315327}"/>
    <hyperlink ref="AG141" r:id="rId372" display="17599059" xr:uid="{F2CEF7FD-66AF-2340-804A-49F25D7BA446}"/>
    <hyperlink ref="AJ76" r:id="rId373" display="17599059" xr:uid="{56256A5F-ABE4-174F-B1F1-3665DD2E33F6}"/>
    <hyperlink ref="AI76" r:id="rId374" display="10947987" xr:uid="{77901AC3-321B-834B-AE83-52F68AC9AC95}"/>
    <hyperlink ref="AH76" r:id="rId375" display="17214551" xr:uid="{8EF69A2A-61EE-FC40-9AB7-20BB803132B3}"/>
    <hyperlink ref="AG75" r:id="rId376" display="12221096" xr:uid="{BB2C7E44-558C-A643-B2D2-69DDAE446703}"/>
    <hyperlink ref="AM74" r:id="rId377" display="12604587" xr:uid="{1442B403-9958-8046-960C-C02E6EC5C49F}"/>
    <hyperlink ref="AH74" r:id="rId378" display="8910315" xr:uid="{3196D26B-CEF8-4D47-B6CE-DC25BCA5D782}"/>
    <hyperlink ref="AL74" r:id="rId379" display="19667072" xr:uid="{FD2CDA48-C388-3349-8E4A-969E3F8D9DC2}"/>
    <hyperlink ref="AK74" r:id="rId380" display="19043560" xr:uid="{788809BC-38EE-EA43-B161-3B61DD8780AD}"/>
    <hyperlink ref="AJ74" r:id="rId381" display="11912491" xr:uid="{0115383D-AD2D-6D46-9CF4-AEEB1FCDC806}"/>
    <hyperlink ref="AI74" r:id="rId382" display="15996550" xr:uid="{10053E38-8659-2546-939A-858C17AE016E}"/>
    <hyperlink ref="AG74" r:id="rId383" display="9857026" xr:uid="{1CCBABAB-14E9-1F4B-AFBA-537B545FE70A}"/>
    <hyperlink ref="AI69" r:id="rId384" display="http://www.ncbi.nlm.nih.gov/pubmed/17116687" xr:uid="{9E6E65FB-48C7-9046-9F22-BE04CF3BD79E}"/>
    <hyperlink ref="AH89" r:id="rId385" display="18256687" xr:uid="{F8DABC1C-8699-5547-ABCF-BA55B204BBEF}"/>
    <hyperlink ref="AG89" r:id="rId386" display="15485661" xr:uid="{19C7C290-00CB-8D45-B85F-FFEF633D1939}"/>
    <hyperlink ref="AK88" r:id="rId387" display="23698346" xr:uid="{07CDA5EA-9B37-784B-974B-FDBF6D3641F5}"/>
    <hyperlink ref="AJ88" r:id="rId388" display="21258369" xr:uid="{84BD4D13-9C62-F341-83BE-A75ED8D725B3}"/>
    <hyperlink ref="AI88" r:id="rId389" display="15558029" xr:uid="{66045536-CF46-4842-9841-B975B7BAE836}"/>
    <hyperlink ref="AH88" r:id="rId390" display="14512443" xr:uid="{0F9E3867-E08A-664F-B233-258EBD2A3546}"/>
    <hyperlink ref="AG88" r:id="rId391" display="11085924" xr:uid="{F591038B-A5E0-5145-9F18-37AFD110B8C4}"/>
    <hyperlink ref="AH87" r:id="rId392" display="22911862" xr:uid="{AB030A38-739D-574A-A572-FE3FE7530078}"/>
    <hyperlink ref="AG87" r:id="rId393" display="12071859" xr:uid="{CC71F965-5AFF-9341-8772-4D48642A7438}"/>
    <hyperlink ref="AI86" r:id="rId394" display="20679435" xr:uid="{A40E620E-C14C-1F4F-BC48-C679B6A56E50}"/>
    <hyperlink ref="AH86" r:id="rId395" display="21139582" xr:uid="{B29E309A-FB93-1E4A-8E92-9CE0DDBC49D9}"/>
    <hyperlink ref="AG86" r:id="rId396" display="25063526" xr:uid="{883ABCE7-E45C-624B-AD03-A584F2425797}"/>
    <hyperlink ref="AG126" r:id="rId397" display="21029865" xr:uid="{A917DE19-140E-D446-9D3D-37B2AEC4468D}"/>
    <hyperlink ref="AI85" r:id="rId398" display="21029865" xr:uid="{E47D17EC-718A-5C40-A934-D7268EB2743B}"/>
    <hyperlink ref="AH85" r:id="rId399" display="23029280" xr:uid="{06B9A8F0-CBA3-774E-9B90-545C69294D67}"/>
    <hyperlink ref="AG85" r:id="rId400" display="12775584" xr:uid="{3A2D140E-E763-0941-89DC-5F9AB0211B4B}"/>
    <hyperlink ref="AG82" r:id="rId401" display="16112081" xr:uid="{E2471B51-956D-CD43-83F8-4E1ADD8DC4DE}"/>
    <hyperlink ref="AH81" r:id="rId402" display="21719701" xr:uid="{35C523CB-503C-8B41-BB91-92051FC70954}"/>
    <hyperlink ref="AG81" r:id="rId403" display="16896804" xr:uid="{CED5BD5C-EAB8-4B49-A8B8-56680B63225C}"/>
    <hyperlink ref="AH73" r:id="rId404" display="8810315" xr:uid="{6F2ABDCA-8445-3F4A-89BF-8906C220CF43}"/>
    <hyperlink ref="AH92" r:id="rId405" display="21454492" xr:uid="{DAAF010B-6642-E64D-B138-C8F4F17845D0}"/>
    <hyperlink ref="AG84" r:id="rId406" display="21454492" xr:uid="{2ED47290-FB21-CD47-86D7-A885FF86D387}"/>
    <hyperlink ref="AG83" r:id="rId407" display="21454492" xr:uid="{2108F1EE-6714-4B4A-9ED9-80ECDC286779}"/>
    <hyperlink ref="AG73" r:id="rId408" display="21454492" xr:uid="{9E865AC9-71F1-CD45-BF9B-505459A8A12F}"/>
    <hyperlink ref="AG92" r:id="rId409" display="11058585" xr:uid="{83CEE4D9-50EC-2F42-8E24-ADF2E2BE927D}"/>
    <hyperlink ref="AH8" r:id="rId410" display="12195014" xr:uid="{EAF8339C-8ECE-2F4F-BEFB-5C332B445634}"/>
    <hyperlink ref="AG63" r:id="rId411" display="12195014" xr:uid="{9D51EDF6-D278-A34F-AB3D-F523499B257E}"/>
    <hyperlink ref="AH63" r:id="rId412" display="16730001" xr:uid="{6F261F8E-D4EB-9846-8470-BAC10221B8F4}"/>
    <hyperlink ref="AG61" r:id="rId413" display="11672528" xr:uid="{6DBE6E57-75CF-D64A-9610-519827B0D7D2}"/>
    <hyperlink ref="AG69" r:id="rId414" display="7479768" xr:uid="{F7FC993A-B836-A148-820D-C1D3C645C863}"/>
    <hyperlink ref="AH47" r:id="rId415" display="17976533" xr:uid="{0F80B4C6-66C8-074B-A874-795C3A0D6CB1}"/>
    <hyperlink ref="AI65" r:id="rId416" display="17976533" xr:uid="{932ED743-0562-4F47-A9A9-EA5DC82C7562}"/>
    <hyperlink ref="AG64" r:id="rId417" display="17976533" xr:uid="{5E788A9C-B46A-1C42-8287-E0A0AE039FB2}"/>
    <hyperlink ref="AH65" r:id="rId418" display="16217026" xr:uid="{835154F8-53E8-BC41-A615-47DD437C2459}"/>
    <hyperlink ref="AG65" r:id="rId419" display="12531887" xr:uid="{6EA165C2-7901-554A-9CF7-19FFEFB9D4C2}"/>
    <hyperlink ref="AH60" r:id="rId420" display="21658605" xr:uid="{24FC3829-C52B-C042-8EDF-D07C76AD9D56}"/>
    <hyperlink ref="AG60" r:id="rId421" display="7621827" xr:uid="{F9245598-C657-5E48-8621-B1B5F65B19B5}"/>
    <hyperlink ref="AG59" r:id="rId422" display="7673236" xr:uid="{6C18BE91-A13B-154F-97B2-C4D961EDCB02}"/>
    <hyperlink ref="AG58" r:id="rId423" display="9497316" xr:uid="{58B4AFB4-A78E-154E-B864-F13DD85CACFB}"/>
    <hyperlink ref="AG55" r:id="rId424" display="9582072" xr:uid="{24C39E51-0945-624D-B6D3-07306B85A65D}"/>
    <hyperlink ref="AH55" r:id="rId425" display="12932438" xr:uid="{5DBFA7CB-F0F3-1243-AEF6-133CD0B884FA}"/>
    <hyperlink ref="AG54" r:id="rId426" display="12915445" xr:uid="{A32EDE92-A53C-9648-8E09-A29658C550C0}"/>
    <hyperlink ref="AG50" r:id="rId427" display="12093360" xr:uid="{B645B939-AF8A-6944-B04C-092586056B78}"/>
    <hyperlink ref="AG12" r:id="rId428" display="12944407" xr:uid="{FFCCF4C9-37D0-F94F-9AFC-F0C3069F0BFE}"/>
    <hyperlink ref="AH70" r:id="rId429" display="1903516" xr:uid="{59E5A42B-BA78-A34B-94A5-767FB620202A}"/>
    <hyperlink ref="AG35" r:id="rId430" display="12773384" xr:uid="{11A64BBF-FD88-3145-A755-3766D6FDC8E1}"/>
    <hyperlink ref="AG34" r:id="rId431" display="12819203" xr:uid="{665F1A5A-8289-2B44-B51D-6FA4C0B8AC1B}"/>
    <hyperlink ref="AG33" r:id="rId432" display="9786927" xr:uid="{99E03A85-207E-C640-8E00-9A9EED9900FD}"/>
    <hyperlink ref="AG32" r:id="rId433" display="21565175" xr:uid="{33BDC313-84C0-E24F-9F57-D20DDF77C988}"/>
    <hyperlink ref="AG31" r:id="rId434" display="9305890" xr:uid="{15810918-4117-0E47-B899-D54374054E81}"/>
    <hyperlink ref="AH28" r:id="rId435" display="8649427" xr:uid="{3E95A307-AC85-7244-9886-94D75CFD024F}"/>
    <hyperlink ref="AG27" r:id="rId436" display="22096251" xr:uid="{D0CF9EF5-1077-5544-8A0B-E25A788855F1}"/>
    <hyperlink ref="AH26" r:id="rId437" display="21911940" xr:uid="{289EE9AA-8031-A444-B33B-C9C81F0CCE4D}"/>
    <hyperlink ref="AG26" r:id="rId438" display="16862148" xr:uid="{DA294018-557D-9646-B194-A6EFE18ADDBF}"/>
    <hyperlink ref="AH24" r:id="rId439" display="21750657" xr:uid="{43676A9B-7ABA-FF4F-9C65-2CCC8535DA3E}"/>
    <hyperlink ref="AG24" r:id="rId440" display="18984162" xr:uid="{870721DC-B8E2-D14C-90E9-75B484905695}"/>
    <hyperlink ref="AH23" r:id="rId441" display="23200924" xr:uid="{123388E4-CE03-5E4C-BC98-F86F65EA4A12}"/>
    <hyperlink ref="AG22" r:id="rId442" display="16014623" xr:uid="{4322C62E-8D04-0941-8B9C-29311A539D1A}"/>
    <hyperlink ref="AG20" r:id="rId443" display="21865595" xr:uid="{65614AD5-2238-8E45-813D-EDC1616D5A1B}"/>
    <hyperlink ref="AG41" r:id="rId444" display="11431473" xr:uid="{33EE388E-3534-7B46-91FC-7DB475A6C8A6}"/>
    <hyperlink ref="AG19" r:id="rId445" display="11431473" xr:uid="{77055ADD-BB92-7348-BB25-000135108E7F}"/>
    <hyperlink ref="AG18" r:id="rId446" display="12650940" xr:uid="{F804E52E-9F41-5B46-9D04-EF04869DC957}"/>
    <hyperlink ref="AG28" r:id="rId447" display="11432776" xr:uid="{18F35B89-E595-6947-B9E5-E3ECB1479C75}"/>
    <hyperlink ref="AG14" r:id="rId448" display="11432776" xr:uid="{AFEC4F30-6048-5B47-9600-BD2206913654}"/>
    <hyperlink ref="AG13" r:id="rId449" display="11396949" xr:uid="{AAF5B3D9-6E0A-B945-8676-D4410C39558D}"/>
    <hyperlink ref="AG47" r:id="rId450" display="7835339" xr:uid="{A26D8116-2A87-4241-ACC6-CA32FECF117A}"/>
    <hyperlink ref="AG11" r:id="rId451" display="10699171" xr:uid="{40C96CA2-D448-6A4A-94AB-9B0BF2F4A788}"/>
    <hyperlink ref="AH9" r:id="rId452" display="17804252" xr:uid="{D3442B08-F465-B34A-A53F-B020990FB8B5}"/>
    <hyperlink ref="AG9" r:id="rId453" display="12414125" xr:uid="{59E93987-182D-AC47-8A7D-3FE1AD4DD7EC}"/>
    <hyperlink ref="AG8" r:id="rId454" display="16914516" xr:uid="{75C0D142-2546-F74E-BB6D-B432E8279749}"/>
    <hyperlink ref="AJ7" r:id="rId455" display="15546919" xr:uid="{4549E1C1-0AB6-5048-B363-C75A3AEE8C4C}"/>
    <hyperlink ref="AH7" r:id="rId456" display="15296756" xr:uid="{DA8EBCD3-AFBA-7D40-822E-3776D1C6AF23}"/>
    <hyperlink ref="AG7" r:id="rId457" display="11804589" xr:uid="{156E8A51-BF5F-1B42-B073-E5A2D18A96BF}"/>
    <hyperlink ref="AG6" r:id="rId458" display="17077126" xr:uid="{E613EC52-9E41-6D4C-8BAD-E17201431D6E}"/>
    <hyperlink ref="AG5" r:id="rId459" display="11804590" xr:uid="{7001852A-17E8-E048-A5D2-0DC9F1B82DD6}"/>
    <hyperlink ref="AG72" r:id="rId460" display="16049005" xr:uid="{16BEE9A0-C4C3-E64E-B4E2-2F70A509FFBA}"/>
    <hyperlink ref="AG71" r:id="rId461" display="11546812" xr:uid="{F9437306-D3E1-0947-B955-2EF9A10CCC5F}"/>
    <hyperlink ref="AG40" r:id="rId462" display="24335996" xr:uid="{3A353649-41AE-E640-9812-0434F9A41BB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46"/>
  <sheetViews>
    <sheetView tabSelected="1" topLeftCell="A2439" workbookViewId="0">
      <selection activeCell="O2" sqref="O2:R2"/>
    </sheetView>
  </sheetViews>
  <sheetFormatPr baseColWidth="10" defaultColWidth="11.5" defaultRowHeight="15" x14ac:dyDescent="0.2"/>
  <sheetData>
    <row r="1" spans="1:18" ht="26" x14ac:dyDescent="0.3">
      <c r="A1" s="125" t="s">
        <v>939</v>
      </c>
      <c r="B1" s="126"/>
      <c r="C1" s="126"/>
      <c r="D1" s="126"/>
      <c r="E1" s="126"/>
      <c r="F1" s="126"/>
      <c r="G1" s="126"/>
      <c r="H1" s="126"/>
      <c r="I1" s="126"/>
      <c r="J1" s="126"/>
      <c r="K1" s="126"/>
      <c r="L1" s="126"/>
      <c r="M1" s="126"/>
      <c r="N1" s="126"/>
    </row>
    <row r="2" spans="1:18" ht="16" x14ac:dyDescent="0.2">
      <c r="A2" s="40" t="s">
        <v>940</v>
      </c>
      <c r="B2" s="40" t="s">
        <v>941</v>
      </c>
      <c r="C2" s="40" t="s">
        <v>942</v>
      </c>
      <c r="D2" s="40" t="s">
        <v>943</v>
      </c>
      <c r="E2" s="40" t="s">
        <v>944</v>
      </c>
      <c r="F2" s="40" t="s">
        <v>945</v>
      </c>
      <c r="G2" s="40" t="s">
        <v>946</v>
      </c>
      <c r="H2" s="40" t="s">
        <v>947</v>
      </c>
      <c r="I2" s="40" t="s">
        <v>948</v>
      </c>
      <c r="J2" s="40" t="s">
        <v>949</v>
      </c>
      <c r="K2" s="40" t="s">
        <v>950</v>
      </c>
      <c r="L2" s="40" t="s">
        <v>951</v>
      </c>
      <c r="M2" s="40" t="s">
        <v>952</v>
      </c>
      <c r="N2" s="40" t="s">
        <v>953</v>
      </c>
      <c r="O2" s="170" t="s">
        <v>5013</v>
      </c>
      <c r="P2" s="170" t="s">
        <v>5014</v>
      </c>
      <c r="Q2" s="170" t="s">
        <v>5015</v>
      </c>
      <c r="R2" s="170" t="s">
        <v>5016</v>
      </c>
    </row>
    <row r="3" spans="1:18" ht="16" x14ac:dyDescent="0.2">
      <c r="A3" s="127" t="s">
        <v>954</v>
      </c>
      <c r="B3" t="s">
        <v>8</v>
      </c>
      <c r="C3" t="s">
        <v>1846</v>
      </c>
      <c r="D3" t="s">
        <v>1847</v>
      </c>
      <c r="E3">
        <v>3</v>
      </c>
      <c r="F3">
        <v>3</v>
      </c>
      <c r="G3">
        <v>1</v>
      </c>
      <c r="H3">
        <v>8.8293931657988196</v>
      </c>
      <c r="I3" t="s">
        <v>957</v>
      </c>
      <c r="J3" t="s">
        <v>1848</v>
      </c>
      <c r="K3">
        <v>6.4285714285714293E-2</v>
      </c>
      <c r="L3" t="s">
        <v>959</v>
      </c>
      <c r="M3">
        <v>0.76335877862595403</v>
      </c>
      <c r="N3" t="s">
        <v>960</v>
      </c>
      <c r="O3">
        <v>0</v>
      </c>
      <c r="P3">
        <v>0</v>
      </c>
      <c r="Q3">
        <v>0</v>
      </c>
      <c r="R3">
        <v>0</v>
      </c>
    </row>
    <row r="4" spans="1:18" ht="16" x14ac:dyDescent="0.2">
      <c r="A4" s="127" t="s">
        <v>954</v>
      </c>
      <c r="B4" t="s">
        <v>8</v>
      </c>
      <c r="C4" t="s">
        <v>2316</v>
      </c>
      <c r="D4" t="s">
        <v>2317</v>
      </c>
      <c r="E4" t="s">
        <v>1039</v>
      </c>
      <c r="F4">
        <v>3</v>
      </c>
      <c r="G4">
        <v>2</v>
      </c>
      <c r="H4">
        <v>5.9056499635254003</v>
      </c>
      <c r="I4" t="s">
        <v>957</v>
      </c>
      <c r="J4" t="s">
        <v>3285</v>
      </c>
      <c r="K4">
        <v>0.192857142857143</v>
      </c>
      <c r="L4" t="s">
        <v>959</v>
      </c>
      <c r="M4">
        <v>2.2900763358778602</v>
      </c>
      <c r="N4" t="s">
        <v>960</v>
      </c>
      <c r="O4">
        <v>0</v>
      </c>
      <c r="P4">
        <v>0</v>
      </c>
      <c r="Q4">
        <v>0</v>
      </c>
      <c r="R4">
        <v>0</v>
      </c>
    </row>
    <row r="5" spans="1:18" ht="16" x14ac:dyDescent="0.2">
      <c r="A5" s="127" t="s">
        <v>954</v>
      </c>
      <c r="B5" t="s">
        <v>8</v>
      </c>
      <c r="C5" t="s">
        <v>2111</v>
      </c>
      <c r="D5" t="s">
        <v>2112</v>
      </c>
      <c r="E5">
        <v>3</v>
      </c>
      <c r="F5">
        <v>3</v>
      </c>
      <c r="G5">
        <v>1</v>
      </c>
      <c r="H5">
        <v>4.9806777390422496</v>
      </c>
      <c r="I5" t="s">
        <v>957</v>
      </c>
      <c r="J5" t="s">
        <v>2113</v>
      </c>
      <c r="K5">
        <v>0.17142857142857101</v>
      </c>
      <c r="L5" t="s">
        <v>959</v>
      </c>
      <c r="M5">
        <v>1.5267175572519101</v>
      </c>
      <c r="N5" t="s">
        <v>960</v>
      </c>
      <c r="O5">
        <v>0</v>
      </c>
      <c r="P5">
        <v>0</v>
      </c>
      <c r="Q5">
        <v>0</v>
      </c>
      <c r="R5">
        <v>0</v>
      </c>
    </row>
    <row r="6" spans="1:18" ht="16" x14ac:dyDescent="0.2">
      <c r="A6" s="127" t="s">
        <v>954</v>
      </c>
      <c r="B6" t="s">
        <v>8</v>
      </c>
      <c r="C6" t="s">
        <v>310</v>
      </c>
      <c r="D6" t="s">
        <v>1113</v>
      </c>
      <c r="E6">
        <v>5</v>
      </c>
      <c r="F6">
        <v>5</v>
      </c>
      <c r="G6">
        <v>1</v>
      </c>
      <c r="H6">
        <v>5.8380946425535196</v>
      </c>
      <c r="I6" t="s">
        <v>957</v>
      </c>
      <c r="J6" t="s">
        <v>1114</v>
      </c>
      <c r="K6">
        <v>6.4285714285714293E-2</v>
      </c>
      <c r="L6" t="s">
        <v>959</v>
      </c>
      <c r="M6">
        <v>1.5267175572519101</v>
      </c>
      <c r="N6" t="s">
        <v>960</v>
      </c>
      <c r="O6">
        <v>0</v>
      </c>
      <c r="P6">
        <v>0</v>
      </c>
      <c r="Q6">
        <v>0</v>
      </c>
      <c r="R6">
        <v>0</v>
      </c>
    </row>
    <row r="7" spans="1:18" ht="16" x14ac:dyDescent="0.2">
      <c r="A7" s="127" t="s">
        <v>954</v>
      </c>
      <c r="B7" t="s">
        <v>8</v>
      </c>
      <c r="C7" t="s">
        <v>1641</v>
      </c>
      <c r="D7" t="s">
        <v>1642</v>
      </c>
      <c r="E7" t="s">
        <v>1085</v>
      </c>
      <c r="F7">
        <v>5</v>
      </c>
      <c r="G7">
        <v>2</v>
      </c>
      <c r="H7">
        <v>7.56608382583868</v>
      </c>
      <c r="I7" t="s">
        <v>957</v>
      </c>
      <c r="J7" t="s">
        <v>3397</v>
      </c>
      <c r="K7">
        <v>7.8571428571428598E-2</v>
      </c>
      <c r="L7" t="s">
        <v>959</v>
      </c>
      <c r="M7">
        <v>1.5267175572519101</v>
      </c>
      <c r="N7" t="s">
        <v>960</v>
      </c>
      <c r="O7">
        <v>0</v>
      </c>
      <c r="P7">
        <v>0</v>
      </c>
      <c r="Q7">
        <v>0</v>
      </c>
      <c r="R7">
        <v>0</v>
      </c>
    </row>
    <row r="8" spans="1:18" ht="16" x14ac:dyDescent="0.2">
      <c r="A8" s="127" t="s">
        <v>954</v>
      </c>
      <c r="B8" t="s">
        <v>8</v>
      </c>
      <c r="C8" t="s">
        <v>2403</v>
      </c>
      <c r="D8" t="s">
        <v>2404</v>
      </c>
      <c r="E8">
        <v>4</v>
      </c>
      <c r="F8">
        <v>4</v>
      </c>
      <c r="G8">
        <v>1</v>
      </c>
      <c r="H8">
        <v>10.922371432347999</v>
      </c>
      <c r="I8" t="s">
        <v>957</v>
      </c>
      <c r="J8" t="s">
        <v>2405</v>
      </c>
      <c r="K8">
        <v>2.8571428571428598E-2</v>
      </c>
      <c r="L8" t="s">
        <v>959</v>
      </c>
      <c r="M8">
        <v>0.76335877862595403</v>
      </c>
      <c r="N8" t="s">
        <v>960</v>
      </c>
      <c r="O8">
        <v>0</v>
      </c>
      <c r="P8">
        <v>0</v>
      </c>
      <c r="Q8">
        <v>0</v>
      </c>
      <c r="R8">
        <v>0</v>
      </c>
    </row>
    <row r="9" spans="1:18" ht="16" x14ac:dyDescent="0.2">
      <c r="A9" s="127" t="s">
        <v>954</v>
      </c>
      <c r="B9" t="s">
        <v>8</v>
      </c>
      <c r="C9" t="s">
        <v>991</v>
      </c>
      <c r="D9" t="s">
        <v>992</v>
      </c>
      <c r="E9">
        <v>3</v>
      </c>
      <c r="F9">
        <v>3</v>
      </c>
      <c r="G9">
        <v>1</v>
      </c>
      <c r="H9">
        <v>4.7379988353274998</v>
      </c>
      <c r="I9" t="s">
        <v>957</v>
      </c>
      <c r="J9" t="s">
        <v>1468</v>
      </c>
      <c r="K9">
        <v>0.107142857142857</v>
      </c>
      <c r="L9" t="s">
        <v>959</v>
      </c>
      <c r="M9">
        <v>3.0534351145038201</v>
      </c>
      <c r="N9" t="s">
        <v>960</v>
      </c>
      <c r="O9">
        <v>0</v>
      </c>
      <c r="P9">
        <v>0</v>
      </c>
      <c r="Q9">
        <v>0</v>
      </c>
      <c r="R9">
        <v>0</v>
      </c>
    </row>
    <row r="10" spans="1:18" ht="16" x14ac:dyDescent="0.2">
      <c r="A10" s="127" t="s">
        <v>954</v>
      </c>
      <c r="B10" t="s">
        <v>8</v>
      </c>
      <c r="C10" t="s">
        <v>1144</v>
      </c>
      <c r="D10" t="s">
        <v>1145</v>
      </c>
      <c r="E10">
        <v>7</v>
      </c>
      <c r="F10">
        <v>7</v>
      </c>
      <c r="G10">
        <v>1</v>
      </c>
      <c r="H10">
        <v>11.8321595661992</v>
      </c>
      <c r="I10" t="s">
        <v>957</v>
      </c>
      <c r="J10" t="s">
        <v>1146</v>
      </c>
      <c r="K10">
        <v>7.14285714285714E-3</v>
      </c>
      <c r="L10" t="s">
        <v>959</v>
      </c>
      <c r="M10">
        <v>0.76335877862595403</v>
      </c>
      <c r="N10" t="s">
        <v>960</v>
      </c>
      <c r="O10">
        <v>0</v>
      </c>
      <c r="P10">
        <v>0</v>
      </c>
      <c r="Q10">
        <v>0</v>
      </c>
      <c r="R10">
        <v>0</v>
      </c>
    </row>
    <row r="11" spans="1:18" ht="16" x14ac:dyDescent="0.2">
      <c r="A11" s="127" t="s">
        <v>954</v>
      </c>
      <c r="B11" t="s">
        <v>8</v>
      </c>
      <c r="C11" t="s">
        <v>2224</v>
      </c>
      <c r="D11" t="s">
        <v>2225</v>
      </c>
      <c r="E11">
        <v>6</v>
      </c>
      <c r="F11">
        <v>6</v>
      </c>
      <c r="G11">
        <v>1</v>
      </c>
      <c r="H11">
        <v>8.6487407315555593</v>
      </c>
      <c r="I11" t="s">
        <v>957</v>
      </c>
      <c r="J11" t="s">
        <v>2226</v>
      </c>
      <c r="K11">
        <v>7.8571428571428598E-2</v>
      </c>
      <c r="L11" t="s">
        <v>959</v>
      </c>
      <c r="M11">
        <v>0.76335877862595403</v>
      </c>
      <c r="N11" t="s">
        <v>960</v>
      </c>
      <c r="O11">
        <v>0</v>
      </c>
      <c r="P11">
        <v>0</v>
      </c>
      <c r="Q11">
        <v>0</v>
      </c>
      <c r="R11">
        <v>0</v>
      </c>
    </row>
    <row r="12" spans="1:18" ht="16" x14ac:dyDescent="0.2">
      <c r="A12" s="127" t="s">
        <v>954</v>
      </c>
      <c r="B12" t="s">
        <v>15</v>
      </c>
      <c r="C12" t="s">
        <v>2780</v>
      </c>
      <c r="D12" t="s">
        <v>3511</v>
      </c>
      <c r="E12" t="s">
        <v>3512</v>
      </c>
      <c r="F12">
        <v>9</v>
      </c>
      <c r="G12">
        <v>2</v>
      </c>
      <c r="H12">
        <v>4.0700624801442098</v>
      </c>
      <c r="I12" t="s">
        <v>957</v>
      </c>
      <c r="J12" t="s">
        <v>3513</v>
      </c>
      <c r="K12">
        <v>0.11764705882352899</v>
      </c>
      <c r="L12" t="s">
        <v>1099</v>
      </c>
      <c r="M12">
        <v>2.2900763358778602</v>
      </c>
      <c r="N12" t="s">
        <v>973</v>
      </c>
      <c r="O12">
        <v>0</v>
      </c>
      <c r="P12">
        <v>0</v>
      </c>
      <c r="Q12">
        <v>0</v>
      </c>
      <c r="R12">
        <v>0</v>
      </c>
    </row>
    <row r="13" spans="1:18" ht="16" x14ac:dyDescent="0.2">
      <c r="A13" s="127" t="s">
        <v>954</v>
      </c>
      <c r="B13" t="s">
        <v>15</v>
      </c>
      <c r="C13" t="s">
        <v>1670</v>
      </c>
      <c r="D13" t="s">
        <v>1671</v>
      </c>
      <c r="E13">
        <v>3</v>
      </c>
      <c r="F13">
        <v>3</v>
      </c>
      <c r="G13">
        <v>1</v>
      </c>
      <c r="H13">
        <v>6.2620784927354904</v>
      </c>
      <c r="I13" t="s">
        <v>957</v>
      </c>
      <c r="J13" t="s">
        <v>1672</v>
      </c>
      <c r="K13">
        <v>5.7142857142857099E-2</v>
      </c>
      <c r="L13" t="s">
        <v>959</v>
      </c>
      <c r="M13">
        <v>1.5267175572519101</v>
      </c>
      <c r="N13" t="s">
        <v>960</v>
      </c>
      <c r="O13">
        <v>0</v>
      </c>
      <c r="P13">
        <v>0</v>
      </c>
      <c r="Q13">
        <v>0</v>
      </c>
      <c r="R13">
        <v>0</v>
      </c>
    </row>
    <row r="14" spans="1:18" ht="16" x14ac:dyDescent="0.2">
      <c r="A14" s="127" t="s">
        <v>954</v>
      </c>
      <c r="B14" t="s">
        <v>15</v>
      </c>
      <c r="C14" t="s">
        <v>2070</v>
      </c>
      <c r="D14" t="s">
        <v>2071</v>
      </c>
      <c r="E14" t="s">
        <v>1059</v>
      </c>
      <c r="F14">
        <v>4</v>
      </c>
      <c r="G14">
        <v>2</v>
      </c>
      <c r="H14">
        <v>4.1231056256176597</v>
      </c>
      <c r="I14" t="s">
        <v>957</v>
      </c>
      <c r="J14" t="s">
        <v>2786</v>
      </c>
      <c r="K14">
        <v>5.8823529411764698E-2</v>
      </c>
      <c r="L14" t="s">
        <v>1099</v>
      </c>
      <c r="M14">
        <v>1.5267175572519101</v>
      </c>
      <c r="N14" t="s">
        <v>973</v>
      </c>
      <c r="O14">
        <v>0</v>
      </c>
      <c r="P14" t="s">
        <v>5017</v>
      </c>
      <c r="Q14">
        <v>0</v>
      </c>
      <c r="R14">
        <v>0</v>
      </c>
    </row>
    <row r="15" spans="1:18" ht="16" x14ac:dyDescent="0.2">
      <c r="A15" s="127" t="s">
        <v>954</v>
      </c>
      <c r="B15" t="s">
        <v>15</v>
      </c>
      <c r="C15" t="s">
        <v>2678</v>
      </c>
      <c r="D15" t="s">
        <v>2679</v>
      </c>
      <c r="E15" t="s">
        <v>2680</v>
      </c>
      <c r="F15">
        <v>65</v>
      </c>
      <c r="G15">
        <v>4</v>
      </c>
      <c r="H15">
        <v>4.1231056256176499</v>
      </c>
      <c r="I15" t="s">
        <v>957</v>
      </c>
      <c r="J15" t="s">
        <v>2681</v>
      </c>
      <c r="K15" t="s">
        <v>2682</v>
      </c>
      <c r="L15" t="s">
        <v>2377</v>
      </c>
      <c r="M15">
        <v>0.76335877862595403</v>
      </c>
      <c r="N15" t="s">
        <v>987</v>
      </c>
      <c r="O15">
        <v>0</v>
      </c>
      <c r="P15">
        <v>0</v>
      </c>
      <c r="Q15">
        <v>0</v>
      </c>
      <c r="R15">
        <v>0</v>
      </c>
    </row>
    <row r="16" spans="1:18" ht="16" x14ac:dyDescent="0.2">
      <c r="A16" s="127" t="s">
        <v>954</v>
      </c>
      <c r="B16" t="s">
        <v>21</v>
      </c>
      <c r="C16" t="s">
        <v>277</v>
      </c>
      <c r="D16" t="s">
        <v>3073</v>
      </c>
      <c r="E16">
        <v>30</v>
      </c>
      <c r="F16">
        <v>30</v>
      </c>
      <c r="G16">
        <v>1</v>
      </c>
      <c r="H16">
        <v>11.8321595661992</v>
      </c>
      <c r="I16" t="s">
        <v>957</v>
      </c>
      <c r="J16" t="s">
        <v>3074</v>
      </c>
      <c r="K16">
        <v>7.14285714285714E-3</v>
      </c>
      <c r="L16" t="s">
        <v>959</v>
      </c>
      <c r="M16">
        <v>0.76335877862595403</v>
      </c>
      <c r="N16" t="s">
        <v>960</v>
      </c>
      <c r="O16">
        <v>0</v>
      </c>
      <c r="P16">
        <v>0</v>
      </c>
      <c r="Q16">
        <v>0</v>
      </c>
      <c r="R16">
        <v>0</v>
      </c>
    </row>
    <row r="17" spans="1:18" ht="16" x14ac:dyDescent="0.2">
      <c r="A17" s="127" t="s">
        <v>954</v>
      </c>
      <c r="B17" t="s">
        <v>21</v>
      </c>
      <c r="C17" t="s">
        <v>1828</v>
      </c>
      <c r="D17" t="s">
        <v>1829</v>
      </c>
      <c r="E17">
        <v>3</v>
      </c>
      <c r="F17">
        <v>3</v>
      </c>
      <c r="G17">
        <v>1</v>
      </c>
      <c r="H17">
        <v>11.8321595661992</v>
      </c>
      <c r="I17" t="s">
        <v>957</v>
      </c>
      <c r="J17" t="s">
        <v>1830</v>
      </c>
      <c r="K17">
        <v>7.14285714285714E-3</v>
      </c>
      <c r="L17" t="s">
        <v>959</v>
      </c>
      <c r="M17">
        <v>0.76335877862595403</v>
      </c>
      <c r="N17" t="s">
        <v>960</v>
      </c>
      <c r="O17">
        <v>0</v>
      </c>
      <c r="P17">
        <v>0</v>
      </c>
      <c r="Q17">
        <v>0</v>
      </c>
      <c r="R17">
        <v>0</v>
      </c>
    </row>
    <row r="18" spans="1:18" ht="16" x14ac:dyDescent="0.2">
      <c r="A18" s="127" t="s">
        <v>954</v>
      </c>
      <c r="B18" t="s">
        <v>32</v>
      </c>
      <c r="C18" t="s">
        <v>2859</v>
      </c>
      <c r="D18" t="s">
        <v>2860</v>
      </c>
      <c r="E18" t="s">
        <v>3143</v>
      </c>
      <c r="F18">
        <v>20</v>
      </c>
      <c r="G18">
        <v>2</v>
      </c>
      <c r="H18">
        <v>10.7058758561344</v>
      </c>
      <c r="I18" t="s">
        <v>957</v>
      </c>
      <c r="J18" t="s">
        <v>2861</v>
      </c>
      <c r="K18">
        <v>1.4285714285714299E-2</v>
      </c>
      <c r="L18" t="s">
        <v>959</v>
      </c>
      <c r="M18">
        <v>1.5267175572519101</v>
      </c>
      <c r="N18" t="s">
        <v>960</v>
      </c>
      <c r="O18">
        <v>0</v>
      </c>
      <c r="P18" t="s">
        <v>5018</v>
      </c>
      <c r="Q18">
        <v>0</v>
      </c>
      <c r="R18" t="s">
        <v>5019</v>
      </c>
    </row>
    <row r="19" spans="1:18" ht="16" x14ac:dyDescent="0.2">
      <c r="A19" s="127" t="s">
        <v>954</v>
      </c>
      <c r="B19" t="s">
        <v>32</v>
      </c>
      <c r="C19" t="s">
        <v>2339</v>
      </c>
      <c r="D19" t="s">
        <v>2340</v>
      </c>
      <c r="E19" t="s">
        <v>1442</v>
      </c>
      <c r="F19">
        <v>5</v>
      </c>
      <c r="G19">
        <v>2</v>
      </c>
      <c r="H19">
        <v>4.71540584031957</v>
      </c>
      <c r="I19" t="s">
        <v>957</v>
      </c>
      <c r="J19" t="s">
        <v>2341</v>
      </c>
      <c r="K19">
        <v>0.1</v>
      </c>
      <c r="L19" t="s">
        <v>959</v>
      </c>
      <c r="M19">
        <v>1.5267175572519101</v>
      </c>
      <c r="N19" t="s">
        <v>960</v>
      </c>
      <c r="O19">
        <v>0</v>
      </c>
      <c r="P19">
        <v>0</v>
      </c>
      <c r="Q19">
        <v>0</v>
      </c>
      <c r="R19">
        <v>0</v>
      </c>
    </row>
    <row r="20" spans="1:18" ht="16" x14ac:dyDescent="0.2">
      <c r="A20" s="127" t="s">
        <v>954</v>
      </c>
      <c r="B20" t="s">
        <v>37</v>
      </c>
      <c r="C20" t="s">
        <v>2859</v>
      </c>
      <c r="D20" t="s">
        <v>2860</v>
      </c>
      <c r="E20" t="s">
        <v>1212</v>
      </c>
      <c r="F20">
        <v>10</v>
      </c>
      <c r="G20">
        <v>2</v>
      </c>
      <c r="H20">
        <v>5.0382757122887503</v>
      </c>
      <c r="I20" t="s">
        <v>957</v>
      </c>
      <c r="J20" t="s">
        <v>2861</v>
      </c>
      <c r="K20">
        <v>1.4285714285714299E-2</v>
      </c>
      <c r="L20" t="s">
        <v>959</v>
      </c>
      <c r="M20">
        <v>1.5267175572519101</v>
      </c>
      <c r="N20" t="s">
        <v>960</v>
      </c>
      <c r="O20">
        <v>0</v>
      </c>
      <c r="P20" t="s">
        <v>5018</v>
      </c>
      <c r="Q20">
        <v>0</v>
      </c>
      <c r="R20" t="s">
        <v>5019</v>
      </c>
    </row>
    <row r="21" spans="1:18" ht="16" x14ac:dyDescent="0.2">
      <c r="A21" s="127" t="s">
        <v>954</v>
      </c>
      <c r="B21" t="s">
        <v>41</v>
      </c>
      <c r="C21" t="s">
        <v>243</v>
      </c>
      <c r="D21" t="s">
        <v>2959</v>
      </c>
      <c r="E21">
        <v>12</v>
      </c>
      <c r="F21">
        <v>12</v>
      </c>
      <c r="G21">
        <v>1</v>
      </c>
      <c r="H21">
        <v>9.8465296927908508</v>
      </c>
      <c r="I21" t="s">
        <v>957</v>
      </c>
      <c r="J21" t="s">
        <v>3466</v>
      </c>
      <c r="K21">
        <v>2.1428571428571401E-2</v>
      </c>
      <c r="L21" t="s">
        <v>959</v>
      </c>
      <c r="M21">
        <v>1.5267175572519101</v>
      </c>
      <c r="N21" t="s">
        <v>960</v>
      </c>
      <c r="O21">
        <v>0</v>
      </c>
      <c r="P21">
        <v>0</v>
      </c>
      <c r="Q21">
        <v>0</v>
      </c>
      <c r="R21">
        <v>0</v>
      </c>
    </row>
    <row r="22" spans="1:18" ht="16" x14ac:dyDescent="0.2">
      <c r="A22" s="127" t="s">
        <v>954</v>
      </c>
      <c r="B22" t="s">
        <v>41</v>
      </c>
      <c r="C22" t="s">
        <v>1731</v>
      </c>
      <c r="D22" t="s">
        <v>1732</v>
      </c>
      <c r="E22">
        <v>5</v>
      </c>
      <c r="F22">
        <v>5</v>
      </c>
      <c r="G22">
        <v>1</v>
      </c>
      <c r="H22">
        <v>7.8006943748557296</v>
      </c>
      <c r="I22" t="s">
        <v>957</v>
      </c>
      <c r="J22" t="s">
        <v>3177</v>
      </c>
      <c r="K22">
        <v>2.8571428571428598E-2</v>
      </c>
      <c r="L22" t="s">
        <v>959</v>
      </c>
      <c r="M22">
        <v>2.2900763358778602</v>
      </c>
      <c r="N22" t="s">
        <v>987</v>
      </c>
      <c r="O22">
        <v>0</v>
      </c>
      <c r="P22">
        <v>0</v>
      </c>
      <c r="Q22">
        <v>0</v>
      </c>
      <c r="R22">
        <v>0</v>
      </c>
    </row>
    <row r="23" spans="1:18" ht="16" x14ac:dyDescent="0.2">
      <c r="A23" s="127" t="s">
        <v>954</v>
      </c>
      <c r="B23" t="s">
        <v>41</v>
      </c>
      <c r="C23" t="s">
        <v>2390</v>
      </c>
      <c r="D23" t="s">
        <v>2391</v>
      </c>
      <c r="E23">
        <v>6</v>
      </c>
      <c r="F23">
        <v>6</v>
      </c>
      <c r="G23">
        <v>1</v>
      </c>
      <c r="H23">
        <v>8.1443432482157494</v>
      </c>
      <c r="I23" t="s">
        <v>957</v>
      </c>
      <c r="J23" t="s">
        <v>2392</v>
      </c>
      <c r="K23">
        <v>4.2857142857142899E-2</v>
      </c>
      <c r="L23" t="s">
        <v>959</v>
      </c>
      <c r="M23">
        <v>1.5267175572519101</v>
      </c>
      <c r="N23" t="s">
        <v>960</v>
      </c>
      <c r="O23">
        <v>0</v>
      </c>
      <c r="P23">
        <v>0</v>
      </c>
      <c r="Q23">
        <v>0</v>
      </c>
      <c r="R23">
        <v>0</v>
      </c>
    </row>
    <row r="24" spans="1:18" ht="16" x14ac:dyDescent="0.2">
      <c r="A24" s="127" t="s">
        <v>954</v>
      </c>
      <c r="B24" t="s">
        <v>41</v>
      </c>
      <c r="C24" t="s">
        <v>1547</v>
      </c>
      <c r="D24" t="s">
        <v>1548</v>
      </c>
      <c r="E24">
        <v>19</v>
      </c>
      <c r="F24">
        <v>19</v>
      </c>
      <c r="G24">
        <v>1</v>
      </c>
      <c r="H24">
        <v>6.7774347084465303</v>
      </c>
      <c r="I24" t="s">
        <v>957</v>
      </c>
      <c r="J24" t="s">
        <v>1549</v>
      </c>
      <c r="K24">
        <v>5.7142857142857099E-2</v>
      </c>
      <c r="L24" t="s">
        <v>959</v>
      </c>
      <c r="M24">
        <v>1.5267175572519101</v>
      </c>
      <c r="N24" t="s">
        <v>960</v>
      </c>
      <c r="O24">
        <v>0</v>
      </c>
      <c r="P24">
        <v>0</v>
      </c>
      <c r="Q24">
        <v>0</v>
      </c>
      <c r="R24">
        <v>0</v>
      </c>
    </row>
    <row r="25" spans="1:18" ht="16" x14ac:dyDescent="0.2">
      <c r="A25" s="127" t="s">
        <v>954</v>
      </c>
      <c r="B25" t="s">
        <v>41</v>
      </c>
      <c r="C25" t="s">
        <v>1312</v>
      </c>
      <c r="D25" t="s">
        <v>1313</v>
      </c>
      <c r="E25">
        <v>3</v>
      </c>
      <c r="F25">
        <v>3</v>
      </c>
      <c r="G25">
        <v>1</v>
      </c>
      <c r="H25">
        <v>5.1510891938413597</v>
      </c>
      <c r="I25" t="s">
        <v>957</v>
      </c>
      <c r="J25" t="s">
        <v>2621</v>
      </c>
      <c r="K25">
        <v>5.7142857142857099E-2</v>
      </c>
      <c r="L25" t="s">
        <v>959</v>
      </c>
      <c r="M25">
        <v>1.5267175572519101</v>
      </c>
      <c r="N25" t="s">
        <v>960</v>
      </c>
      <c r="O25">
        <v>0</v>
      </c>
      <c r="P25">
        <v>0</v>
      </c>
      <c r="Q25">
        <v>0</v>
      </c>
      <c r="R25">
        <v>0</v>
      </c>
    </row>
    <row r="26" spans="1:18" ht="16" x14ac:dyDescent="0.2">
      <c r="A26" s="127" t="s">
        <v>954</v>
      </c>
      <c r="B26" t="s">
        <v>41</v>
      </c>
      <c r="C26" t="s">
        <v>1412</v>
      </c>
      <c r="D26" t="s">
        <v>1413</v>
      </c>
      <c r="E26">
        <v>4</v>
      </c>
      <c r="F26">
        <v>4</v>
      </c>
      <c r="G26">
        <v>1</v>
      </c>
      <c r="H26">
        <v>6.6927425181383704</v>
      </c>
      <c r="I26" t="s">
        <v>957</v>
      </c>
      <c r="J26" t="s">
        <v>1414</v>
      </c>
      <c r="K26">
        <v>4.2857142857142899E-2</v>
      </c>
      <c r="L26" t="s">
        <v>959</v>
      </c>
      <c r="M26">
        <v>1.5267175572519101</v>
      </c>
      <c r="N26" t="s">
        <v>960</v>
      </c>
      <c r="O26">
        <v>0</v>
      </c>
      <c r="P26">
        <v>0</v>
      </c>
      <c r="Q26">
        <v>0</v>
      </c>
      <c r="R26">
        <v>0</v>
      </c>
    </row>
    <row r="27" spans="1:18" ht="16" x14ac:dyDescent="0.2">
      <c r="A27" s="127" t="s">
        <v>954</v>
      </c>
      <c r="B27" t="s">
        <v>41</v>
      </c>
      <c r="C27" t="s">
        <v>1127</v>
      </c>
      <c r="D27" t="s">
        <v>1128</v>
      </c>
      <c r="E27">
        <v>8</v>
      </c>
      <c r="F27">
        <v>8</v>
      </c>
      <c r="G27">
        <v>1</v>
      </c>
      <c r="H27">
        <v>5.3984037316883402</v>
      </c>
      <c r="I27" t="s">
        <v>957</v>
      </c>
      <c r="J27" t="s">
        <v>1129</v>
      </c>
      <c r="K27">
        <v>6.4285714285714293E-2</v>
      </c>
      <c r="L27" t="s">
        <v>959</v>
      </c>
      <c r="M27">
        <v>1.5267175572519101</v>
      </c>
      <c r="N27" t="s">
        <v>960</v>
      </c>
      <c r="O27">
        <v>0</v>
      </c>
      <c r="P27">
        <v>0</v>
      </c>
      <c r="Q27">
        <v>0</v>
      </c>
      <c r="R27">
        <v>0</v>
      </c>
    </row>
    <row r="28" spans="1:18" ht="16" x14ac:dyDescent="0.2">
      <c r="A28" s="127" t="s">
        <v>954</v>
      </c>
      <c r="B28" t="s">
        <v>41</v>
      </c>
      <c r="C28" t="s">
        <v>1163</v>
      </c>
      <c r="D28" t="s">
        <v>1164</v>
      </c>
      <c r="E28">
        <v>4</v>
      </c>
      <c r="F28">
        <v>4</v>
      </c>
      <c r="G28">
        <v>1</v>
      </c>
      <c r="H28">
        <v>6.0415713172577403</v>
      </c>
      <c r="I28" t="s">
        <v>957</v>
      </c>
      <c r="J28" t="s">
        <v>1165</v>
      </c>
      <c r="K28">
        <v>0.05</v>
      </c>
      <c r="L28" t="s">
        <v>959</v>
      </c>
      <c r="M28">
        <v>2.2900763358778602</v>
      </c>
      <c r="N28" t="s">
        <v>960</v>
      </c>
      <c r="O28">
        <v>0</v>
      </c>
      <c r="P28">
        <v>0</v>
      </c>
      <c r="Q28">
        <v>0</v>
      </c>
      <c r="R28">
        <v>0</v>
      </c>
    </row>
    <row r="29" spans="1:18" ht="16" x14ac:dyDescent="0.2">
      <c r="A29" s="127" t="s">
        <v>954</v>
      </c>
      <c r="B29" t="s">
        <v>41</v>
      </c>
      <c r="C29" t="s">
        <v>1368</v>
      </c>
      <c r="D29" t="s">
        <v>1369</v>
      </c>
      <c r="E29">
        <v>3</v>
      </c>
      <c r="F29">
        <v>3</v>
      </c>
      <c r="G29">
        <v>1</v>
      </c>
      <c r="H29">
        <v>5.1687255047651703</v>
      </c>
      <c r="I29" t="s">
        <v>957</v>
      </c>
      <c r="J29" t="s">
        <v>2683</v>
      </c>
      <c r="K29">
        <v>4.2857142857142899E-2</v>
      </c>
      <c r="L29" t="s">
        <v>959</v>
      </c>
      <c r="M29">
        <v>2.2900763358778602</v>
      </c>
      <c r="N29" t="s">
        <v>960</v>
      </c>
      <c r="O29">
        <v>0</v>
      </c>
      <c r="P29">
        <v>0</v>
      </c>
      <c r="Q29">
        <v>0</v>
      </c>
      <c r="R29">
        <v>0</v>
      </c>
    </row>
    <row r="30" spans="1:18" ht="16" x14ac:dyDescent="0.2">
      <c r="A30" s="127" t="s">
        <v>954</v>
      </c>
      <c r="B30" t="s">
        <v>41</v>
      </c>
      <c r="C30" t="s">
        <v>1629</v>
      </c>
      <c r="D30" t="s">
        <v>1630</v>
      </c>
      <c r="E30">
        <v>6</v>
      </c>
      <c r="F30">
        <v>6</v>
      </c>
      <c r="G30">
        <v>1</v>
      </c>
      <c r="H30">
        <v>7.1917379969180297</v>
      </c>
      <c r="I30" t="s">
        <v>957</v>
      </c>
      <c r="J30" t="s">
        <v>1631</v>
      </c>
      <c r="K30">
        <v>8.5714285714285701E-2</v>
      </c>
      <c r="L30" t="s">
        <v>959</v>
      </c>
      <c r="M30">
        <v>1.5267175572519101</v>
      </c>
      <c r="N30" t="s">
        <v>960</v>
      </c>
      <c r="O30">
        <v>0</v>
      </c>
      <c r="P30">
        <v>0</v>
      </c>
      <c r="Q30">
        <v>0</v>
      </c>
      <c r="R30">
        <v>0</v>
      </c>
    </row>
    <row r="31" spans="1:18" ht="16" x14ac:dyDescent="0.2">
      <c r="A31" s="127" t="s">
        <v>954</v>
      </c>
      <c r="B31" t="s">
        <v>41</v>
      </c>
      <c r="C31" t="s">
        <v>1124</v>
      </c>
      <c r="D31" t="s">
        <v>1125</v>
      </c>
      <c r="E31" t="s">
        <v>1706</v>
      </c>
      <c r="F31">
        <v>14</v>
      </c>
      <c r="G31">
        <v>2</v>
      </c>
      <c r="H31">
        <v>4.6737373591867302</v>
      </c>
      <c r="I31" t="s">
        <v>957</v>
      </c>
      <c r="J31" t="s">
        <v>3458</v>
      </c>
      <c r="K31">
        <v>5.7142857142857099E-2</v>
      </c>
      <c r="L31" t="s">
        <v>959</v>
      </c>
      <c r="M31">
        <v>2.2900763358778602</v>
      </c>
      <c r="N31" t="s">
        <v>960</v>
      </c>
      <c r="O31">
        <v>0</v>
      </c>
      <c r="P31">
        <v>0</v>
      </c>
      <c r="Q31">
        <v>0</v>
      </c>
      <c r="R31">
        <v>0</v>
      </c>
    </row>
    <row r="32" spans="1:18" ht="16" x14ac:dyDescent="0.2">
      <c r="A32" s="127" t="s">
        <v>954</v>
      </c>
      <c r="B32" t="s">
        <v>41</v>
      </c>
      <c r="C32" t="s">
        <v>1683</v>
      </c>
      <c r="D32" t="s">
        <v>1684</v>
      </c>
      <c r="E32">
        <v>4</v>
      </c>
      <c r="F32">
        <v>4</v>
      </c>
      <c r="G32">
        <v>1</v>
      </c>
      <c r="H32">
        <v>6.4465011478460399</v>
      </c>
      <c r="I32" t="s">
        <v>957</v>
      </c>
      <c r="J32" t="s">
        <v>1685</v>
      </c>
      <c r="K32">
        <v>2.8571428571428598E-2</v>
      </c>
      <c r="L32" t="s">
        <v>959</v>
      </c>
      <c r="M32">
        <v>2.2900763358778602</v>
      </c>
      <c r="N32" t="s">
        <v>960</v>
      </c>
      <c r="O32">
        <v>0</v>
      </c>
      <c r="P32">
        <v>0</v>
      </c>
      <c r="Q32">
        <v>0</v>
      </c>
      <c r="R32">
        <v>0</v>
      </c>
    </row>
    <row r="33" spans="1:18" ht="16" x14ac:dyDescent="0.2">
      <c r="A33" s="127" t="s">
        <v>954</v>
      </c>
      <c r="B33" t="s">
        <v>41</v>
      </c>
      <c r="C33" t="s">
        <v>3391</v>
      </c>
      <c r="D33" t="s">
        <v>3392</v>
      </c>
      <c r="E33">
        <v>3</v>
      </c>
      <c r="F33">
        <v>3</v>
      </c>
      <c r="G33">
        <v>1</v>
      </c>
      <c r="H33">
        <v>8.96015202573731</v>
      </c>
      <c r="I33" t="s">
        <v>957</v>
      </c>
      <c r="J33" t="s">
        <v>3393</v>
      </c>
      <c r="K33">
        <v>3.5714285714285698E-2</v>
      </c>
      <c r="L33" t="s">
        <v>959</v>
      </c>
      <c r="M33">
        <v>0.76335877862595403</v>
      </c>
      <c r="N33" t="s">
        <v>960</v>
      </c>
      <c r="O33">
        <v>0</v>
      </c>
      <c r="P33">
        <v>0</v>
      </c>
      <c r="Q33">
        <v>0</v>
      </c>
      <c r="R33">
        <v>0</v>
      </c>
    </row>
    <row r="34" spans="1:18" ht="16" x14ac:dyDescent="0.2">
      <c r="A34" s="127" t="s">
        <v>954</v>
      </c>
      <c r="B34" t="s">
        <v>70</v>
      </c>
      <c r="C34" t="s">
        <v>2523</v>
      </c>
      <c r="D34" t="s">
        <v>2524</v>
      </c>
      <c r="E34">
        <v>8</v>
      </c>
      <c r="F34">
        <v>8</v>
      </c>
      <c r="G34">
        <v>1</v>
      </c>
      <c r="H34">
        <v>8.6476772417986094</v>
      </c>
      <c r="I34" t="s">
        <v>957</v>
      </c>
      <c r="J34" t="s">
        <v>2525</v>
      </c>
      <c r="K34">
        <v>3.5714285714285698E-2</v>
      </c>
      <c r="L34" t="s">
        <v>959</v>
      </c>
      <c r="M34">
        <v>1.5267175572519101</v>
      </c>
      <c r="N34" t="s">
        <v>960</v>
      </c>
      <c r="O34">
        <v>0</v>
      </c>
      <c r="P34">
        <v>0</v>
      </c>
      <c r="Q34">
        <v>0</v>
      </c>
      <c r="R34">
        <v>0</v>
      </c>
    </row>
    <row r="35" spans="1:18" ht="16" x14ac:dyDescent="0.2">
      <c r="A35" s="127" t="s">
        <v>954</v>
      </c>
      <c r="B35" t="s">
        <v>70</v>
      </c>
      <c r="C35" t="s">
        <v>2332</v>
      </c>
      <c r="D35" t="s">
        <v>2333</v>
      </c>
      <c r="E35" t="s">
        <v>1022</v>
      </c>
      <c r="F35">
        <v>3</v>
      </c>
      <c r="G35">
        <v>2</v>
      </c>
      <c r="H35">
        <v>5.7135355719710299</v>
      </c>
      <c r="I35" t="s">
        <v>957</v>
      </c>
      <c r="J35" t="s">
        <v>2896</v>
      </c>
      <c r="K35">
        <v>2.1428571428571401E-2</v>
      </c>
      <c r="L35" t="s">
        <v>959</v>
      </c>
      <c r="M35">
        <v>2.2900763358778602</v>
      </c>
      <c r="N35" t="s">
        <v>960</v>
      </c>
      <c r="O35">
        <v>0</v>
      </c>
      <c r="P35">
        <v>0</v>
      </c>
      <c r="Q35">
        <v>0</v>
      </c>
      <c r="R35">
        <v>0</v>
      </c>
    </row>
    <row r="36" spans="1:18" ht="16" x14ac:dyDescent="0.2">
      <c r="A36" s="127" t="s">
        <v>954</v>
      </c>
      <c r="B36" t="s">
        <v>70</v>
      </c>
      <c r="C36" t="s">
        <v>1960</v>
      </c>
      <c r="D36" t="s">
        <v>1961</v>
      </c>
      <c r="E36">
        <v>6</v>
      </c>
      <c r="F36">
        <v>6</v>
      </c>
      <c r="G36">
        <v>1</v>
      </c>
      <c r="H36">
        <v>5.0946999474984302</v>
      </c>
      <c r="I36" t="s">
        <v>957</v>
      </c>
      <c r="J36" t="s">
        <v>1962</v>
      </c>
      <c r="K36">
        <v>8.5714285714285701E-2</v>
      </c>
      <c r="L36" t="s">
        <v>959</v>
      </c>
      <c r="M36">
        <v>2.2900763358778602</v>
      </c>
      <c r="N36" t="s">
        <v>960</v>
      </c>
      <c r="O36">
        <v>0</v>
      </c>
      <c r="P36">
        <v>0</v>
      </c>
      <c r="Q36">
        <v>0</v>
      </c>
      <c r="R36">
        <v>0</v>
      </c>
    </row>
    <row r="37" spans="1:18" ht="16" x14ac:dyDescent="0.2">
      <c r="A37" s="127" t="s">
        <v>954</v>
      </c>
      <c r="B37" t="s">
        <v>70</v>
      </c>
      <c r="C37" t="s">
        <v>1686</v>
      </c>
      <c r="D37" t="s">
        <v>1687</v>
      </c>
      <c r="E37" t="s">
        <v>1688</v>
      </c>
      <c r="F37">
        <v>9</v>
      </c>
      <c r="G37">
        <v>2</v>
      </c>
      <c r="H37">
        <v>8.8302192033898894</v>
      </c>
      <c r="I37" t="s">
        <v>957</v>
      </c>
      <c r="J37" t="s">
        <v>1689</v>
      </c>
      <c r="K37">
        <v>4.2857142857142899E-2</v>
      </c>
      <c r="L37" t="s">
        <v>959</v>
      </c>
      <c r="M37">
        <v>1.5267175572519101</v>
      </c>
      <c r="N37" t="s">
        <v>960</v>
      </c>
      <c r="O37">
        <v>0</v>
      </c>
      <c r="P37">
        <v>0</v>
      </c>
      <c r="Q37">
        <v>0</v>
      </c>
      <c r="R37">
        <v>0</v>
      </c>
    </row>
    <row r="38" spans="1:18" ht="16" x14ac:dyDescent="0.2">
      <c r="A38" s="127" t="s">
        <v>954</v>
      </c>
      <c r="B38" t="s">
        <v>70</v>
      </c>
      <c r="C38" t="s">
        <v>2589</v>
      </c>
      <c r="D38" t="s">
        <v>2590</v>
      </c>
      <c r="E38">
        <v>11</v>
      </c>
      <c r="F38">
        <v>11</v>
      </c>
      <c r="G38">
        <v>1</v>
      </c>
      <c r="H38">
        <v>5.1018298473090704</v>
      </c>
      <c r="I38" t="s">
        <v>957</v>
      </c>
      <c r="J38" t="s">
        <v>3634</v>
      </c>
      <c r="K38">
        <v>8.5714285714285701E-2</v>
      </c>
      <c r="L38" t="s">
        <v>959</v>
      </c>
      <c r="M38">
        <v>2.2900763358778602</v>
      </c>
      <c r="N38" t="s">
        <v>960</v>
      </c>
      <c r="O38">
        <v>0</v>
      </c>
      <c r="P38">
        <v>0</v>
      </c>
      <c r="Q38">
        <v>0</v>
      </c>
      <c r="R38">
        <v>0</v>
      </c>
    </row>
    <row r="39" spans="1:18" ht="16" x14ac:dyDescent="0.2">
      <c r="A39" s="127" t="s">
        <v>954</v>
      </c>
      <c r="B39" t="s">
        <v>70</v>
      </c>
      <c r="C39" t="s">
        <v>1490</v>
      </c>
      <c r="D39" t="s">
        <v>1491</v>
      </c>
      <c r="E39" t="s">
        <v>985</v>
      </c>
      <c r="F39">
        <v>7</v>
      </c>
      <c r="G39">
        <v>2</v>
      </c>
      <c r="H39">
        <v>5.2022794985235601</v>
      </c>
      <c r="I39" t="s">
        <v>957</v>
      </c>
      <c r="J39" t="s">
        <v>1492</v>
      </c>
      <c r="K39">
        <v>0.10344827586206901</v>
      </c>
      <c r="L39" t="s">
        <v>972</v>
      </c>
      <c r="M39">
        <v>1.5267175572519101</v>
      </c>
      <c r="N39" t="s">
        <v>973</v>
      </c>
      <c r="O39">
        <v>0</v>
      </c>
      <c r="P39">
        <v>0</v>
      </c>
      <c r="Q39">
        <v>0</v>
      </c>
      <c r="R39">
        <v>0</v>
      </c>
    </row>
    <row r="40" spans="1:18" ht="16" x14ac:dyDescent="0.2">
      <c r="A40" s="127" t="s">
        <v>954</v>
      </c>
      <c r="B40" t="s">
        <v>70</v>
      </c>
      <c r="C40" t="s">
        <v>1792</v>
      </c>
      <c r="D40" t="s">
        <v>1793</v>
      </c>
      <c r="E40" t="s">
        <v>2467</v>
      </c>
      <c r="F40">
        <v>8</v>
      </c>
      <c r="G40">
        <v>3</v>
      </c>
      <c r="H40">
        <v>4.5939670712469196</v>
      </c>
      <c r="I40" t="s">
        <v>957</v>
      </c>
      <c r="J40" t="s">
        <v>1794</v>
      </c>
      <c r="K40">
        <v>0.16428571428571401</v>
      </c>
      <c r="L40" t="s">
        <v>959</v>
      </c>
      <c r="M40">
        <v>1.5267175572519101</v>
      </c>
      <c r="N40" t="s">
        <v>960</v>
      </c>
      <c r="O40">
        <v>0</v>
      </c>
      <c r="P40">
        <v>0</v>
      </c>
      <c r="Q40">
        <v>0</v>
      </c>
      <c r="R40">
        <v>0</v>
      </c>
    </row>
    <row r="41" spans="1:18" ht="16" x14ac:dyDescent="0.2">
      <c r="A41" s="127" t="s">
        <v>954</v>
      </c>
      <c r="B41" t="s">
        <v>70</v>
      </c>
      <c r="C41" t="s">
        <v>1277</v>
      </c>
      <c r="D41" t="s">
        <v>1278</v>
      </c>
      <c r="E41">
        <v>3</v>
      </c>
      <c r="F41">
        <v>3</v>
      </c>
      <c r="G41">
        <v>1</v>
      </c>
      <c r="H41">
        <v>7.4294866571568399</v>
      </c>
      <c r="I41" t="s">
        <v>957</v>
      </c>
      <c r="J41" t="s">
        <v>1279</v>
      </c>
      <c r="K41">
        <v>2.8571428571428598E-2</v>
      </c>
      <c r="L41" t="s">
        <v>959</v>
      </c>
      <c r="M41">
        <v>1.5267175572519101</v>
      </c>
      <c r="N41" t="s">
        <v>960</v>
      </c>
      <c r="O41">
        <v>0</v>
      </c>
      <c r="P41">
        <v>0</v>
      </c>
      <c r="Q41">
        <v>0</v>
      </c>
      <c r="R41">
        <v>0</v>
      </c>
    </row>
    <row r="42" spans="1:18" ht="16" x14ac:dyDescent="0.2">
      <c r="A42" s="127" t="s">
        <v>954</v>
      </c>
      <c r="B42" t="s">
        <v>70</v>
      </c>
      <c r="C42" t="s">
        <v>994</v>
      </c>
      <c r="D42" t="s">
        <v>995</v>
      </c>
      <c r="E42">
        <v>3</v>
      </c>
      <c r="F42">
        <v>3</v>
      </c>
      <c r="G42">
        <v>1</v>
      </c>
      <c r="H42">
        <v>6.9508062576404503</v>
      </c>
      <c r="I42" t="s">
        <v>957</v>
      </c>
      <c r="J42" t="s">
        <v>996</v>
      </c>
      <c r="K42">
        <v>2.1428571428571401E-2</v>
      </c>
      <c r="L42" t="s">
        <v>959</v>
      </c>
      <c r="M42">
        <v>1.5267175572519101</v>
      </c>
      <c r="N42" t="s">
        <v>960</v>
      </c>
      <c r="O42">
        <v>0</v>
      </c>
      <c r="P42">
        <v>0</v>
      </c>
      <c r="Q42">
        <v>0</v>
      </c>
      <c r="R42">
        <v>0</v>
      </c>
    </row>
    <row r="43" spans="1:18" ht="16" x14ac:dyDescent="0.2">
      <c r="A43" s="127" t="s">
        <v>954</v>
      </c>
      <c r="B43" t="s">
        <v>70</v>
      </c>
      <c r="C43" t="s">
        <v>1406</v>
      </c>
      <c r="D43" t="s">
        <v>1407</v>
      </c>
      <c r="E43">
        <v>6</v>
      </c>
      <c r="F43">
        <v>6</v>
      </c>
      <c r="G43">
        <v>1</v>
      </c>
      <c r="H43">
        <v>5.44980452396966</v>
      </c>
      <c r="I43" t="s">
        <v>957</v>
      </c>
      <c r="J43" t="s">
        <v>1408</v>
      </c>
      <c r="K43">
        <v>4.2857142857142899E-2</v>
      </c>
      <c r="L43" t="s">
        <v>959</v>
      </c>
      <c r="M43">
        <v>2.2900763358778602</v>
      </c>
      <c r="N43" t="s">
        <v>960</v>
      </c>
      <c r="O43">
        <v>0</v>
      </c>
      <c r="P43">
        <v>0</v>
      </c>
      <c r="Q43">
        <v>0</v>
      </c>
      <c r="R43">
        <v>0</v>
      </c>
    </row>
    <row r="44" spans="1:18" ht="16" x14ac:dyDescent="0.2">
      <c r="A44" s="127" t="s">
        <v>954</v>
      </c>
      <c r="B44" t="s">
        <v>70</v>
      </c>
      <c r="C44" t="s">
        <v>1394</v>
      </c>
      <c r="D44" t="s">
        <v>1395</v>
      </c>
      <c r="E44">
        <v>3</v>
      </c>
      <c r="F44">
        <v>3</v>
      </c>
      <c r="G44">
        <v>1</v>
      </c>
      <c r="H44">
        <v>5.5460547499238899</v>
      </c>
      <c r="I44" t="s">
        <v>957</v>
      </c>
      <c r="J44" t="s">
        <v>3010</v>
      </c>
      <c r="K44">
        <v>8.5714285714285701E-2</v>
      </c>
      <c r="L44" t="s">
        <v>959</v>
      </c>
      <c r="M44">
        <v>1.5267175572519101</v>
      </c>
      <c r="N44" t="s">
        <v>960</v>
      </c>
      <c r="O44">
        <v>0</v>
      </c>
      <c r="P44">
        <v>0</v>
      </c>
      <c r="Q44">
        <v>0</v>
      </c>
      <c r="R44">
        <v>0</v>
      </c>
    </row>
    <row r="45" spans="1:18" ht="16" x14ac:dyDescent="0.2">
      <c r="A45" s="127" t="s">
        <v>954</v>
      </c>
      <c r="B45" t="s">
        <v>70</v>
      </c>
      <c r="C45" t="s">
        <v>1427</v>
      </c>
      <c r="D45" t="s">
        <v>1428</v>
      </c>
      <c r="E45">
        <v>3</v>
      </c>
      <c r="F45">
        <v>3</v>
      </c>
      <c r="G45">
        <v>1</v>
      </c>
      <c r="H45">
        <v>5.7287255052147898</v>
      </c>
      <c r="I45" t="s">
        <v>957</v>
      </c>
      <c r="J45" t="s">
        <v>1429</v>
      </c>
      <c r="K45">
        <v>2.1428571428571401E-2</v>
      </c>
      <c r="L45" t="s">
        <v>959</v>
      </c>
      <c r="M45">
        <v>1.5267175572519101</v>
      </c>
      <c r="N45" t="s">
        <v>960</v>
      </c>
      <c r="O45">
        <v>0</v>
      </c>
      <c r="P45">
        <v>0</v>
      </c>
      <c r="Q45">
        <v>0</v>
      </c>
      <c r="R45">
        <v>0</v>
      </c>
    </row>
    <row r="46" spans="1:18" ht="16" x14ac:dyDescent="0.2">
      <c r="A46" s="127" t="s">
        <v>954</v>
      </c>
      <c r="B46" t="s">
        <v>70</v>
      </c>
      <c r="C46" t="s">
        <v>2763</v>
      </c>
      <c r="D46" t="s">
        <v>2764</v>
      </c>
      <c r="E46" t="s">
        <v>1442</v>
      </c>
      <c r="F46">
        <v>5</v>
      </c>
      <c r="G46">
        <v>2</v>
      </c>
      <c r="H46">
        <v>7.6969932295466803</v>
      </c>
      <c r="I46" t="s">
        <v>957</v>
      </c>
      <c r="J46" t="s">
        <v>3741</v>
      </c>
      <c r="K46">
        <v>3.5714285714285698E-2</v>
      </c>
      <c r="L46" t="s">
        <v>959</v>
      </c>
      <c r="M46">
        <v>2.2900763358778602</v>
      </c>
      <c r="N46" t="s">
        <v>960</v>
      </c>
      <c r="O46">
        <v>0</v>
      </c>
      <c r="P46">
        <v>0</v>
      </c>
      <c r="Q46">
        <v>0</v>
      </c>
      <c r="R46">
        <v>0</v>
      </c>
    </row>
    <row r="47" spans="1:18" ht="16" x14ac:dyDescent="0.2">
      <c r="A47" s="127" t="s">
        <v>954</v>
      </c>
      <c r="B47" t="s">
        <v>70</v>
      </c>
      <c r="C47" t="s">
        <v>1415</v>
      </c>
      <c r="D47" t="s">
        <v>1416</v>
      </c>
      <c r="E47">
        <v>11</v>
      </c>
      <c r="F47">
        <v>11</v>
      </c>
      <c r="G47">
        <v>1</v>
      </c>
      <c r="H47">
        <v>7.19386717474669</v>
      </c>
      <c r="I47" t="s">
        <v>957</v>
      </c>
      <c r="J47" t="s">
        <v>2509</v>
      </c>
      <c r="K47">
        <v>3.5714285714285698E-2</v>
      </c>
      <c r="L47" t="s">
        <v>959</v>
      </c>
      <c r="M47">
        <v>2.2900763358778602</v>
      </c>
      <c r="N47" t="s">
        <v>960</v>
      </c>
      <c r="O47">
        <v>0</v>
      </c>
      <c r="P47">
        <v>0</v>
      </c>
      <c r="Q47">
        <v>0</v>
      </c>
      <c r="R47">
        <v>0</v>
      </c>
    </row>
    <row r="48" spans="1:18" ht="16" x14ac:dyDescent="0.2">
      <c r="A48" s="127" t="s">
        <v>954</v>
      </c>
      <c r="B48" t="s">
        <v>70</v>
      </c>
      <c r="C48" t="s">
        <v>1447</v>
      </c>
      <c r="D48" t="s">
        <v>1448</v>
      </c>
      <c r="E48" t="s">
        <v>966</v>
      </c>
      <c r="F48">
        <v>3</v>
      </c>
      <c r="G48">
        <v>3</v>
      </c>
      <c r="H48">
        <v>6.1141784051574302</v>
      </c>
      <c r="I48" t="s">
        <v>957</v>
      </c>
      <c r="J48" t="s">
        <v>1449</v>
      </c>
      <c r="K48">
        <v>0.1</v>
      </c>
      <c r="L48" t="s">
        <v>959</v>
      </c>
      <c r="M48">
        <v>1.5267175572519101</v>
      </c>
      <c r="N48" t="s">
        <v>960</v>
      </c>
      <c r="O48">
        <v>0</v>
      </c>
      <c r="P48">
        <v>0</v>
      </c>
      <c r="Q48">
        <v>0</v>
      </c>
      <c r="R48">
        <v>0</v>
      </c>
    </row>
    <row r="49" spans="1:18" ht="16" x14ac:dyDescent="0.2">
      <c r="A49" s="127" t="s">
        <v>954</v>
      </c>
      <c r="B49" t="s">
        <v>70</v>
      </c>
      <c r="C49" t="s">
        <v>2283</v>
      </c>
      <c r="D49" t="s">
        <v>2284</v>
      </c>
      <c r="E49">
        <v>6</v>
      </c>
      <c r="F49">
        <v>6</v>
      </c>
      <c r="G49">
        <v>1</v>
      </c>
      <c r="H49">
        <v>9.1351372453000206</v>
      </c>
      <c r="I49" t="s">
        <v>957</v>
      </c>
      <c r="J49" t="s">
        <v>2285</v>
      </c>
      <c r="K49">
        <v>8.5714285714285701E-2</v>
      </c>
      <c r="L49" t="s">
        <v>959</v>
      </c>
      <c r="M49">
        <v>0.76335877862595403</v>
      </c>
      <c r="N49" t="s">
        <v>960</v>
      </c>
      <c r="O49">
        <v>0</v>
      </c>
      <c r="P49">
        <v>0</v>
      </c>
      <c r="Q49">
        <v>0</v>
      </c>
      <c r="R49" t="s">
        <v>5019</v>
      </c>
    </row>
    <row r="50" spans="1:18" ht="16" x14ac:dyDescent="0.2">
      <c r="A50" s="127" t="s">
        <v>954</v>
      </c>
      <c r="B50" t="s">
        <v>70</v>
      </c>
      <c r="C50" t="s">
        <v>2603</v>
      </c>
      <c r="D50" t="s">
        <v>2604</v>
      </c>
      <c r="E50">
        <v>5</v>
      </c>
      <c r="F50">
        <v>5</v>
      </c>
      <c r="G50">
        <v>1</v>
      </c>
      <c r="H50">
        <v>6.2294040640513</v>
      </c>
      <c r="I50" t="s">
        <v>957</v>
      </c>
      <c r="J50" t="s">
        <v>2605</v>
      </c>
      <c r="K50">
        <v>4.2857142857142899E-2</v>
      </c>
      <c r="L50" t="s">
        <v>959</v>
      </c>
      <c r="M50">
        <v>1.5267175572519101</v>
      </c>
      <c r="N50" t="s">
        <v>960</v>
      </c>
      <c r="O50">
        <v>0</v>
      </c>
      <c r="P50">
        <v>0</v>
      </c>
      <c r="Q50">
        <v>0</v>
      </c>
      <c r="R50">
        <v>0</v>
      </c>
    </row>
    <row r="51" spans="1:18" ht="16" x14ac:dyDescent="0.2">
      <c r="A51" s="127" t="s">
        <v>954</v>
      </c>
      <c r="B51" t="s">
        <v>74</v>
      </c>
      <c r="C51" t="s">
        <v>1329</v>
      </c>
      <c r="D51" t="s">
        <v>1330</v>
      </c>
      <c r="E51">
        <v>9</v>
      </c>
      <c r="F51">
        <v>9</v>
      </c>
      <c r="G51">
        <v>1</v>
      </c>
      <c r="H51">
        <v>7.0104210079277403</v>
      </c>
      <c r="I51" t="s">
        <v>957</v>
      </c>
      <c r="J51" t="s">
        <v>1331</v>
      </c>
      <c r="K51">
        <v>0.14285714285714299</v>
      </c>
      <c r="L51" t="s">
        <v>959</v>
      </c>
      <c r="M51">
        <v>2.2900763358778602</v>
      </c>
      <c r="N51" t="s">
        <v>960</v>
      </c>
      <c r="O51">
        <v>0</v>
      </c>
      <c r="P51">
        <v>0</v>
      </c>
      <c r="Q51">
        <v>0</v>
      </c>
      <c r="R51">
        <v>0</v>
      </c>
    </row>
    <row r="52" spans="1:18" ht="16" x14ac:dyDescent="0.2">
      <c r="A52" s="127" t="s">
        <v>954</v>
      </c>
      <c r="B52" t="s">
        <v>74</v>
      </c>
      <c r="C52" t="s">
        <v>1063</v>
      </c>
      <c r="D52" t="s">
        <v>1064</v>
      </c>
      <c r="E52">
        <v>3</v>
      </c>
      <c r="F52">
        <v>3</v>
      </c>
      <c r="G52">
        <v>1</v>
      </c>
      <c r="H52">
        <v>7.4882987532110397</v>
      </c>
      <c r="I52" t="s">
        <v>957</v>
      </c>
      <c r="J52" t="s">
        <v>1065</v>
      </c>
      <c r="K52">
        <v>4.2857142857142899E-2</v>
      </c>
      <c r="L52" t="s">
        <v>959</v>
      </c>
      <c r="M52">
        <v>0.76335877862595403</v>
      </c>
      <c r="N52" t="s">
        <v>960</v>
      </c>
      <c r="O52">
        <v>0</v>
      </c>
      <c r="P52">
        <v>0</v>
      </c>
      <c r="Q52">
        <v>0</v>
      </c>
      <c r="R52">
        <v>0</v>
      </c>
    </row>
    <row r="53" spans="1:18" ht="16" x14ac:dyDescent="0.2">
      <c r="A53" s="127" t="s">
        <v>954</v>
      </c>
      <c r="B53" t="s">
        <v>74</v>
      </c>
      <c r="C53" t="s">
        <v>310</v>
      </c>
      <c r="D53" t="s">
        <v>1113</v>
      </c>
      <c r="E53">
        <v>6</v>
      </c>
      <c r="F53">
        <v>6</v>
      </c>
      <c r="G53">
        <v>1</v>
      </c>
      <c r="H53">
        <v>7.0525571239168103</v>
      </c>
      <c r="I53" t="s">
        <v>957</v>
      </c>
      <c r="J53" t="s">
        <v>1663</v>
      </c>
      <c r="K53">
        <v>6.4285714285714293E-2</v>
      </c>
      <c r="L53" t="s">
        <v>959</v>
      </c>
      <c r="M53">
        <v>1.5267175572519101</v>
      </c>
      <c r="N53" t="s">
        <v>960</v>
      </c>
      <c r="O53">
        <v>0</v>
      </c>
      <c r="P53">
        <v>0</v>
      </c>
      <c r="Q53">
        <v>0</v>
      </c>
      <c r="R53">
        <v>0</v>
      </c>
    </row>
    <row r="54" spans="1:18" ht="16" x14ac:dyDescent="0.2">
      <c r="A54" s="127" t="s">
        <v>954</v>
      </c>
      <c r="B54" t="s">
        <v>74</v>
      </c>
      <c r="C54" t="s">
        <v>2882</v>
      </c>
      <c r="D54" t="s">
        <v>2883</v>
      </c>
      <c r="E54">
        <v>4</v>
      </c>
      <c r="F54">
        <v>4</v>
      </c>
      <c r="G54">
        <v>1</v>
      </c>
      <c r="H54">
        <v>6.9554454323383199</v>
      </c>
      <c r="I54" t="s">
        <v>957</v>
      </c>
      <c r="J54" t="s">
        <v>2999</v>
      </c>
      <c r="K54">
        <v>4.2857142857142899E-2</v>
      </c>
      <c r="L54" t="s">
        <v>959</v>
      </c>
      <c r="M54">
        <v>2.2900763358778602</v>
      </c>
      <c r="N54" t="s">
        <v>960</v>
      </c>
      <c r="O54">
        <v>0</v>
      </c>
      <c r="P54">
        <v>0</v>
      </c>
      <c r="Q54">
        <v>0</v>
      </c>
      <c r="R54">
        <v>0</v>
      </c>
    </row>
    <row r="55" spans="1:18" ht="16" x14ac:dyDescent="0.2">
      <c r="A55" s="127" t="s">
        <v>954</v>
      </c>
      <c r="B55" t="s">
        <v>74</v>
      </c>
      <c r="C55" t="s">
        <v>2901</v>
      </c>
      <c r="D55" t="s">
        <v>2902</v>
      </c>
      <c r="E55">
        <v>3</v>
      </c>
      <c r="F55">
        <v>3</v>
      </c>
      <c r="G55">
        <v>1</v>
      </c>
      <c r="H55">
        <v>8.4207484290765908</v>
      </c>
      <c r="I55" t="s">
        <v>957</v>
      </c>
      <c r="J55" t="s">
        <v>2903</v>
      </c>
      <c r="K55">
        <v>2.8571428571428598E-2</v>
      </c>
      <c r="L55" t="s">
        <v>959</v>
      </c>
      <c r="M55">
        <v>0.76335877862595403</v>
      </c>
      <c r="N55" t="s">
        <v>960</v>
      </c>
      <c r="O55">
        <v>0</v>
      </c>
      <c r="P55">
        <v>0</v>
      </c>
      <c r="Q55">
        <v>0</v>
      </c>
      <c r="R55">
        <v>0</v>
      </c>
    </row>
    <row r="56" spans="1:18" ht="16" x14ac:dyDescent="0.2">
      <c r="A56" s="127" t="s">
        <v>954</v>
      </c>
      <c r="B56" t="s">
        <v>74</v>
      </c>
      <c r="C56" t="s">
        <v>1286</v>
      </c>
      <c r="D56" t="s">
        <v>1287</v>
      </c>
      <c r="E56">
        <v>5</v>
      </c>
      <c r="F56">
        <v>5</v>
      </c>
      <c r="G56">
        <v>1</v>
      </c>
      <c r="H56">
        <v>8.0402547512717408</v>
      </c>
      <c r="I56" t="s">
        <v>957</v>
      </c>
      <c r="J56" t="s">
        <v>3176</v>
      </c>
      <c r="K56">
        <v>8.5714285714285701E-2</v>
      </c>
      <c r="L56" t="s">
        <v>959</v>
      </c>
      <c r="M56">
        <v>1.5267175572519101</v>
      </c>
      <c r="N56" t="s">
        <v>960</v>
      </c>
      <c r="O56">
        <v>0</v>
      </c>
      <c r="P56">
        <v>0</v>
      </c>
      <c r="Q56">
        <v>0</v>
      </c>
      <c r="R56">
        <v>0</v>
      </c>
    </row>
    <row r="57" spans="1:18" ht="16" x14ac:dyDescent="0.2">
      <c r="A57" s="127" t="s">
        <v>954</v>
      </c>
      <c r="B57" t="s">
        <v>74</v>
      </c>
      <c r="C57" t="s">
        <v>2200</v>
      </c>
      <c r="D57" t="s">
        <v>2201</v>
      </c>
      <c r="E57">
        <v>3</v>
      </c>
      <c r="F57">
        <v>3</v>
      </c>
      <c r="G57">
        <v>1</v>
      </c>
      <c r="H57">
        <v>7.8114027698128803</v>
      </c>
      <c r="I57" t="s">
        <v>957</v>
      </c>
      <c r="J57" t="s">
        <v>2202</v>
      </c>
      <c r="K57">
        <v>7.8571428571428598E-2</v>
      </c>
      <c r="L57" t="s">
        <v>959</v>
      </c>
      <c r="M57">
        <v>1.5267175572519101</v>
      </c>
      <c r="N57" t="s">
        <v>960</v>
      </c>
      <c r="O57">
        <v>0</v>
      </c>
      <c r="P57">
        <v>0</v>
      </c>
      <c r="Q57">
        <v>0</v>
      </c>
      <c r="R57">
        <v>0</v>
      </c>
    </row>
    <row r="58" spans="1:18" ht="16" x14ac:dyDescent="0.2">
      <c r="A58" s="127" t="s">
        <v>954</v>
      </c>
      <c r="B58" t="s">
        <v>74</v>
      </c>
      <c r="C58" t="s">
        <v>2427</v>
      </c>
      <c r="D58" t="s">
        <v>2428</v>
      </c>
      <c r="E58">
        <v>4</v>
      </c>
      <c r="F58">
        <v>4</v>
      </c>
      <c r="G58">
        <v>1</v>
      </c>
      <c r="H58">
        <v>5.1100296866871</v>
      </c>
      <c r="I58" t="s">
        <v>957</v>
      </c>
      <c r="J58" t="s">
        <v>2429</v>
      </c>
      <c r="K58">
        <v>0.128571428571429</v>
      </c>
      <c r="L58" t="s">
        <v>959</v>
      </c>
      <c r="M58">
        <v>1.5267175572519101</v>
      </c>
      <c r="N58" t="s">
        <v>960</v>
      </c>
      <c r="O58">
        <v>0</v>
      </c>
      <c r="P58">
        <v>0</v>
      </c>
      <c r="Q58">
        <v>0</v>
      </c>
      <c r="R58">
        <v>0</v>
      </c>
    </row>
    <row r="59" spans="1:18" ht="16" x14ac:dyDescent="0.2">
      <c r="A59" s="127" t="s">
        <v>954</v>
      </c>
      <c r="B59" t="s">
        <v>74</v>
      </c>
      <c r="C59" t="s">
        <v>1938</v>
      </c>
      <c r="D59" t="s">
        <v>1939</v>
      </c>
      <c r="E59">
        <v>3</v>
      </c>
      <c r="F59">
        <v>3</v>
      </c>
      <c r="G59">
        <v>1</v>
      </c>
      <c r="H59">
        <v>5.2404468443049703</v>
      </c>
      <c r="I59" t="s">
        <v>957</v>
      </c>
      <c r="J59" t="s">
        <v>3278</v>
      </c>
      <c r="K59">
        <v>0.114285714285714</v>
      </c>
      <c r="L59" t="s">
        <v>959</v>
      </c>
      <c r="M59">
        <v>1.5267175572519101</v>
      </c>
      <c r="N59" t="s">
        <v>960</v>
      </c>
      <c r="O59">
        <v>0</v>
      </c>
      <c r="P59">
        <v>0</v>
      </c>
      <c r="Q59">
        <v>0</v>
      </c>
      <c r="R59">
        <v>0</v>
      </c>
    </row>
    <row r="60" spans="1:18" ht="16" x14ac:dyDescent="0.2">
      <c r="A60" s="127" t="s">
        <v>954</v>
      </c>
      <c r="B60" t="s">
        <v>74</v>
      </c>
      <c r="C60" t="s">
        <v>1150</v>
      </c>
      <c r="D60" t="s">
        <v>1151</v>
      </c>
      <c r="E60">
        <v>5</v>
      </c>
      <c r="F60">
        <v>5</v>
      </c>
      <c r="G60">
        <v>1</v>
      </c>
      <c r="H60">
        <v>7.8036657385050301</v>
      </c>
      <c r="I60" t="s">
        <v>957</v>
      </c>
      <c r="J60" t="s">
        <v>1152</v>
      </c>
      <c r="K60">
        <v>0.121428571428571</v>
      </c>
      <c r="L60" t="s">
        <v>959</v>
      </c>
      <c r="M60">
        <v>1.5267175572519101</v>
      </c>
      <c r="N60" t="s">
        <v>960</v>
      </c>
      <c r="O60">
        <v>0</v>
      </c>
      <c r="P60">
        <v>0</v>
      </c>
      <c r="Q60">
        <v>0</v>
      </c>
      <c r="R60">
        <v>0</v>
      </c>
    </row>
    <row r="61" spans="1:18" ht="16" x14ac:dyDescent="0.2">
      <c r="A61" s="127" t="s">
        <v>954</v>
      </c>
      <c r="B61" t="s">
        <v>74</v>
      </c>
      <c r="C61" t="s">
        <v>2419</v>
      </c>
      <c r="D61" t="s">
        <v>2420</v>
      </c>
      <c r="E61">
        <v>3</v>
      </c>
      <c r="F61">
        <v>3</v>
      </c>
      <c r="G61">
        <v>1</v>
      </c>
      <c r="H61">
        <v>5.4095795370495097</v>
      </c>
      <c r="I61" t="s">
        <v>957</v>
      </c>
      <c r="J61" t="s">
        <v>2421</v>
      </c>
      <c r="K61">
        <v>0.17857142857142899</v>
      </c>
      <c r="L61" t="s">
        <v>959</v>
      </c>
      <c r="M61">
        <v>1.5267175572519101</v>
      </c>
      <c r="N61" t="s">
        <v>960</v>
      </c>
      <c r="O61">
        <v>0</v>
      </c>
      <c r="P61">
        <v>0</v>
      </c>
      <c r="Q61">
        <v>0</v>
      </c>
      <c r="R61">
        <v>0</v>
      </c>
    </row>
    <row r="62" spans="1:18" ht="16" x14ac:dyDescent="0.2">
      <c r="A62" s="127" t="s">
        <v>954</v>
      </c>
      <c r="B62" t="s">
        <v>74</v>
      </c>
      <c r="C62" t="s">
        <v>1831</v>
      </c>
      <c r="D62" t="s">
        <v>1832</v>
      </c>
      <c r="E62" t="s">
        <v>1052</v>
      </c>
      <c r="F62">
        <v>2</v>
      </c>
      <c r="G62">
        <v>2</v>
      </c>
      <c r="H62">
        <v>7.0978204093750801</v>
      </c>
      <c r="I62" t="s">
        <v>957</v>
      </c>
      <c r="J62" t="s">
        <v>1833</v>
      </c>
      <c r="K62">
        <v>0.114285714285714</v>
      </c>
      <c r="L62" t="s">
        <v>959</v>
      </c>
      <c r="M62">
        <v>0.76335877862595403</v>
      </c>
      <c r="N62" t="s">
        <v>960</v>
      </c>
      <c r="O62">
        <v>0</v>
      </c>
      <c r="P62">
        <v>0</v>
      </c>
      <c r="Q62">
        <v>0</v>
      </c>
      <c r="R62">
        <v>0</v>
      </c>
    </row>
    <row r="63" spans="1:18" ht="16" x14ac:dyDescent="0.2">
      <c r="A63" s="127" t="s">
        <v>954</v>
      </c>
      <c r="B63" t="s">
        <v>74</v>
      </c>
      <c r="C63" t="s">
        <v>3129</v>
      </c>
      <c r="D63" t="s">
        <v>3130</v>
      </c>
      <c r="E63">
        <v>4</v>
      </c>
      <c r="F63">
        <v>4</v>
      </c>
      <c r="G63">
        <v>1</v>
      </c>
      <c r="H63">
        <v>6.9993092401574</v>
      </c>
      <c r="I63" t="s">
        <v>957</v>
      </c>
      <c r="J63" t="s">
        <v>3131</v>
      </c>
      <c r="K63">
        <v>5.7142857142857099E-2</v>
      </c>
      <c r="L63" t="s">
        <v>959</v>
      </c>
      <c r="M63">
        <v>1.5267175572519101</v>
      </c>
      <c r="N63" t="s">
        <v>960</v>
      </c>
      <c r="O63">
        <v>0</v>
      </c>
      <c r="P63">
        <v>0</v>
      </c>
      <c r="Q63">
        <v>0</v>
      </c>
      <c r="R63">
        <v>0</v>
      </c>
    </row>
    <row r="64" spans="1:18" ht="16" x14ac:dyDescent="0.2">
      <c r="A64" s="127" t="s">
        <v>954</v>
      </c>
      <c r="B64" t="s">
        <v>74</v>
      </c>
      <c r="C64" t="s">
        <v>1500</v>
      </c>
      <c r="D64" t="s">
        <v>1501</v>
      </c>
      <c r="E64">
        <v>5</v>
      </c>
      <c r="F64">
        <v>5</v>
      </c>
      <c r="G64">
        <v>1</v>
      </c>
      <c r="H64">
        <v>8.04046232013836</v>
      </c>
      <c r="I64" t="s">
        <v>957</v>
      </c>
      <c r="J64" t="s">
        <v>3155</v>
      </c>
      <c r="K64">
        <v>3.5714285714285698E-2</v>
      </c>
      <c r="L64" t="s">
        <v>959</v>
      </c>
      <c r="M64">
        <v>2.2900763358778602</v>
      </c>
      <c r="N64" t="s">
        <v>960</v>
      </c>
      <c r="O64">
        <v>0</v>
      </c>
      <c r="P64">
        <v>0</v>
      </c>
      <c r="Q64">
        <v>0</v>
      </c>
      <c r="R64">
        <v>0</v>
      </c>
    </row>
    <row r="65" spans="1:18" ht="16" x14ac:dyDescent="0.2">
      <c r="A65" s="127" t="s">
        <v>954</v>
      </c>
      <c r="B65" t="s">
        <v>78</v>
      </c>
      <c r="C65" t="s">
        <v>2846</v>
      </c>
      <c r="D65" t="s">
        <v>2847</v>
      </c>
      <c r="E65">
        <v>20</v>
      </c>
      <c r="F65">
        <v>20</v>
      </c>
      <c r="G65">
        <v>1</v>
      </c>
      <c r="H65">
        <v>11.496926125918501</v>
      </c>
      <c r="I65" t="s">
        <v>957</v>
      </c>
      <c r="J65" t="s">
        <v>2848</v>
      </c>
      <c r="K65">
        <v>1.4285714285714299E-2</v>
      </c>
      <c r="L65" t="s">
        <v>959</v>
      </c>
      <c r="M65">
        <v>0.76335877862595403</v>
      </c>
      <c r="N65" t="s">
        <v>960</v>
      </c>
      <c r="O65">
        <v>0</v>
      </c>
      <c r="P65" t="s">
        <v>5018</v>
      </c>
      <c r="Q65">
        <v>0</v>
      </c>
      <c r="R65">
        <v>0</v>
      </c>
    </row>
    <row r="66" spans="1:18" ht="16" x14ac:dyDescent="0.2">
      <c r="A66" s="127" t="s">
        <v>954</v>
      </c>
      <c r="B66" t="s">
        <v>78</v>
      </c>
      <c r="C66" t="s">
        <v>3282</v>
      </c>
      <c r="D66" t="s">
        <v>3283</v>
      </c>
      <c r="E66">
        <v>11</v>
      </c>
      <c r="F66">
        <v>11</v>
      </c>
      <c r="G66">
        <v>1</v>
      </c>
      <c r="H66">
        <v>11.8321595661993</v>
      </c>
      <c r="I66" t="s">
        <v>957</v>
      </c>
      <c r="J66" t="s">
        <v>3284</v>
      </c>
      <c r="K66">
        <v>7.14285714285714E-3</v>
      </c>
      <c r="L66" t="s">
        <v>959</v>
      </c>
      <c r="M66">
        <v>0.76335877862595403</v>
      </c>
      <c r="N66" t="s">
        <v>960</v>
      </c>
      <c r="O66">
        <v>0</v>
      </c>
      <c r="P66" t="s">
        <v>5018</v>
      </c>
      <c r="Q66">
        <v>0</v>
      </c>
      <c r="R66">
        <v>0</v>
      </c>
    </row>
    <row r="67" spans="1:18" ht="16" x14ac:dyDescent="0.2">
      <c r="A67" s="127" t="s">
        <v>954</v>
      </c>
      <c r="B67" t="s">
        <v>78</v>
      </c>
      <c r="C67" t="s">
        <v>1207</v>
      </c>
      <c r="D67" t="s">
        <v>1208</v>
      </c>
      <c r="E67">
        <v>4</v>
      </c>
      <c r="F67">
        <v>4</v>
      </c>
      <c r="G67">
        <v>1</v>
      </c>
      <c r="H67">
        <v>11.8321595661992</v>
      </c>
      <c r="I67" t="s">
        <v>957</v>
      </c>
      <c r="J67" t="s">
        <v>1209</v>
      </c>
      <c r="K67">
        <v>7.14285714285714E-3</v>
      </c>
      <c r="L67" t="s">
        <v>959</v>
      </c>
      <c r="M67">
        <v>0.76335877862595403</v>
      </c>
      <c r="N67" t="s">
        <v>960</v>
      </c>
      <c r="O67">
        <v>0</v>
      </c>
      <c r="P67">
        <v>0</v>
      </c>
      <c r="Q67">
        <v>0</v>
      </c>
      <c r="R67" t="s">
        <v>5019</v>
      </c>
    </row>
    <row r="68" spans="1:18" ht="16" x14ac:dyDescent="0.2">
      <c r="A68" s="127" t="s">
        <v>954</v>
      </c>
      <c r="B68" t="s">
        <v>78</v>
      </c>
      <c r="C68" t="s">
        <v>2763</v>
      </c>
      <c r="D68" t="s">
        <v>2764</v>
      </c>
      <c r="E68" t="s">
        <v>1052</v>
      </c>
      <c r="F68">
        <v>2</v>
      </c>
      <c r="G68">
        <v>2</v>
      </c>
      <c r="H68">
        <v>4.5461772876269899</v>
      </c>
      <c r="I68" t="s">
        <v>957</v>
      </c>
      <c r="J68" t="s">
        <v>3378</v>
      </c>
      <c r="K68">
        <v>3.5714285714285698E-2</v>
      </c>
      <c r="L68" t="s">
        <v>959</v>
      </c>
      <c r="M68">
        <v>2.2900763358778602</v>
      </c>
      <c r="N68" t="s">
        <v>960</v>
      </c>
      <c r="O68">
        <v>0</v>
      </c>
      <c r="P68">
        <v>0</v>
      </c>
      <c r="Q68">
        <v>0</v>
      </c>
      <c r="R68">
        <v>0</v>
      </c>
    </row>
    <row r="69" spans="1:18" ht="16" x14ac:dyDescent="0.2">
      <c r="A69" s="127" t="s">
        <v>954</v>
      </c>
      <c r="B69" t="s">
        <v>78</v>
      </c>
      <c r="C69" t="s">
        <v>3675</v>
      </c>
      <c r="D69" t="s">
        <v>3676</v>
      </c>
      <c r="E69">
        <v>22</v>
      </c>
      <c r="F69">
        <v>22</v>
      </c>
      <c r="G69">
        <v>1</v>
      </c>
      <c r="H69">
        <v>11.765367785424001</v>
      </c>
      <c r="I69" t="s">
        <v>957</v>
      </c>
      <c r="J69" t="s">
        <v>3677</v>
      </c>
      <c r="K69">
        <v>2.8571428571428598E-2</v>
      </c>
      <c r="L69" t="s">
        <v>959</v>
      </c>
      <c r="M69">
        <v>0.76335877862595403</v>
      </c>
      <c r="N69" t="s">
        <v>960</v>
      </c>
      <c r="O69">
        <v>0</v>
      </c>
      <c r="P69">
        <v>0</v>
      </c>
      <c r="Q69">
        <v>0</v>
      </c>
      <c r="R69">
        <v>0</v>
      </c>
    </row>
    <row r="70" spans="1:18" ht="16" x14ac:dyDescent="0.2">
      <c r="A70" s="127" t="s">
        <v>954</v>
      </c>
      <c r="B70" t="s">
        <v>82</v>
      </c>
      <c r="C70" t="s">
        <v>370</v>
      </c>
      <c r="D70" t="s">
        <v>3482</v>
      </c>
      <c r="E70">
        <v>2</v>
      </c>
      <c r="F70">
        <v>2</v>
      </c>
      <c r="G70">
        <v>1</v>
      </c>
      <c r="H70">
        <v>11.8321595661992</v>
      </c>
      <c r="I70" t="s">
        <v>957</v>
      </c>
      <c r="J70" t="s">
        <v>3483</v>
      </c>
      <c r="K70">
        <v>7.14285714285714E-3</v>
      </c>
      <c r="L70" t="s">
        <v>959</v>
      </c>
      <c r="M70">
        <v>0.76335877862595403</v>
      </c>
      <c r="N70" t="s">
        <v>960</v>
      </c>
      <c r="O70">
        <v>0</v>
      </c>
      <c r="P70">
        <v>0</v>
      </c>
      <c r="Q70">
        <v>0</v>
      </c>
      <c r="R70">
        <v>0</v>
      </c>
    </row>
    <row r="71" spans="1:18" ht="16" x14ac:dyDescent="0.2">
      <c r="A71" s="127" t="s">
        <v>954</v>
      </c>
      <c r="B71" t="s">
        <v>86</v>
      </c>
      <c r="C71" t="s">
        <v>1170</v>
      </c>
      <c r="D71" t="s">
        <v>1171</v>
      </c>
      <c r="E71" t="s">
        <v>2049</v>
      </c>
      <c r="F71">
        <v>21</v>
      </c>
      <c r="G71">
        <v>2</v>
      </c>
      <c r="H71">
        <v>5.2561426216606604</v>
      </c>
      <c r="I71" t="s">
        <v>957</v>
      </c>
      <c r="J71" t="s">
        <v>2050</v>
      </c>
      <c r="K71">
        <v>4.2857142857142899E-2</v>
      </c>
      <c r="L71" t="s">
        <v>959</v>
      </c>
      <c r="M71">
        <v>2.2900763358778602</v>
      </c>
      <c r="N71" t="s">
        <v>960</v>
      </c>
      <c r="O71">
        <v>0</v>
      </c>
      <c r="P71">
        <v>0</v>
      </c>
      <c r="Q71">
        <v>0</v>
      </c>
      <c r="R71">
        <v>0</v>
      </c>
    </row>
    <row r="72" spans="1:18" ht="16" x14ac:dyDescent="0.2">
      <c r="A72" s="127" t="s">
        <v>954</v>
      </c>
      <c r="B72" t="s">
        <v>86</v>
      </c>
      <c r="C72" t="s">
        <v>3718</v>
      </c>
      <c r="D72" t="s">
        <v>3719</v>
      </c>
      <c r="E72" t="s">
        <v>1052</v>
      </c>
      <c r="F72">
        <v>2</v>
      </c>
      <c r="G72">
        <v>2</v>
      </c>
      <c r="H72">
        <v>9.0141442535149796</v>
      </c>
      <c r="I72" t="s">
        <v>957</v>
      </c>
      <c r="J72" t="s">
        <v>3720</v>
      </c>
      <c r="K72">
        <v>2.8571428571428598E-2</v>
      </c>
      <c r="L72" t="s">
        <v>959</v>
      </c>
      <c r="M72">
        <v>0.76335877862595403</v>
      </c>
      <c r="N72" t="s">
        <v>960</v>
      </c>
      <c r="O72">
        <v>0</v>
      </c>
      <c r="P72">
        <v>0</v>
      </c>
      <c r="Q72">
        <v>0</v>
      </c>
      <c r="R72">
        <v>0</v>
      </c>
    </row>
    <row r="73" spans="1:18" ht="16" x14ac:dyDescent="0.2">
      <c r="A73" s="127" t="s">
        <v>954</v>
      </c>
      <c r="B73" t="s">
        <v>90</v>
      </c>
      <c r="C73" t="s">
        <v>1391</v>
      </c>
      <c r="D73" t="s">
        <v>1392</v>
      </c>
      <c r="E73">
        <v>7</v>
      </c>
      <c r="F73">
        <v>7</v>
      </c>
      <c r="G73">
        <v>1</v>
      </c>
      <c r="H73">
        <v>5.2077381179322604</v>
      </c>
      <c r="I73" t="s">
        <v>957</v>
      </c>
      <c r="J73" t="s">
        <v>1393</v>
      </c>
      <c r="K73">
        <v>0.14285714285714299</v>
      </c>
      <c r="L73" t="s">
        <v>959</v>
      </c>
      <c r="M73">
        <v>2.2900763358778602</v>
      </c>
      <c r="N73" t="s">
        <v>960</v>
      </c>
      <c r="O73">
        <v>0</v>
      </c>
      <c r="P73">
        <v>0</v>
      </c>
      <c r="Q73">
        <v>0</v>
      </c>
      <c r="R73">
        <v>0</v>
      </c>
    </row>
    <row r="74" spans="1:18" ht="16" x14ac:dyDescent="0.2">
      <c r="A74" s="127" t="s">
        <v>954</v>
      </c>
      <c r="B74" t="s">
        <v>90</v>
      </c>
      <c r="C74" t="s">
        <v>2083</v>
      </c>
      <c r="D74" t="s">
        <v>2084</v>
      </c>
      <c r="E74">
        <v>3</v>
      </c>
      <c r="F74">
        <v>3</v>
      </c>
      <c r="G74">
        <v>1</v>
      </c>
      <c r="H74">
        <v>8.5030038967894903</v>
      </c>
      <c r="I74" t="s">
        <v>957</v>
      </c>
      <c r="J74" t="s">
        <v>2085</v>
      </c>
      <c r="K74">
        <v>0.05</v>
      </c>
      <c r="L74" t="s">
        <v>959</v>
      </c>
      <c r="M74">
        <v>0.76335877862595403</v>
      </c>
      <c r="N74" t="s">
        <v>960</v>
      </c>
      <c r="O74">
        <v>0</v>
      </c>
      <c r="P74">
        <v>0</v>
      </c>
      <c r="Q74">
        <v>0</v>
      </c>
      <c r="R74">
        <v>0</v>
      </c>
    </row>
    <row r="75" spans="1:18" ht="16" x14ac:dyDescent="0.2">
      <c r="A75" s="127" t="s">
        <v>954</v>
      </c>
      <c r="B75" t="s">
        <v>90</v>
      </c>
      <c r="C75" t="s">
        <v>1780</v>
      </c>
      <c r="D75" t="s">
        <v>1781</v>
      </c>
      <c r="E75">
        <v>4</v>
      </c>
      <c r="F75">
        <v>4</v>
      </c>
      <c r="G75">
        <v>1</v>
      </c>
      <c r="H75">
        <v>5.16188815735046</v>
      </c>
      <c r="I75" t="s">
        <v>957</v>
      </c>
      <c r="J75" t="s">
        <v>2100</v>
      </c>
      <c r="K75">
        <v>0.1</v>
      </c>
      <c r="L75" t="s">
        <v>959</v>
      </c>
      <c r="M75">
        <v>1.5267175572519101</v>
      </c>
      <c r="N75" t="s">
        <v>960</v>
      </c>
      <c r="O75">
        <v>0</v>
      </c>
      <c r="P75">
        <v>0</v>
      </c>
      <c r="Q75">
        <v>0</v>
      </c>
      <c r="R75">
        <v>0</v>
      </c>
    </row>
    <row r="76" spans="1:18" ht="16" x14ac:dyDescent="0.2">
      <c r="A76" s="127" t="s">
        <v>954</v>
      </c>
      <c r="B76" t="s">
        <v>90</v>
      </c>
      <c r="C76" t="s">
        <v>3125</v>
      </c>
      <c r="E76">
        <v>7</v>
      </c>
      <c r="F76">
        <v>7</v>
      </c>
      <c r="G76">
        <v>1</v>
      </c>
      <c r="H76">
        <v>11.7507550422362</v>
      </c>
      <c r="I76" t="s">
        <v>957</v>
      </c>
      <c r="J76" t="s">
        <v>3126</v>
      </c>
      <c r="K76">
        <v>1.4285714285714299E-2</v>
      </c>
      <c r="L76" t="s">
        <v>959</v>
      </c>
      <c r="M76">
        <v>0.76335877862595403</v>
      </c>
      <c r="N76" t="s">
        <v>960</v>
      </c>
      <c r="O76">
        <v>0</v>
      </c>
      <c r="P76">
        <v>0</v>
      </c>
      <c r="Q76">
        <v>0</v>
      </c>
      <c r="R76">
        <v>0</v>
      </c>
    </row>
    <row r="77" spans="1:18" ht="16" x14ac:dyDescent="0.2">
      <c r="A77" s="127" t="s">
        <v>954</v>
      </c>
      <c r="B77" t="s">
        <v>90</v>
      </c>
      <c r="C77" t="s">
        <v>1550</v>
      </c>
      <c r="D77" t="s">
        <v>1551</v>
      </c>
      <c r="E77">
        <v>3</v>
      </c>
      <c r="F77">
        <v>3</v>
      </c>
      <c r="G77">
        <v>1</v>
      </c>
      <c r="H77">
        <v>11.8321595661992</v>
      </c>
      <c r="I77" t="s">
        <v>957</v>
      </c>
      <c r="J77" t="s">
        <v>1552</v>
      </c>
      <c r="K77">
        <v>7.14285714285714E-3</v>
      </c>
      <c r="L77" t="s">
        <v>959</v>
      </c>
      <c r="M77">
        <v>0.76335877862595403</v>
      </c>
      <c r="N77" t="s">
        <v>960</v>
      </c>
      <c r="O77">
        <v>0</v>
      </c>
      <c r="P77">
        <v>0</v>
      </c>
      <c r="Q77">
        <v>0</v>
      </c>
      <c r="R77">
        <v>0</v>
      </c>
    </row>
    <row r="78" spans="1:18" ht="16" x14ac:dyDescent="0.2">
      <c r="A78" s="127" t="s">
        <v>954</v>
      </c>
      <c r="B78" t="s">
        <v>90</v>
      </c>
      <c r="C78" t="s">
        <v>2555</v>
      </c>
      <c r="D78" t="s">
        <v>2556</v>
      </c>
      <c r="E78">
        <v>3</v>
      </c>
      <c r="F78">
        <v>3</v>
      </c>
      <c r="G78">
        <v>1</v>
      </c>
      <c r="H78">
        <v>9.8631957611800996</v>
      </c>
      <c r="I78" t="s">
        <v>957</v>
      </c>
      <c r="J78" t="s">
        <v>2557</v>
      </c>
      <c r="K78">
        <v>1.4285714285714299E-2</v>
      </c>
      <c r="L78" t="s">
        <v>959</v>
      </c>
      <c r="M78">
        <v>0.76335877862595403</v>
      </c>
      <c r="N78" t="s">
        <v>960</v>
      </c>
      <c r="O78">
        <v>0</v>
      </c>
      <c r="P78">
        <v>0</v>
      </c>
      <c r="Q78">
        <v>0</v>
      </c>
      <c r="R78">
        <v>0</v>
      </c>
    </row>
    <row r="79" spans="1:18" ht="16" x14ac:dyDescent="0.2">
      <c r="A79" s="127" t="s">
        <v>954</v>
      </c>
      <c r="B79" t="s">
        <v>90</v>
      </c>
      <c r="C79" t="s">
        <v>1879</v>
      </c>
      <c r="D79" t="s">
        <v>1880</v>
      </c>
      <c r="E79" t="s">
        <v>1052</v>
      </c>
      <c r="F79">
        <v>2</v>
      </c>
      <c r="G79">
        <v>2</v>
      </c>
      <c r="H79">
        <v>7.2894545827996398</v>
      </c>
      <c r="I79" t="s">
        <v>957</v>
      </c>
      <c r="J79" t="s">
        <v>1881</v>
      </c>
      <c r="K79">
        <v>3.5714285714285698E-2</v>
      </c>
      <c r="L79" t="s">
        <v>959</v>
      </c>
      <c r="M79">
        <v>1.5267175572519101</v>
      </c>
      <c r="N79" t="s">
        <v>960</v>
      </c>
      <c r="O79">
        <v>0</v>
      </c>
      <c r="P79">
        <v>0</v>
      </c>
      <c r="Q79">
        <v>0</v>
      </c>
      <c r="R79">
        <v>0</v>
      </c>
    </row>
    <row r="80" spans="1:18" ht="16" x14ac:dyDescent="0.2">
      <c r="A80" s="127" t="s">
        <v>954</v>
      </c>
      <c r="B80" t="s">
        <v>90</v>
      </c>
      <c r="C80" t="s">
        <v>2291</v>
      </c>
      <c r="D80" t="s">
        <v>2292</v>
      </c>
      <c r="E80" t="s">
        <v>2293</v>
      </c>
      <c r="F80">
        <v>9</v>
      </c>
      <c r="G80">
        <v>3</v>
      </c>
      <c r="H80">
        <v>11.8321595661992</v>
      </c>
      <c r="I80" t="s">
        <v>957</v>
      </c>
      <c r="J80" t="s">
        <v>2294</v>
      </c>
      <c r="K80">
        <v>7.14285714285714E-3</v>
      </c>
      <c r="L80" t="s">
        <v>959</v>
      </c>
      <c r="M80">
        <v>0.76335877862595403</v>
      </c>
      <c r="N80" t="s">
        <v>987</v>
      </c>
      <c r="O80">
        <v>0</v>
      </c>
      <c r="P80">
        <v>0</v>
      </c>
      <c r="Q80">
        <v>0</v>
      </c>
      <c r="R80">
        <v>0</v>
      </c>
    </row>
    <row r="81" spans="1:18" ht="16" x14ac:dyDescent="0.2">
      <c r="A81" s="127" t="s">
        <v>954</v>
      </c>
      <c r="B81" t="s">
        <v>90</v>
      </c>
      <c r="C81" t="s">
        <v>490</v>
      </c>
      <c r="D81" t="s">
        <v>2153</v>
      </c>
      <c r="E81">
        <v>8</v>
      </c>
      <c r="F81">
        <v>8</v>
      </c>
      <c r="G81">
        <v>1</v>
      </c>
      <c r="H81">
        <v>11.8321595661992</v>
      </c>
      <c r="I81" t="s">
        <v>957</v>
      </c>
      <c r="J81" t="s">
        <v>2154</v>
      </c>
      <c r="K81">
        <v>7.14285714285714E-3</v>
      </c>
      <c r="L81" t="s">
        <v>959</v>
      </c>
      <c r="M81">
        <v>0.76335877862595403</v>
      </c>
      <c r="N81" t="s">
        <v>960</v>
      </c>
      <c r="O81">
        <v>0</v>
      </c>
      <c r="P81">
        <v>0</v>
      </c>
      <c r="Q81">
        <v>0</v>
      </c>
      <c r="R81">
        <v>0</v>
      </c>
    </row>
    <row r="82" spans="1:18" ht="16" x14ac:dyDescent="0.2">
      <c r="A82" s="127" t="s">
        <v>954</v>
      </c>
      <c r="B82" t="s">
        <v>90</v>
      </c>
      <c r="C82" t="s">
        <v>2397</v>
      </c>
      <c r="D82" t="s">
        <v>2398</v>
      </c>
      <c r="E82" t="s">
        <v>1039</v>
      </c>
      <c r="F82">
        <v>3</v>
      </c>
      <c r="G82">
        <v>2</v>
      </c>
      <c r="H82">
        <v>6.5507180333571897</v>
      </c>
      <c r="I82" t="s">
        <v>957</v>
      </c>
      <c r="J82" t="s">
        <v>2399</v>
      </c>
      <c r="K82">
        <v>7.8571428571428598E-2</v>
      </c>
      <c r="L82" t="s">
        <v>959</v>
      </c>
      <c r="M82">
        <v>0.76335877862595403</v>
      </c>
      <c r="N82" t="s">
        <v>960</v>
      </c>
      <c r="O82">
        <v>0</v>
      </c>
      <c r="P82">
        <v>0</v>
      </c>
      <c r="Q82">
        <v>0</v>
      </c>
      <c r="R82">
        <v>0</v>
      </c>
    </row>
    <row r="83" spans="1:18" ht="16" x14ac:dyDescent="0.2">
      <c r="A83" s="127" t="s">
        <v>954</v>
      </c>
      <c r="B83" t="s">
        <v>90</v>
      </c>
      <c r="C83" t="s">
        <v>1976</v>
      </c>
      <c r="D83" t="s">
        <v>1977</v>
      </c>
      <c r="E83">
        <v>3</v>
      </c>
      <c r="F83">
        <v>3</v>
      </c>
      <c r="G83">
        <v>1</v>
      </c>
      <c r="H83">
        <v>5.0350555896118099</v>
      </c>
      <c r="I83" t="s">
        <v>957</v>
      </c>
      <c r="J83" t="s">
        <v>1978</v>
      </c>
      <c r="K83">
        <v>0.1</v>
      </c>
      <c r="L83" t="s">
        <v>959</v>
      </c>
      <c r="M83">
        <v>0.76335877862595403</v>
      </c>
      <c r="N83" t="s">
        <v>960</v>
      </c>
      <c r="O83">
        <v>0</v>
      </c>
      <c r="P83">
        <v>0</v>
      </c>
      <c r="Q83">
        <v>0</v>
      </c>
      <c r="R83">
        <v>0</v>
      </c>
    </row>
    <row r="84" spans="1:18" ht="16" x14ac:dyDescent="0.2">
      <c r="A84" s="127" t="s">
        <v>954</v>
      </c>
      <c r="B84" t="s">
        <v>90</v>
      </c>
      <c r="C84" t="s">
        <v>518</v>
      </c>
      <c r="D84" t="s">
        <v>3621</v>
      </c>
      <c r="E84">
        <v>3</v>
      </c>
      <c r="F84">
        <v>3</v>
      </c>
      <c r="G84">
        <v>1</v>
      </c>
      <c r="H84">
        <v>11.8321595661992</v>
      </c>
      <c r="I84" t="s">
        <v>957</v>
      </c>
      <c r="J84" t="s">
        <v>3622</v>
      </c>
      <c r="K84">
        <v>7.14285714285714E-3</v>
      </c>
      <c r="L84" t="s">
        <v>959</v>
      </c>
      <c r="M84">
        <v>0.76335877862595403</v>
      </c>
      <c r="N84" t="s">
        <v>960</v>
      </c>
      <c r="O84">
        <v>0</v>
      </c>
      <c r="P84" t="s">
        <v>5017</v>
      </c>
      <c r="Q84">
        <v>0</v>
      </c>
      <c r="R84">
        <v>0</v>
      </c>
    </row>
    <row r="85" spans="1:18" ht="16" x14ac:dyDescent="0.2">
      <c r="A85" s="127" t="s">
        <v>954</v>
      </c>
      <c r="B85" t="s">
        <v>90</v>
      </c>
      <c r="C85" t="s">
        <v>1500</v>
      </c>
      <c r="D85" t="s">
        <v>1501</v>
      </c>
      <c r="E85">
        <v>3</v>
      </c>
      <c r="F85">
        <v>3</v>
      </c>
      <c r="G85">
        <v>1</v>
      </c>
      <c r="H85">
        <v>6.3971561525188401</v>
      </c>
      <c r="I85" t="s">
        <v>957</v>
      </c>
      <c r="J85" t="s">
        <v>1656</v>
      </c>
      <c r="K85">
        <v>3.5714285714285698E-2</v>
      </c>
      <c r="L85" t="s">
        <v>959</v>
      </c>
      <c r="M85">
        <v>2.2900763358778602</v>
      </c>
      <c r="N85" t="s">
        <v>960</v>
      </c>
      <c r="O85">
        <v>0</v>
      </c>
      <c r="P85">
        <v>0</v>
      </c>
      <c r="Q85">
        <v>0</v>
      </c>
      <c r="R85">
        <v>0</v>
      </c>
    </row>
    <row r="86" spans="1:18" ht="16" x14ac:dyDescent="0.2">
      <c r="A86" s="127" t="s">
        <v>954</v>
      </c>
      <c r="B86" t="s">
        <v>94</v>
      </c>
      <c r="C86" t="s">
        <v>1326</v>
      </c>
      <c r="D86" t="s">
        <v>1327</v>
      </c>
      <c r="E86">
        <v>3</v>
      </c>
      <c r="F86">
        <v>3</v>
      </c>
      <c r="G86">
        <v>1</v>
      </c>
      <c r="H86">
        <v>4.8395226549474097</v>
      </c>
      <c r="I86" t="s">
        <v>957</v>
      </c>
      <c r="J86" t="s">
        <v>1861</v>
      </c>
      <c r="K86">
        <v>0.17857142857142899</v>
      </c>
      <c r="L86" t="s">
        <v>959</v>
      </c>
      <c r="M86">
        <v>1.5267175572519101</v>
      </c>
      <c r="N86" t="s">
        <v>960</v>
      </c>
      <c r="O86">
        <v>0</v>
      </c>
      <c r="P86">
        <v>0</v>
      </c>
      <c r="Q86">
        <v>0</v>
      </c>
      <c r="R86">
        <v>0</v>
      </c>
    </row>
    <row r="87" spans="1:18" ht="16" x14ac:dyDescent="0.2">
      <c r="A87" s="127" t="s">
        <v>954</v>
      </c>
      <c r="B87" t="s">
        <v>94</v>
      </c>
      <c r="C87" t="s">
        <v>1069</v>
      </c>
      <c r="D87" t="s">
        <v>1070</v>
      </c>
      <c r="E87">
        <v>3</v>
      </c>
      <c r="F87">
        <v>3</v>
      </c>
      <c r="G87">
        <v>1</v>
      </c>
      <c r="H87">
        <v>8.3509503909313292</v>
      </c>
      <c r="I87" t="s">
        <v>957</v>
      </c>
      <c r="J87" t="s">
        <v>2827</v>
      </c>
      <c r="K87">
        <v>0.05</v>
      </c>
      <c r="L87" t="s">
        <v>959</v>
      </c>
      <c r="M87">
        <v>1.5267175572519101</v>
      </c>
      <c r="N87" t="s">
        <v>960</v>
      </c>
      <c r="O87">
        <v>0</v>
      </c>
      <c r="P87">
        <v>0</v>
      </c>
      <c r="Q87">
        <v>0</v>
      </c>
      <c r="R87">
        <v>0</v>
      </c>
    </row>
    <row r="88" spans="1:18" ht="16" x14ac:dyDescent="0.2">
      <c r="A88" s="127" t="s">
        <v>954</v>
      </c>
      <c r="B88" t="s">
        <v>94</v>
      </c>
      <c r="C88" t="s">
        <v>1960</v>
      </c>
      <c r="D88" t="s">
        <v>1961</v>
      </c>
      <c r="E88" t="s">
        <v>1102</v>
      </c>
      <c r="F88">
        <v>4</v>
      </c>
      <c r="G88">
        <v>2</v>
      </c>
      <c r="H88">
        <v>5.0946999474984302</v>
      </c>
      <c r="I88" t="s">
        <v>957</v>
      </c>
      <c r="J88" t="s">
        <v>3671</v>
      </c>
      <c r="K88">
        <v>8.5714285714285701E-2</v>
      </c>
      <c r="L88" t="s">
        <v>959</v>
      </c>
      <c r="M88">
        <v>2.2900763358778602</v>
      </c>
      <c r="N88" t="s">
        <v>960</v>
      </c>
      <c r="O88">
        <v>0</v>
      </c>
      <c r="P88">
        <v>0</v>
      </c>
      <c r="Q88">
        <v>0</v>
      </c>
      <c r="R88">
        <v>0</v>
      </c>
    </row>
    <row r="89" spans="1:18" ht="16" x14ac:dyDescent="0.2">
      <c r="A89" s="127" t="s">
        <v>954</v>
      </c>
      <c r="B89" t="s">
        <v>94</v>
      </c>
      <c r="C89" t="s">
        <v>2646</v>
      </c>
      <c r="D89" t="s">
        <v>2647</v>
      </c>
      <c r="E89" t="s">
        <v>1052</v>
      </c>
      <c r="F89">
        <v>2</v>
      </c>
      <c r="G89">
        <v>2</v>
      </c>
      <c r="H89">
        <v>6.64733013956858</v>
      </c>
      <c r="I89" t="s">
        <v>957</v>
      </c>
      <c r="J89" t="s">
        <v>2648</v>
      </c>
      <c r="K89">
        <v>0.05</v>
      </c>
      <c r="L89" t="s">
        <v>959</v>
      </c>
      <c r="M89">
        <v>0.76335877862595403</v>
      </c>
      <c r="N89" t="s">
        <v>960</v>
      </c>
      <c r="O89">
        <v>0</v>
      </c>
      <c r="P89">
        <v>0</v>
      </c>
      <c r="Q89">
        <v>0</v>
      </c>
      <c r="R89">
        <v>0</v>
      </c>
    </row>
    <row r="90" spans="1:18" ht="16" x14ac:dyDescent="0.2">
      <c r="A90" s="127" t="s">
        <v>954</v>
      </c>
      <c r="B90" t="s">
        <v>94</v>
      </c>
      <c r="C90" t="s">
        <v>3664</v>
      </c>
      <c r="D90" t="s">
        <v>3665</v>
      </c>
      <c r="E90">
        <v>3</v>
      </c>
      <c r="F90">
        <v>3</v>
      </c>
      <c r="G90">
        <v>1</v>
      </c>
      <c r="H90">
        <v>5.2568750048807704</v>
      </c>
      <c r="I90" t="s">
        <v>957</v>
      </c>
      <c r="J90" t="s">
        <v>3666</v>
      </c>
      <c r="K90">
        <v>0.128571428571429</v>
      </c>
      <c r="L90" t="s">
        <v>959</v>
      </c>
      <c r="M90">
        <v>0.76335877862595403</v>
      </c>
      <c r="N90" t="s">
        <v>960</v>
      </c>
      <c r="O90">
        <v>0</v>
      </c>
      <c r="P90">
        <v>0</v>
      </c>
      <c r="Q90">
        <v>0</v>
      </c>
      <c r="R90">
        <v>0</v>
      </c>
    </row>
    <row r="91" spans="1:18" ht="16" x14ac:dyDescent="0.2">
      <c r="A91" s="127" t="s">
        <v>954</v>
      </c>
      <c r="B91" t="s">
        <v>94</v>
      </c>
      <c r="C91" t="s">
        <v>2491</v>
      </c>
      <c r="D91" t="s">
        <v>2492</v>
      </c>
      <c r="E91" t="s">
        <v>1598</v>
      </c>
      <c r="F91">
        <v>7</v>
      </c>
      <c r="G91">
        <v>2</v>
      </c>
      <c r="H91">
        <v>5.9448559682392297</v>
      </c>
      <c r="I91" t="s">
        <v>957</v>
      </c>
      <c r="J91" t="s">
        <v>2494</v>
      </c>
      <c r="K91">
        <v>0.121428571428571</v>
      </c>
      <c r="L91" t="s">
        <v>959</v>
      </c>
      <c r="M91">
        <v>2.2900763358778602</v>
      </c>
      <c r="N91" t="s">
        <v>960</v>
      </c>
      <c r="O91">
        <v>0</v>
      </c>
      <c r="P91">
        <v>0</v>
      </c>
      <c r="Q91">
        <v>0</v>
      </c>
      <c r="R91">
        <v>0</v>
      </c>
    </row>
    <row r="92" spans="1:18" ht="16" x14ac:dyDescent="0.2">
      <c r="A92" s="127" t="s">
        <v>954</v>
      </c>
      <c r="B92" t="s">
        <v>94</v>
      </c>
      <c r="C92" t="s">
        <v>2632</v>
      </c>
      <c r="D92" t="s">
        <v>2633</v>
      </c>
      <c r="E92">
        <v>3</v>
      </c>
      <c r="F92">
        <v>3</v>
      </c>
      <c r="G92">
        <v>1</v>
      </c>
      <c r="H92">
        <v>11.8321595661992</v>
      </c>
      <c r="I92" t="s">
        <v>957</v>
      </c>
      <c r="J92" t="s">
        <v>2634</v>
      </c>
      <c r="K92">
        <v>7.14285714285714E-3</v>
      </c>
      <c r="L92" t="s">
        <v>959</v>
      </c>
      <c r="M92">
        <v>0.76335877862595403</v>
      </c>
      <c r="N92" t="s">
        <v>960</v>
      </c>
      <c r="O92">
        <v>0</v>
      </c>
      <c r="P92">
        <v>0</v>
      </c>
      <c r="Q92">
        <v>0</v>
      </c>
      <c r="R92">
        <v>0</v>
      </c>
    </row>
    <row r="93" spans="1:18" ht="16" x14ac:dyDescent="0.2">
      <c r="A93" s="127" t="s">
        <v>954</v>
      </c>
      <c r="B93" t="s">
        <v>94</v>
      </c>
      <c r="C93" t="s">
        <v>1825</v>
      </c>
      <c r="D93" t="s">
        <v>1826</v>
      </c>
      <c r="E93">
        <v>3</v>
      </c>
      <c r="F93">
        <v>3</v>
      </c>
      <c r="G93">
        <v>1</v>
      </c>
      <c r="H93">
        <v>5.1900429421669303</v>
      </c>
      <c r="I93" t="s">
        <v>957</v>
      </c>
      <c r="J93" t="s">
        <v>1827</v>
      </c>
      <c r="K93">
        <v>9.2857142857142902E-2</v>
      </c>
      <c r="L93" t="s">
        <v>959</v>
      </c>
      <c r="M93">
        <v>2.2900763358778602</v>
      </c>
      <c r="N93" t="s">
        <v>960</v>
      </c>
      <c r="O93">
        <v>0</v>
      </c>
      <c r="P93">
        <v>0</v>
      </c>
      <c r="Q93">
        <v>0</v>
      </c>
      <c r="R93">
        <v>0</v>
      </c>
    </row>
    <row r="94" spans="1:18" ht="16" x14ac:dyDescent="0.2">
      <c r="A94" s="127" t="s">
        <v>954</v>
      </c>
      <c r="B94" t="s">
        <v>94</v>
      </c>
      <c r="C94" t="s">
        <v>2030</v>
      </c>
      <c r="D94" t="s">
        <v>2031</v>
      </c>
      <c r="E94" t="s">
        <v>1442</v>
      </c>
      <c r="F94">
        <v>5</v>
      </c>
      <c r="G94">
        <v>2</v>
      </c>
      <c r="H94">
        <v>5.3319388931676199</v>
      </c>
      <c r="I94" t="s">
        <v>957</v>
      </c>
      <c r="J94" t="s">
        <v>3569</v>
      </c>
      <c r="K94">
        <v>0.128571428571429</v>
      </c>
      <c r="L94" t="s">
        <v>959</v>
      </c>
      <c r="M94">
        <v>1.5267175572519101</v>
      </c>
      <c r="N94" t="s">
        <v>960</v>
      </c>
      <c r="O94">
        <v>0</v>
      </c>
      <c r="P94">
        <v>0</v>
      </c>
      <c r="Q94">
        <v>0</v>
      </c>
      <c r="R94">
        <v>0</v>
      </c>
    </row>
    <row r="95" spans="1:18" ht="16" x14ac:dyDescent="0.2">
      <c r="A95" s="127" t="s">
        <v>954</v>
      </c>
      <c r="B95" t="s">
        <v>94</v>
      </c>
      <c r="C95" t="s">
        <v>1783</v>
      </c>
      <c r="D95" t="s">
        <v>1784</v>
      </c>
      <c r="E95" t="s">
        <v>1785</v>
      </c>
      <c r="F95">
        <v>5</v>
      </c>
      <c r="G95">
        <v>3</v>
      </c>
      <c r="H95">
        <v>9.7610336428975497</v>
      </c>
      <c r="I95" t="s">
        <v>957</v>
      </c>
      <c r="J95" t="s">
        <v>1786</v>
      </c>
      <c r="K95">
        <v>5.7142857142857099E-2</v>
      </c>
      <c r="L95" t="s">
        <v>959</v>
      </c>
      <c r="M95">
        <v>0.76335877862595403</v>
      </c>
      <c r="N95" t="s">
        <v>960</v>
      </c>
      <c r="O95">
        <v>0</v>
      </c>
      <c r="P95">
        <v>0</v>
      </c>
      <c r="Q95">
        <v>0</v>
      </c>
      <c r="R95">
        <v>0</v>
      </c>
    </row>
    <row r="96" spans="1:18" ht="16" x14ac:dyDescent="0.2">
      <c r="A96" s="127" t="s">
        <v>954</v>
      </c>
      <c r="B96" t="s">
        <v>94</v>
      </c>
      <c r="C96" t="s">
        <v>1869</v>
      </c>
      <c r="D96" t="s">
        <v>1870</v>
      </c>
      <c r="E96" t="s">
        <v>1039</v>
      </c>
      <c r="F96">
        <v>3</v>
      </c>
      <c r="G96">
        <v>2</v>
      </c>
      <c r="H96">
        <v>6.6543707493888702</v>
      </c>
      <c r="I96" t="s">
        <v>957</v>
      </c>
      <c r="J96" t="s">
        <v>1871</v>
      </c>
      <c r="K96">
        <v>0.13571428571428601</v>
      </c>
      <c r="L96" t="s">
        <v>959</v>
      </c>
      <c r="M96">
        <v>2.2900763358778602</v>
      </c>
      <c r="N96" t="s">
        <v>960</v>
      </c>
      <c r="O96">
        <v>0</v>
      </c>
      <c r="P96">
        <v>0</v>
      </c>
      <c r="Q96">
        <v>0</v>
      </c>
      <c r="R96">
        <v>0</v>
      </c>
    </row>
    <row r="97" spans="1:18" ht="16" x14ac:dyDescent="0.2">
      <c r="A97" s="127" t="s">
        <v>954</v>
      </c>
      <c r="B97" t="s">
        <v>94</v>
      </c>
      <c r="C97" t="s">
        <v>1355</v>
      </c>
      <c r="D97" t="s">
        <v>2148</v>
      </c>
      <c r="E97" t="s">
        <v>1022</v>
      </c>
      <c r="F97">
        <v>3</v>
      </c>
      <c r="G97">
        <v>2</v>
      </c>
      <c r="H97">
        <v>5.33624664123582</v>
      </c>
      <c r="I97" t="s">
        <v>957</v>
      </c>
      <c r="J97" t="s">
        <v>2149</v>
      </c>
      <c r="K97">
        <v>0.157142857142857</v>
      </c>
      <c r="L97" t="s">
        <v>959</v>
      </c>
      <c r="M97">
        <v>2.2900763358778602</v>
      </c>
      <c r="N97" t="s">
        <v>960</v>
      </c>
      <c r="O97">
        <v>0</v>
      </c>
      <c r="P97">
        <v>0</v>
      </c>
      <c r="Q97">
        <v>0</v>
      </c>
      <c r="R97">
        <v>0</v>
      </c>
    </row>
    <row r="98" spans="1:18" ht="16" x14ac:dyDescent="0.2">
      <c r="A98" s="127" t="s">
        <v>954</v>
      </c>
      <c r="B98" t="s">
        <v>94</v>
      </c>
      <c r="C98" t="s">
        <v>2904</v>
      </c>
      <c r="D98" t="s">
        <v>2905</v>
      </c>
      <c r="E98" t="s">
        <v>966</v>
      </c>
      <c r="F98">
        <v>3</v>
      </c>
      <c r="G98">
        <v>3</v>
      </c>
      <c r="H98">
        <v>5.8363041752045497</v>
      </c>
      <c r="I98" t="s">
        <v>957</v>
      </c>
      <c r="J98" t="s">
        <v>2906</v>
      </c>
      <c r="K98">
        <v>0.17142857142857101</v>
      </c>
      <c r="L98" t="s">
        <v>959</v>
      </c>
      <c r="M98">
        <v>0.76335877862595403</v>
      </c>
      <c r="N98" t="s">
        <v>960</v>
      </c>
      <c r="O98">
        <v>0</v>
      </c>
      <c r="P98">
        <v>0</v>
      </c>
      <c r="Q98">
        <v>0</v>
      </c>
      <c r="R98">
        <v>0</v>
      </c>
    </row>
    <row r="99" spans="1:18" ht="16" x14ac:dyDescent="0.2">
      <c r="A99" s="127" t="s">
        <v>954</v>
      </c>
      <c r="B99" t="s">
        <v>94</v>
      </c>
      <c r="C99" t="s">
        <v>3715</v>
      </c>
      <c r="D99" t="s">
        <v>3716</v>
      </c>
      <c r="E99" t="s">
        <v>1974</v>
      </c>
      <c r="F99">
        <v>5</v>
      </c>
      <c r="G99">
        <v>2</v>
      </c>
      <c r="H99">
        <v>8.8024099207459106</v>
      </c>
      <c r="I99" t="s">
        <v>957</v>
      </c>
      <c r="J99" t="s">
        <v>3717</v>
      </c>
      <c r="K99">
        <v>6.4285714285714293E-2</v>
      </c>
      <c r="L99" t="s">
        <v>959</v>
      </c>
      <c r="M99">
        <v>0.76335877862595403</v>
      </c>
      <c r="N99" t="s">
        <v>960</v>
      </c>
      <c r="O99">
        <v>0</v>
      </c>
      <c r="P99">
        <v>0</v>
      </c>
      <c r="Q99">
        <v>0</v>
      </c>
      <c r="R99">
        <v>0</v>
      </c>
    </row>
    <row r="100" spans="1:18" ht="16" x14ac:dyDescent="0.2">
      <c r="A100" s="127" t="s">
        <v>954</v>
      </c>
      <c r="B100" t="s">
        <v>98</v>
      </c>
      <c r="C100" t="s">
        <v>1483</v>
      </c>
      <c r="D100" t="s">
        <v>1484</v>
      </c>
      <c r="E100">
        <v>5</v>
      </c>
      <c r="F100">
        <v>5</v>
      </c>
      <c r="G100">
        <v>1</v>
      </c>
      <c r="H100">
        <v>7.6917838036741104</v>
      </c>
      <c r="I100" t="s">
        <v>957</v>
      </c>
      <c r="J100" t="s">
        <v>1727</v>
      </c>
      <c r="K100">
        <v>5.7142857142857099E-2</v>
      </c>
      <c r="L100" t="s">
        <v>959</v>
      </c>
      <c r="M100">
        <v>3.0534351145038201</v>
      </c>
      <c r="N100" t="s">
        <v>960</v>
      </c>
      <c r="O100">
        <v>0</v>
      </c>
      <c r="P100">
        <v>0</v>
      </c>
      <c r="Q100">
        <v>0</v>
      </c>
      <c r="R100">
        <v>0</v>
      </c>
    </row>
    <row r="101" spans="1:18" ht="16" x14ac:dyDescent="0.2">
      <c r="A101" s="127" t="s">
        <v>954</v>
      </c>
      <c r="B101" t="s">
        <v>98</v>
      </c>
      <c r="C101" t="s">
        <v>3470</v>
      </c>
      <c r="D101" t="s">
        <v>3471</v>
      </c>
      <c r="E101" t="s">
        <v>1102</v>
      </c>
      <c r="F101">
        <v>4</v>
      </c>
      <c r="G101">
        <v>2</v>
      </c>
      <c r="H101">
        <v>10.605878528655399</v>
      </c>
      <c r="I101" t="s">
        <v>957</v>
      </c>
      <c r="J101" t="s">
        <v>3472</v>
      </c>
      <c r="K101">
        <v>1.4285714285714299E-2</v>
      </c>
      <c r="L101" t="s">
        <v>959</v>
      </c>
      <c r="M101">
        <v>0.76335877862595403</v>
      </c>
      <c r="N101" t="s">
        <v>960</v>
      </c>
      <c r="O101">
        <v>0</v>
      </c>
      <c r="P101">
        <v>0</v>
      </c>
      <c r="Q101">
        <v>0</v>
      </c>
      <c r="R101">
        <v>0</v>
      </c>
    </row>
    <row r="102" spans="1:18" ht="16" x14ac:dyDescent="0.2">
      <c r="A102" s="127" t="s">
        <v>954</v>
      </c>
      <c r="B102" t="s">
        <v>98</v>
      </c>
      <c r="C102" t="s">
        <v>1163</v>
      </c>
      <c r="D102" t="s">
        <v>1164</v>
      </c>
      <c r="E102">
        <v>5</v>
      </c>
      <c r="F102">
        <v>5</v>
      </c>
      <c r="G102">
        <v>1</v>
      </c>
      <c r="H102">
        <v>7.6021247940401802</v>
      </c>
      <c r="I102" t="s">
        <v>957</v>
      </c>
      <c r="J102" t="s">
        <v>1165</v>
      </c>
      <c r="K102">
        <v>0.05</v>
      </c>
      <c r="L102" t="s">
        <v>959</v>
      </c>
      <c r="M102">
        <v>2.2900763358778602</v>
      </c>
      <c r="N102" t="s">
        <v>960</v>
      </c>
      <c r="O102">
        <v>0</v>
      </c>
      <c r="P102">
        <v>0</v>
      </c>
      <c r="Q102">
        <v>0</v>
      </c>
      <c r="R102">
        <v>0</v>
      </c>
    </row>
    <row r="103" spans="1:18" ht="16" x14ac:dyDescent="0.2">
      <c r="A103" s="127" t="s">
        <v>954</v>
      </c>
      <c r="B103" t="s">
        <v>98</v>
      </c>
      <c r="C103" t="s">
        <v>3156</v>
      </c>
      <c r="D103" t="s">
        <v>3157</v>
      </c>
      <c r="E103">
        <v>3</v>
      </c>
      <c r="F103">
        <v>3</v>
      </c>
      <c r="G103">
        <v>1</v>
      </c>
      <c r="H103">
        <v>8.1255280204866107</v>
      </c>
      <c r="I103" t="s">
        <v>957</v>
      </c>
      <c r="J103" t="s">
        <v>3158</v>
      </c>
      <c r="K103">
        <v>6.4285714285714293E-2</v>
      </c>
      <c r="L103" t="s">
        <v>959</v>
      </c>
      <c r="M103">
        <v>0.76335877862595403</v>
      </c>
      <c r="N103" t="s">
        <v>960</v>
      </c>
      <c r="O103">
        <v>0</v>
      </c>
      <c r="P103">
        <v>0</v>
      </c>
      <c r="Q103">
        <v>0</v>
      </c>
      <c r="R103">
        <v>0</v>
      </c>
    </row>
    <row r="104" spans="1:18" ht="16" x14ac:dyDescent="0.2">
      <c r="A104" s="127" t="s">
        <v>954</v>
      </c>
      <c r="B104" t="s">
        <v>98</v>
      </c>
      <c r="C104" t="s">
        <v>2832</v>
      </c>
      <c r="D104" t="s">
        <v>2833</v>
      </c>
      <c r="E104" t="s">
        <v>1692</v>
      </c>
      <c r="F104">
        <v>5</v>
      </c>
      <c r="G104">
        <v>2</v>
      </c>
      <c r="H104">
        <v>5.0874687913386998</v>
      </c>
      <c r="I104" t="s">
        <v>957</v>
      </c>
      <c r="J104" t="s">
        <v>2834</v>
      </c>
      <c r="K104">
        <v>0.15</v>
      </c>
      <c r="L104" t="s">
        <v>959</v>
      </c>
      <c r="M104">
        <v>1.5267175572519101</v>
      </c>
      <c r="N104" t="s">
        <v>960</v>
      </c>
      <c r="O104">
        <v>0</v>
      </c>
      <c r="P104">
        <v>0</v>
      </c>
      <c r="Q104">
        <v>0</v>
      </c>
      <c r="R104">
        <v>0</v>
      </c>
    </row>
    <row r="105" spans="1:18" ht="16" x14ac:dyDescent="0.2">
      <c r="A105" s="127" t="s">
        <v>954</v>
      </c>
      <c r="B105" t="s">
        <v>98</v>
      </c>
      <c r="C105" t="s">
        <v>2468</v>
      </c>
      <c r="D105" t="s">
        <v>2469</v>
      </c>
      <c r="E105" t="s">
        <v>1102</v>
      </c>
      <c r="F105">
        <v>4</v>
      </c>
      <c r="G105">
        <v>2</v>
      </c>
      <c r="H105">
        <v>9.5415245135736804</v>
      </c>
      <c r="I105" t="s">
        <v>957</v>
      </c>
      <c r="J105" t="s">
        <v>2470</v>
      </c>
      <c r="K105">
        <v>0.114285714285714</v>
      </c>
      <c r="L105" t="s">
        <v>959</v>
      </c>
      <c r="M105">
        <v>0.76335877862595403</v>
      </c>
      <c r="N105" t="s">
        <v>960</v>
      </c>
      <c r="O105">
        <v>0</v>
      </c>
      <c r="P105">
        <v>0</v>
      </c>
      <c r="Q105">
        <v>0</v>
      </c>
      <c r="R105">
        <v>0</v>
      </c>
    </row>
    <row r="106" spans="1:18" ht="16" x14ac:dyDescent="0.2">
      <c r="A106" s="127" t="s">
        <v>954</v>
      </c>
      <c r="B106" t="s">
        <v>98</v>
      </c>
      <c r="C106" t="s">
        <v>1100</v>
      </c>
      <c r="D106" t="s">
        <v>1101</v>
      </c>
      <c r="E106" t="s">
        <v>1102</v>
      </c>
      <c r="F106">
        <v>4</v>
      </c>
      <c r="G106">
        <v>2</v>
      </c>
      <c r="H106">
        <v>5.3322889995771598</v>
      </c>
      <c r="I106" t="s">
        <v>957</v>
      </c>
      <c r="J106" t="s">
        <v>1103</v>
      </c>
      <c r="K106">
        <v>0.13571428571428601</v>
      </c>
      <c r="L106" t="s">
        <v>959</v>
      </c>
      <c r="M106">
        <v>1.5267175572519101</v>
      </c>
      <c r="N106" t="s">
        <v>960</v>
      </c>
      <c r="O106">
        <v>0</v>
      </c>
      <c r="P106">
        <v>0</v>
      </c>
      <c r="Q106">
        <v>0</v>
      </c>
      <c r="R106">
        <v>0</v>
      </c>
    </row>
    <row r="107" spans="1:18" ht="16" x14ac:dyDescent="0.2">
      <c r="A107" s="127" t="s">
        <v>954</v>
      </c>
      <c r="B107" t="s">
        <v>98</v>
      </c>
      <c r="C107" t="s">
        <v>2840</v>
      </c>
      <c r="D107" t="s">
        <v>2841</v>
      </c>
      <c r="E107">
        <v>3</v>
      </c>
      <c r="F107">
        <v>3</v>
      </c>
      <c r="G107">
        <v>1</v>
      </c>
      <c r="H107">
        <v>7.5671157867623702</v>
      </c>
      <c r="I107" t="s">
        <v>957</v>
      </c>
      <c r="J107" t="s">
        <v>2842</v>
      </c>
      <c r="K107">
        <v>6.4285714285714293E-2</v>
      </c>
      <c r="L107" t="s">
        <v>959</v>
      </c>
      <c r="M107">
        <v>0.76335877862595403</v>
      </c>
      <c r="N107" t="s">
        <v>960</v>
      </c>
      <c r="O107">
        <v>0</v>
      </c>
      <c r="P107">
        <v>0</v>
      </c>
      <c r="Q107">
        <v>0</v>
      </c>
      <c r="R107">
        <v>0</v>
      </c>
    </row>
    <row r="108" spans="1:18" ht="16" x14ac:dyDescent="0.2">
      <c r="A108" s="127" t="s">
        <v>954</v>
      </c>
      <c r="B108" t="s">
        <v>102</v>
      </c>
      <c r="C108" t="s">
        <v>1694</v>
      </c>
      <c r="D108" t="s">
        <v>1695</v>
      </c>
      <c r="E108">
        <v>4</v>
      </c>
      <c r="F108">
        <v>4</v>
      </c>
      <c r="G108">
        <v>1</v>
      </c>
      <c r="H108">
        <v>11.8321595661992</v>
      </c>
      <c r="I108" t="s">
        <v>957</v>
      </c>
      <c r="J108" t="s">
        <v>1696</v>
      </c>
      <c r="K108">
        <v>7.14285714285714E-3</v>
      </c>
      <c r="L108" t="s">
        <v>959</v>
      </c>
      <c r="M108">
        <v>0.76335877862595403</v>
      </c>
      <c r="N108" t="s">
        <v>960</v>
      </c>
      <c r="O108">
        <v>0</v>
      </c>
      <c r="P108">
        <v>0</v>
      </c>
      <c r="Q108">
        <v>0</v>
      </c>
      <c r="R108">
        <v>0</v>
      </c>
    </row>
    <row r="109" spans="1:18" ht="16" x14ac:dyDescent="0.2">
      <c r="A109" s="127" t="s">
        <v>954</v>
      </c>
      <c r="B109" t="s">
        <v>102</v>
      </c>
      <c r="C109" t="s">
        <v>2780</v>
      </c>
      <c r="D109" t="s">
        <v>2781</v>
      </c>
      <c r="E109">
        <v>6</v>
      </c>
      <c r="F109">
        <v>6</v>
      </c>
      <c r="G109">
        <v>1</v>
      </c>
      <c r="H109">
        <v>8.7838690479681496</v>
      </c>
      <c r="I109" t="s">
        <v>957</v>
      </c>
      <c r="J109" t="s">
        <v>2782</v>
      </c>
      <c r="K109">
        <v>9.2857142857142902E-2</v>
      </c>
      <c r="L109" t="s">
        <v>959</v>
      </c>
      <c r="M109">
        <v>2.2900763358778602</v>
      </c>
      <c r="N109" t="s">
        <v>982</v>
      </c>
      <c r="O109">
        <v>0</v>
      </c>
      <c r="P109">
        <v>0</v>
      </c>
      <c r="Q109">
        <v>0</v>
      </c>
      <c r="R109">
        <v>0</v>
      </c>
    </row>
    <row r="110" spans="1:18" ht="16" x14ac:dyDescent="0.2">
      <c r="A110" s="127" t="s">
        <v>954</v>
      </c>
      <c r="B110" t="s">
        <v>102</v>
      </c>
      <c r="C110" t="s">
        <v>3506</v>
      </c>
      <c r="D110" t="s">
        <v>3507</v>
      </c>
      <c r="E110" t="s">
        <v>1085</v>
      </c>
      <c r="F110">
        <v>5</v>
      </c>
      <c r="G110">
        <v>2</v>
      </c>
      <c r="H110">
        <v>3.8729833462074201</v>
      </c>
      <c r="I110" t="s">
        <v>957</v>
      </c>
      <c r="J110" t="s">
        <v>3508</v>
      </c>
      <c r="K110">
        <v>6.6666666666666693E-2</v>
      </c>
      <c r="L110" t="s">
        <v>1004</v>
      </c>
      <c r="M110">
        <v>0.76335877862595403</v>
      </c>
      <c r="N110" t="s">
        <v>1005</v>
      </c>
      <c r="O110">
        <v>0</v>
      </c>
      <c r="P110">
        <v>0</v>
      </c>
      <c r="Q110">
        <v>0</v>
      </c>
      <c r="R110">
        <v>0</v>
      </c>
    </row>
    <row r="111" spans="1:18" ht="16" x14ac:dyDescent="0.2">
      <c r="A111" s="127" t="s">
        <v>954</v>
      </c>
      <c r="B111" t="s">
        <v>102</v>
      </c>
      <c r="C111" t="s">
        <v>2617</v>
      </c>
      <c r="D111" t="s">
        <v>2618</v>
      </c>
      <c r="E111" t="s">
        <v>1438</v>
      </c>
      <c r="F111">
        <v>8</v>
      </c>
      <c r="G111">
        <v>2</v>
      </c>
      <c r="H111">
        <v>3.8729833462074201</v>
      </c>
      <c r="I111" t="s">
        <v>957</v>
      </c>
      <c r="J111" t="s">
        <v>3656</v>
      </c>
      <c r="K111">
        <v>6.6666666666666693E-2</v>
      </c>
      <c r="L111" t="s">
        <v>1004</v>
      </c>
      <c r="M111">
        <v>2.2900763358778602</v>
      </c>
      <c r="N111" t="s">
        <v>982</v>
      </c>
      <c r="O111">
        <v>0</v>
      </c>
      <c r="P111">
        <v>0</v>
      </c>
      <c r="Q111">
        <v>0</v>
      </c>
      <c r="R111">
        <v>0</v>
      </c>
    </row>
    <row r="112" spans="1:18" ht="16" x14ac:dyDescent="0.2">
      <c r="A112" s="127" t="s">
        <v>954</v>
      </c>
      <c r="B112" t="s">
        <v>102</v>
      </c>
      <c r="C112" t="s">
        <v>2625</v>
      </c>
      <c r="D112" t="s">
        <v>2626</v>
      </c>
      <c r="E112" t="s">
        <v>2627</v>
      </c>
      <c r="F112">
        <v>10</v>
      </c>
      <c r="G112">
        <v>4</v>
      </c>
      <c r="H112">
        <v>3.8729833462074099</v>
      </c>
      <c r="I112" t="s">
        <v>957</v>
      </c>
      <c r="J112" t="s">
        <v>2628</v>
      </c>
      <c r="K112" t="s">
        <v>1419</v>
      </c>
      <c r="L112" t="s">
        <v>1175</v>
      </c>
      <c r="M112">
        <v>0.76335877862595403</v>
      </c>
      <c r="N112" t="s">
        <v>982</v>
      </c>
      <c r="O112">
        <v>0</v>
      </c>
      <c r="P112">
        <v>0</v>
      </c>
      <c r="Q112">
        <v>0</v>
      </c>
      <c r="R112">
        <v>0</v>
      </c>
    </row>
    <row r="113" spans="1:18" ht="16" x14ac:dyDescent="0.2">
      <c r="A113" s="127" t="s">
        <v>954</v>
      </c>
      <c r="B113" t="s">
        <v>102</v>
      </c>
      <c r="C113" t="s">
        <v>1050</v>
      </c>
      <c r="D113" t="s">
        <v>1051</v>
      </c>
      <c r="E113" t="s">
        <v>1052</v>
      </c>
      <c r="F113">
        <v>2</v>
      </c>
      <c r="G113">
        <v>2</v>
      </c>
      <c r="H113">
        <v>6.2276217904109199</v>
      </c>
      <c r="I113" t="s">
        <v>957</v>
      </c>
      <c r="J113" t="s">
        <v>1053</v>
      </c>
      <c r="K113">
        <v>6.4285714285714293E-2</v>
      </c>
      <c r="L113" t="s">
        <v>959</v>
      </c>
      <c r="M113">
        <v>1.5267175572519101</v>
      </c>
      <c r="N113" t="s">
        <v>960</v>
      </c>
      <c r="O113">
        <v>0</v>
      </c>
      <c r="P113">
        <v>0</v>
      </c>
      <c r="Q113">
        <v>0</v>
      </c>
      <c r="R113">
        <v>0</v>
      </c>
    </row>
    <row r="114" spans="1:18" ht="16" x14ac:dyDescent="0.2">
      <c r="A114" s="127" t="s">
        <v>954</v>
      </c>
      <c r="B114" t="s">
        <v>102</v>
      </c>
      <c r="C114" t="s">
        <v>3679</v>
      </c>
      <c r="D114" t="s">
        <v>3680</v>
      </c>
      <c r="E114" t="s">
        <v>3681</v>
      </c>
      <c r="F114">
        <v>66</v>
      </c>
      <c r="G114">
        <v>6</v>
      </c>
      <c r="H114">
        <v>3.8729833462074201</v>
      </c>
      <c r="I114" t="s">
        <v>957</v>
      </c>
      <c r="J114" t="s">
        <v>3682</v>
      </c>
      <c r="K114" t="s">
        <v>3271</v>
      </c>
      <c r="L114" t="s">
        <v>1175</v>
      </c>
      <c r="M114">
        <v>0.76335877862595403</v>
      </c>
      <c r="N114" t="s">
        <v>982</v>
      </c>
      <c r="O114">
        <v>0</v>
      </c>
      <c r="P114">
        <v>0</v>
      </c>
      <c r="Q114">
        <v>0</v>
      </c>
      <c r="R114">
        <v>0</v>
      </c>
    </row>
    <row r="115" spans="1:18" ht="16" x14ac:dyDescent="0.2">
      <c r="A115" s="127" t="s">
        <v>954</v>
      </c>
      <c r="B115" t="s">
        <v>102</v>
      </c>
      <c r="C115" t="s">
        <v>2262</v>
      </c>
      <c r="D115" t="s">
        <v>2263</v>
      </c>
      <c r="E115" t="s">
        <v>1974</v>
      </c>
      <c r="F115">
        <v>5</v>
      </c>
      <c r="G115">
        <v>2</v>
      </c>
      <c r="H115">
        <v>3.8729833462074201</v>
      </c>
      <c r="I115" t="s">
        <v>957</v>
      </c>
      <c r="J115" t="s">
        <v>2264</v>
      </c>
      <c r="K115">
        <v>6.6666666666666693E-2</v>
      </c>
      <c r="L115" t="s">
        <v>1004</v>
      </c>
      <c r="M115">
        <v>0.76335877862595403</v>
      </c>
      <c r="N115" t="s">
        <v>1005</v>
      </c>
      <c r="O115">
        <v>0</v>
      </c>
      <c r="P115">
        <v>0</v>
      </c>
      <c r="Q115">
        <v>0</v>
      </c>
      <c r="R115">
        <v>0</v>
      </c>
    </row>
    <row r="116" spans="1:18" ht="16" x14ac:dyDescent="0.2">
      <c r="A116" s="127" t="s">
        <v>954</v>
      </c>
      <c r="B116" t="s">
        <v>102</v>
      </c>
      <c r="C116" t="s">
        <v>1588</v>
      </c>
      <c r="D116" t="s">
        <v>1589</v>
      </c>
      <c r="E116" t="s">
        <v>1052</v>
      </c>
      <c r="F116">
        <v>2</v>
      </c>
      <c r="G116">
        <v>2</v>
      </c>
      <c r="H116">
        <v>8.4587011766371791</v>
      </c>
      <c r="I116" t="s">
        <v>957</v>
      </c>
      <c r="J116" t="s">
        <v>3048</v>
      </c>
      <c r="K116">
        <v>3.5714285714285698E-2</v>
      </c>
      <c r="L116" t="s">
        <v>959</v>
      </c>
      <c r="M116">
        <v>1.5267175572519101</v>
      </c>
      <c r="N116" t="s">
        <v>960</v>
      </c>
      <c r="O116">
        <v>0</v>
      </c>
      <c r="P116">
        <v>0</v>
      </c>
      <c r="Q116">
        <v>0</v>
      </c>
      <c r="R116">
        <v>0</v>
      </c>
    </row>
    <row r="117" spans="1:18" ht="16" x14ac:dyDescent="0.2">
      <c r="A117" s="127" t="s">
        <v>954</v>
      </c>
      <c r="B117" t="s">
        <v>102</v>
      </c>
      <c r="C117" t="s">
        <v>2233</v>
      </c>
      <c r="D117" t="s">
        <v>2234</v>
      </c>
      <c r="E117" t="s">
        <v>985</v>
      </c>
      <c r="F117">
        <v>7</v>
      </c>
      <c r="G117">
        <v>2</v>
      </c>
      <c r="H117">
        <v>5.2040709982694002</v>
      </c>
      <c r="I117" t="s">
        <v>957</v>
      </c>
      <c r="J117" t="s">
        <v>3497</v>
      </c>
      <c r="K117">
        <v>0.16428571428571401</v>
      </c>
      <c r="L117" t="s">
        <v>959</v>
      </c>
      <c r="M117">
        <v>1.5267175572519101</v>
      </c>
      <c r="N117" t="s">
        <v>960</v>
      </c>
      <c r="O117">
        <v>0</v>
      </c>
      <c r="P117">
        <v>0</v>
      </c>
      <c r="Q117">
        <v>0</v>
      </c>
      <c r="R117">
        <v>0</v>
      </c>
    </row>
    <row r="118" spans="1:18" ht="16" x14ac:dyDescent="0.2">
      <c r="A118" s="127" t="s">
        <v>954</v>
      </c>
      <c r="B118" t="s">
        <v>102</v>
      </c>
      <c r="C118" t="s">
        <v>3103</v>
      </c>
      <c r="D118" t="s">
        <v>3104</v>
      </c>
      <c r="E118" t="s">
        <v>1059</v>
      </c>
      <c r="F118">
        <v>4</v>
      </c>
      <c r="G118">
        <v>2</v>
      </c>
      <c r="H118">
        <v>11.496926125918501</v>
      </c>
      <c r="I118" t="s">
        <v>957</v>
      </c>
      <c r="J118" t="s">
        <v>3105</v>
      </c>
      <c r="K118">
        <v>1.4285714285714299E-2</v>
      </c>
      <c r="L118" t="s">
        <v>959</v>
      </c>
      <c r="M118">
        <v>0.76335877862595403</v>
      </c>
      <c r="N118" t="s">
        <v>960</v>
      </c>
      <c r="O118">
        <v>0</v>
      </c>
      <c r="P118">
        <v>0</v>
      </c>
      <c r="Q118">
        <v>0</v>
      </c>
      <c r="R118">
        <v>0</v>
      </c>
    </row>
    <row r="119" spans="1:18" ht="16" x14ac:dyDescent="0.2">
      <c r="A119" s="127" t="s">
        <v>954</v>
      </c>
      <c r="B119" t="s">
        <v>102</v>
      </c>
      <c r="C119" t="s">
        <v>1561</v>
      </c>
      <c r="D119" t="s">
        <v>1562</v>
      </c>
      <c r="E119">
        <v>3</v>
      </c>
      <c r="F119">
        <v>3</v>
      </c>
      <c r="G119">
        <v>1</v>
      </c>
      <c r="H119">
        <v>5.5995391515442998</v>
      </c>
      <c r="I119" t="s">
        <v>957</v>
      </c>
      <c r="J119" t="s">
        <v>2065</v>
      </c>
      <c r="K119">
        <v>0.05</v>
      </c>
      <c r="L119" t="s">
        <v>959</v>
      </c>
      <c r="M119">
        <v>3.0534351145038201</v>
      </c>
      <c r="N119" t="s">
        <v>960</v>
      </c>
      <c r="O119">
        <v>0</v>
      </c>
      <c r="P119">
        <v>0</v>
      </c>
      <c r="Q119">
        <v>0</v>
      </c>
      <c r="R119">
        <v>0</v>
      </c>
    </row>
    <row r="120" spans="1:18" ht="16" x14ac:dyDescent="0.2">
      <c r="A120" s="127" t="s">
        <v>954</v>
      </c>
      <c r="B120" t="s">
        <v>102</v>
      </c>
      <c r="C120" t="s">
        <v>2336</v>
      </c>
      <c r="D120" t="s">
        <v>2337</v>
      </c>
      <c r="E120">
        <v>3</v>
      </c>
      <c r="F120">
        <v>3</v>
      </c>
      <c r="G120">
        <v>1</v>
      </c>
      <c r="H120">
        <v>11.8321595661992</v>
      </c>
      <c r="I120" t="s">
        <v>957</v>
      </c>
      <c r="J120" t="s">
        <v>2338</v>
      </c>
      <c r="K120">
        <v>7.14285714285714E-3</v>
      </c>
      <c r="L120" t="s">
        <v>959</v>
      </c>
      <c r="M120">
        <v>0.76335877862595403</v>
      </c>
      <c r="N120" t="s">
        <v>960</v>
      </c>
      <c r="O120">
        <v>0</v>
      </c>
      <c r="P120">
        <v>0</v>
      </c>
      <c r="Q120">
        <v>0</v>
      </c>
      <c r="R120">
        <v>0</v>
      </c>
    </row>
    <row r="121" spans="1:18" ht="16" x14ac:dyDescent="0.2">
      <c r="A121" s="127" t="s">
        <v>954</v>
      </c>
      <c r="B121" t="s">
        <v>106</v>
      </c>
      <c r="C121" t="s">
        <v>1214</v>
      </c>
      <c r="D121" t="s">
        <v>1215</v>
      </c>
      <c r="E121">
        <v>6</v>
      </c>
      <c r="F121">
        <v>6</v>
      </c>
      <c r="G121">
        <v>1</v>
      </c>
      <c r="H121">
        <v>6.5608786482989903</v>
      </c>
      <c r="I121" t="s">
        <v>957</v>
      </c>
      <c r="J121" t="s">
        <v>1217</v>
      </c>
      <c r="K121">
        <v>7.8571428571428598E-2</v>
      </c>
      <c r="L121" t="s">
        <v>959</v>
      </c>
      <c r="M121">
        <v>2.2900763358778602</v>
      </c>
      <c r="N121" t="s">
        <v>960</v>
      </c>
      <c r="O121">
        <v>0</v>
      </c>
      <c r="P121">
        <v>0</v>
      </c>
      <c r="Q121">
        <v>0</v>
      </c>
      <c r="R121">
        <v>0</v>
      </c>
    </row>
    <row r="122" spans="1:18" ht="16" x14ac:dyDescent="0.2">
      <c r="A122" s="127" t="s">
        <v>954</v>
      </c>
      <c r="B122" t="s">
        <v>106</v>
      </c>
      <c r="C122" t="s">
        <v>3201</v>
      </c>
      <c r="D122" t="s">
        <v>3202</v>
      </c>
      <c r="E122">
        <v>3</v>
      </c>
      <c r="F122">
        <v>3</v>
      </c>
      <c r="G122">
        <v>1</v>
      </c>
      <c r="H122">
        <v>6.1351988526564298</v>
      </c>
      <c r="I122" t="s">
        <v>957</v>
      </c>
      <c r="J122" t="s">
        <v>3581</v>
      </c>
      <c r="K122">
        <v>5.7142857142857099E-2</v>
      </c>
      <c r="L122" t="s">
        <v>959</v>
      </c>
      <c r="M122">
        <v>1.5267175572519101</v>
      </c>
      <c r="N122" t="s">
        <v>960</v>
      </c>
      <c r="O122">
        <v>0</v>
      </c>
      <c r="P122">
        <v>0</v>
      </c>
      <c r="Q122">
        <v>0</v>
      </c>
      <c r="R122">
        <v>0</v>
      </c>
    </row>
    <row r="123" spans="1:18" ht="16" x14ac:dyDescent="0.2">
      <c r="A123" s="127" t="s">
        <v>954</v>
      </c>
      <c r="B123" t="s">
        <v>106</v>
      </c>
      <c r="C123" t="s">
        <v>1187</v>
      </c>
      <c r="D123" t="s">
        <v>1188</v>
      </c>
      <c r="E123">
        <v>3</v>
      </c>
      <c r="F123">
        <v>3</v>
      </c>
      <c r="G123">
        <v>1</v>
      </c>
      <c r="H123">
        <v>5.47993693880123</v>
      </c>
      <c r="I123" t="s">
        <v>957</v>
      </c>
      <c r="J123" t="s">
        <v>1344</v>
      </c>
      <c r="K123">
        <v>9.2857142857142902E-2</v>
      </c>
      <c r="L123" t="s">
        <v>959</v>
      </c>
      <c r="M123">
        <v>3.0534351145038201</v>
      </c>
      <c r="N123" t="s">
        <v>960</v>
      </c>
      <c r="O123">
        <v>0</v>
      </c>
      <c r="P123">
        <v>0</v>
      </c>
      <c r="Q123">
        <v>0</v>
      </c>
      <c r="R123">
        <v>0</v>
      </c>
    </row>
    <row r="124" spans="1:18" ht="16" x14ac:dyDescent="0.2">
      <c r="A124" s="127" t="s">
        <v>954</v>
      </c>
      <c r="B124" t="s">
        <v>106</v>
      </c>
      <c r="C124" t="s">
        <v>3600</v>
      </c>
      <c r="D124" t="s">
        <v>3601</v>
      </c>
      <c r="E124">
        <v>5</v>
      </c>
      <c r="F124">
        <v>5</v>
      </c>
      <c r="G124">
        <v>1</v>
      </c>
      <c r="H124">
        <v>4.9767914973652898</v>
      </c>
      <c r="I124" t="s">
        <v>957</v>
      </c>
      <c r="J124" t="s">
        <v>3684</v>
      </c>
      <c r="K124">
        <v>0.114285714285714</v>
      </c>
      <c r="L124" t="s">
        <v>959</v>
      </c>
      <c r="M124">
        <v>1.5267175572519101</v>
      </c>
      <c r="N124" t="s">
        <v>960</v>
      </c>
      <c r="O124">
        <v>0</v>
      </c>
      <c r="P124">
        <v>0</v>
      </c>
      <c r="Q124">
        <v>0</v>
      </c>
      <c r="R124">
        <v>0</v>
      </c>
    </row>
    <row r="125" spans="1:18" ht="16" x14ac:dyDescent="0.2">
      <c r="A125" s="127" t="s">
        <v>954</v>
      </c>
      <c r="B125" t="s">
        <v>106</v>
      </c>
      <c r="C125" t="s">
        <v>964</v>
      </c>
      <c r="D125" t="s">
        <v>965</v>
      </c>
      <c r="E125" t="s">
        <v>966</v>
      </c>
      <c r="F125">
        <v>3</v>
      </c>
      <c r="G125">
        <v>3</v>
      </c>
      <c r="H125">
        <v>6.3423565688630799</v>
      </c>
      <c r="I125" t="s">
        <v>957</v>
      </c>
      <c r="J125" t="s">
        <v>967</v>
      </c>
      <c r="K125">
        <v>0.05</v>
      </c>
      <c r="L125" t="s">
        <v>959</v>
      </c>
      <c r="M125">
        <v>1.5267175572519101</v>
      </c>
      <c r="N125" t="s">
        <v>960</v>
      </c>
      <c r="O125">
        <v>0</v>
      </c>
      <c r="P125">
        <v>0</v>
      </c>
      <c r="Q125">
        <v>0</v>
      </c>
      <c r="R125">
        <v>0</v>
      </c>
    </row>
    <row r="126" spans="1:18" ht="16" x14ac:dyDescent="0.2">
      <c r="A126" s="127" t="s">
        <v>954</v>
      </c>
      <c r="B126" t="s">
        <v>106</v>
      </c>
      <c r="C126" t="s">
        <v>2552</v>
      </c>
      <c r="D126" t="s">
        <v>2553</v>
      </c>
      <c r="E126">
        <v>7</v>
      </c>
      <c r="F126">
        <v>7</v>
      </c>
      <c r="G126">
        <v>1</v>
      </c>
      <c r="H126">
        <v>9.7534626842560801</v>
      </c>
      <c r="I126" t="s">
        <v>957</v>
      </c>
      <c r="J126" t="s">
        <v>2554</v>
      </c>
      <c r="K126">
        <v>0.05</v>
      </c>
      <c r="L126" t="s">
        <v>959</v>
      </c>
      <c r="M126">
        <v>0.76335877862595403</v>
      </c>
      <c r="N126" t="s">
        <v>960</v>
      </c>
      <c r="O126">
        <v>0</v>
      </c>
      <c r="P126">
        <v>0</v>
      </c>
      <c r="Q126">
        <v>0</v>
      </c>
      <c r="R126">
        <v>0</v>
      </c>
    </row>
    <row r="127" spans="1:18" ht="16" x14ac:dyDescent="0.2">
      <c r="A127" s="127" t="s">
        <v>954</v>
      </c>
      <c r="B127" t="s">
        <v>106</v>
      </c>
      <c r="C127" t="s">
        <v>3543</v>
      </c>
      <c r="D127" t="s">
        <v>3544</v>
      </c>
      <c r="E127" t="s">
        <v>1085</v>
      </c>
      <c r="F127">
        <v>5</v>
      </c>
      <c r="G127">
        <v>2</v>
      </c>
      <c r="H127">
        <v>11.6175821091428</v>
      </c>
      <c r="I127" t="s">
        <v>957</v>
      </c>
      <c r="J127" t="s">
        <v>3545</v>
      </c>
      <c r="K127">
        <v>1.4285714285714299E-2</v>
      </c>
      <c r="L127" t="s">
        <v>959</v>
      </c>
      <c r="M127">
        <v>0.76335877862595403</v>
      </c>
      <c r="N127" t="s">
        <v>960</v>
      </c>
      <c r="O127">
        <v>0</v>
      </c>
      <c r="P127">
        <v>0</v>
      </c>
      <c r="Q127">
        <v>0</v>
      </c>
      <c r="R127">
        <v>0</v>
      </c>
    </row>
    <row r="128" spans="1:18" ht="16" x14ac:dyDescent="0.2">
      <c r="A128" s="127" t="s">
        <v>954</v>
      </c>
      <c r="B128" t="s">
        <v>110</v>
      </c>
      <c r="C128" t="s">
        <v>1521</v>
      </c>
      <c r="D128" t="s">
        <v>1522</v>
      </c>
      <c r="E128">
        <v>5</v>
      </c>
      <c r="F128">
        <v>5</v>
      </c>
      <c r="G128">
        <v>1</v>
      </c>
      <c r="H128">
        <v>7.4994493550726604</v>
      </c>
      <c r="I128" t="s">
        <v>957</v>
      </c>
      <c r="J128" t="s">
        <v>1523</v>
      </c>
      <c r="K128">
        <v>6.4285714285714293E-2</v>
      </c>
      <c r="L128" t="s">
        <v>959</v>
      </c>
      <c r="M128">
        <v>1.5267175572519101</v>
      </c>
      <c r="N128" t="s">
        <v>960</v>
      </c>
      <c r="O128">
        <v>0</v>
      </c>
      <c r="P128">
        <v>0</v>
      </c>
      <c r="Q128">
        <v>0</v>
      </c>
      <c r="R128">
        <v>0</v>
      </c>
    </row>
    <row r="129" spans="1:18" ht="16" x14ac:dyDescent="0.2">
      <c r="A129" s="127" t="s">
        <v>954</v>
      </c>
      <c r="B129" t="s">
        <v>110</v>
      </c>
      <c r="C129" t="s">
        <v>2617</v>
      </c>
      <c r="D129" t="s">
        <v>2618</v>
      </c>
      <c r="E129" t="s">
        <v>2619</v>
      </c>
      <c r="F129">
        <v>8</v>
      </c>
      <c r="G129">
        <v>3</v>
      </c>
      <c r="H129">
        <v>9.7124295798506708</v>
      </c>
      <c r="I129" t="s">
        <v>957</v>
      </c>
      <c r="J129" t="s">
        <v>2620</v>
      </c>
      <c r="K129">
        <v>0.05</v>
      </c>
      <c r="L129" t="s">
        <v>959</v>
      </c>
      <c r="M129">
        <v>2.2900763358778602</v>
      </c>
      <c r="N129" t="s">
        <v>960</v>
      </c>
      <c r="O129">
        <v>0</v>
      </c>
      <c r="P129">
        <v>0</v>
      </c>
      <c r="Q129">
        <v>0</v>
      </c>
      <c r="R129">
        <v>0</v>
      </c>
    </row>
    <row r="130" spans="1:18" ht="16" x14ac:dyDescent="0.2">
      <c r="A130" s="127" t="s">
        <v>954</v>
      </c>
      <c r="B130" t="s">
        <v>110</v>
      </c>
      <c r="C130" t="s">
        <v>1260</v>
      </c>
      <c r="D130" t="s">
        <v>1261</v>
      </c>
      <c r="E130" t="s">
        <v>1230</v>
      </c>
      <c r="F130">
        <v>4</v>
      </c>
      <c r="G130">
        <v>2</v>
      </c>
      <c r="H130">
        <v>11.8321595661992</v>
      </c>
      <c r="I130" t="s">
        <v>957</v>
      </c>
      <c r="J130" t="s">
        <v>1262</v>
      </c>
      <c r="K130">
        <v>7.14285714285714E-3</v>
      </c>
      <c r="L130" t="s">
        <v>959</v>
      </c>
      <c r="M130">
        <v>0.76335877862595403</v>
      </c>
      <c r="N130" t="s">
        <v>960</v>
      </c>
      <c r="O130">
        <v>0</v>
      </c>
      <c r="P130">
        <v>0</v>
      </c>
      <c r="Q130">
        <v>0</v>
      </c>
      <c r="R130">
        <v>0</v>
      </c>
    </row>
    <row r="131" spans="1:18" ht="16" x14ac:dyDescent="0.2">
      <c r="A131" s="127" t="s">
        <v>954</v>
      </c>
      <c r="B131" t="s">
        <v>110</v>
      </c>
      <c r="C131" t="s">
        <v>1989</v>
      </c>
      <c r="D131" t="s">
        <v>1990</v>
      </c>
      <c r="E131">
        <v>3</v>
      </c>
      <c r="F131">
        <v>3</v>
      </c>
      <c r="G131">
        <v>1</v>
      </c>
      <c r="H131">
        <v>8.6435538140074701</v>
      </c>
      <c r="I131" t="s">
        <v>957</v>
      </c>
      <c r="J131" t="s">
        <v>1991</v>
      </c>
      <c r="K131">
        <v>2.1428571428571401E-2</v>
      </c>
      <c r="L131" t="s">
        <v>959</v>
      </c>
      <c r="M131">
        <v>0.76335877862595403</v>
      </c>
      <c r="N131" t="s">
        <v>960</v>
      </c>
      <c r="O131">
        <v>0</v>
      </c>
      <c r="P131">
        <v>0</v>
      </c>
      <c r="Q131">
        <v>0</v>
      </c>
      <c r="R131">
        <v>0</v>
      </c>
    </row>
    <row r="132" spans="1:18" ht="16" x14ac:dyDescent="0.2">
      <c r="A132" s="127" t="s">
        <v>954</v>
      </c>
      <c r="B132" t="s">
        <v>110</v>
      </c>
      <c r="C132" t="s">
        <v>1057</v>
      </c>
      <c r="D132" t="s">
        <v>1058</v>
      </c>
      <c r="E132" t="s">
        <v>1230</v>
      </c>
      <c r="F132">
        <v>4</v>
      </c>
      <c r="G132">
        <v>2</v>
      </c>
      <c r="H132">
        <v>4.5405902171579902</v>
      </c>
      <c r="I132" t="s">
        <v>957</v>
      </c>
      <c r="J132" t="s">
        <v>2406</v>
      </c>
      <c r="K132">
        <v>0.1</v>
      </c>
      <c r="L132" t="s">
        <v>959</v>
      </c>
      <c r="M132">
        <v>2.2900763358778602</v>
      </c>
      <c r="N132" t="s">
        <v>960</v>
      </c>
      <c r="O132">
        <v>0</v>
      </c>
      <c r="P132">
        <v>0</v>
      </c>
      <c r="Q132">
        <v>0</v>
      </c>
      <c r="R132">
        <v>0</v>
      </c>
    </row>
    <row r="133" spans="1:18" ht="16" x14ac:dyDescent="0.2">
      <c r="A133" s="127" t="s">
        <v>954</v>
      </c>
      <c r="B133" t="s">
        <v>110</v>
      </c>
      <c r="C133" t="s">
        <v>1383</v>
      </c>
      <c r="D133" t="s">
        <v>1384</v>
      </c>
      <c r="E133">
        <v>5</v>
      </c>
      <c r="F133">
        <v>5</v>
      </c>
      <c r="G133">
        <v>1</v>
      </c>
      <c r="H133">
        <v>6.6887050722709303</v>
      </c>
      <c r="I133" t="s">
        <v>957</v>
      </c>
      <c r="J133" t="s">
        <v>1385</v>
      </c>
      <c r="K133">
        <v>0.1</v>
      </c>
      <c r="L133" t="s">
        <v>959</v>
      </c>
      <c r="M133">
        <v>2.2900763358778602</v>
      </c>
      <c r="N133" t="s">
        <v>960</v>
      </c>
      <c r="O133">
        <v>0</v>
      </c>
      <c r="P133">
        <v>0</v>
      </c>
      <c r="Q133">
        <v>0</v>
      </c>
      <c r="R133">
        <v>0</v>
      </c>
    </row>
    <row r="134" spans="1:18" ht="16" x14ac:dyDescent="0.2">
      <c r="A134" s="127" t="s">
        <v>954</v>
      </c>
      <c r="B134" t="s">
        <v>110</v>
      </c>
      <c r="C134" t="s">
        <v>2213</v>
      </c>
      <c r="D134" t="s">
        <v>2214</v>
      </c>
      <c r="E134">
        <v>6</v>
      </c>
      <c r="F134">
        <v>6</v>
      </c>
      <c r="G134">
        <v>1</v>
      </c>
      <c r="H134">
        <v>9.2207199448078807</v>
      </c>
      <c r="I134" t="s">
        <v>957</v>
      </c>
      <c r="J134" t="s">
        <v>2215</v>
      </c>
      <c r="K134">
        <v>7.1428571428571397E-2</v>
      </c>
      <c r="L134" t="s">
        <v>959</v>
      </c>
      <c r="M134">
        <v>0.76335877862595403</v>
      </c>
      <c r="N134" t="s">
        <v>960</v>
      </c>
      <c r="O134">
        <v>0</v>
      </c>
      <c r="P134">
        <v>0</v>
      </c>
      <c r="Q134">
        <v>0</v>
      </c>
      <c r="R134">
        <v>0</v>
      </c>
    </row>
    <row r="135" spans="1:18" ht="16" x14ac:dyDescent="0.2">
      <c r="A135" s="127" t="s">
        <v>954</v>
      </c>
      <c r="B135" t="s">
        <v>110</v>
      </c>
      <c r="C135" t="s">
        <v>1286</v>
      </c>
      <c r="D135" t="s">
        <v>1287</v>
      </c>
      <c r="E135">
        <v>4</v>
      </c>
      <c r="F135">
        <v>4</v>
      </c>
      <c r="G135">
        <v>1</v>
      </c>
      <c r="H135">
        <v>5.2711633240194802</v>
      </c>
      <c r="I135" t="s">
        <v>957</v>
      </c>
      <c r="J135" t="s">
        <v>1288</v>
      </c>
      <c r="K135">
        <v>8.5714285714285701E-2</v>
      </c>
      <c r="L135" t="s">
        <v>959</v>
      </c>
      <c r="M135">
        <v>1.5267175572519101</v>
      </c>
      <c r="N135" t="s">
        <v>960</v>
      </c>
      <c r="O135">
        <v>0</v>
      </c>
      <c r="P135">
        <v>0</v>
      </c>
      <c r="Q135">
        <v>0</v>
      </c>
      <c r="R135">
        <v>0</v>
      </c>
    </row>
    <row r="136" spans="1:18" ht="16" x14ac:dyDescent="0.2">
      <c r="A136" s="127" t="s">
        <v>954</v>
      </c>
      <c r="B136" t="s">
        <v>110</v>
      </c>
      <c r="C136" t="s">
        <v>1822</v>
      </c>
      <c r="D136" t="s">
        <v>1823</v>
      </c>
      <c r="E136">
        <v>3</v>
      </c>
      <c r="F136">
        <v>3</v>
      </c>
      <c r="G136">
        <v>1</v>
      </c>
      <c r="H136">
        <v>4.7376829570462897</v>
      </c>
      <c r="I136" t="s">
        <v>957</v>
      </c>
      <c r="J136" t="s">
        <v>1824</v>
      </c>
      <c r="K136">
        <v>0.107142857142857</v>
      </c>
      <c r="L136" t="s">
        <v>959</v>
      </c>
      <c r="M136">
        <v>2.2900763358778602</v>
      </c>
      <c r="N136" t="s">
        <v>960</v>
      </c>
      <c r="O136">
        <v>0</v>
      </c>
      <c r="P136">
        <v>0</v>
      </c>
      <c r="Q136">
        <v>0</v>
      </c>
      <c r="R136">
        <v>0</v>
      </c>
    </row>
    <row r="137" spans="1:18" ht="16" x14ac:dyDescent="0.2">
      <c r="A137" s="127" t="s">
        <v>954</v>
      </c>
      <c r="B137" t="s">
        <v>110</v>
      </c>
      <c r="C137" t="s">
        <v>3000</v>
      </c>
      <c r="D137" t="s">
        <v>3001</v>
      </c>
      <c r="E137">
        <v>4</v>
      </c>
      <c r="F137">
        <v>4</v>
      </c>
      <c r="G137">
        <v>1</v>
      </c>
      <c r="H137">
        <v>6.0161612911051199</v>
      </c>
      <c r="I137" t="s">
        <v>957</v>
      </c>
      <c r="J137" t="s">
        <v>3002</v>
      </c>
      <c r="K137">
        <v>9.2857142857142902E-2</v>
      </c>
      <c r="L137" t="s">
        <v>959</v>
      </c>
      <c r="M137">
        <v>1.5267175572519101</v>
      </c>
      <c r="N137" t="s">
        <v>960</v>
      </c>
      <c r="O137">
        <v>0</v>
      </c>
      <c r="P137">
        <v>0</v>
      </c>
      <c r="Q137">
        <v>0</v>
      </c>
      <c r="R137">
        <v>0</v>
      </c>
    </row>
    <row r="138" spans="1:18" ht="16" x14ac:dyDescent="0.2">
      <c r="A138" s="127" t="s">
        <v>954</v>
      </c>
      <c r="B138" t="s">
        <v>110</v>
      </c>
      <c r="C138" t="s">
        <v>2449</v>
      </c>
      <c r="D138" t="s">
        <v>2450</v>
      </c>
      <c r="E138">
        <v>5</v>
      </c>
      <c r="F138">
        <v>5</v>
      </c>
      <c r="G138">
        <v>1</v>
      </c>
      <c r="H138">
        <v>7.6277007139647397</v>
      </c>
      <c r="I138" t="s">
        <v>957</v>
      </c>
      <c r="J138" t="s">
        <v>2451</v>
      </c>
      <c r="K138">
        <v>0.114285714285714</v>
      </c>
      <c r="L138" t="s">
        <v>959</v>
      </c>
      <c r="M138">
        <v>0.76335877862595403</v>
      </c>
      <c r="N138" t="s">
        <v>960</v>
      </c>
      <c r="O138">
        <v>0</v>
      </c>
      <c r="P138">
        <v>0</v>
      </c>
      <c r="Q138">
        <v>0</v>
      </c>
      <c r="R138">
        <v>0</v>
      </c>
    </row>
    <row r="139" spans="1:18" ht="16" x14ac:dyDescent="0.2">
      <c r="A139" s="127" t="s">
        <v>954</v>
      </c>
      <c r="B139" t="s">
        <v>110</v>
      </c>
      <c r="C139" t="s">
        <v>2724</v>
      </c>
      <c r="D139" t="s">
        <v>2725</v>
      </c>
      <c r="E139">
        <v>4</v>
      </c>
      <c r="F139">
        <v>4</v>
      </c>
      <c r="G139">
        <v>1</v>
      </c>
      <c r="H139">
        <v>5.72893293308538</v>
      </c>
      <c r="I139" t="s">
        <v>957</v>
      </c>
      <c r="J139" t="s">
        <v>2726</v>
      </c>
      <c r="K139">
        <v>0.128571428571429</v>
      </c>
      <c r="L139" t="s">
        <v>959</v>
      </c>
      <c r="M139">
        <v>0.76335877862595403</v>
      </c>
      <c r="N139" t="s">
        <v>960</v>
      </c>
      <c r="O139">
        <v>0</v>
      </c>
      <c r="P139">
        <v>0</v>
      </c>
      <c r="Q139">
        <v>0</v>
      </c>
      <c r="R139">
        <v>0</v>
      </c>
    </row>
    <row r="140" spans="1:18" ht="16" x14ac:dyDescent="0.2">
      <c r="A140" s="127" t="s">
        <v>954</v>
      </c>
      <c r="B140" t="s">
        <v>110</v>
      </c>
      <c r="C140" t="s">
        <v>2183</v>
      </c>
      <c r="D140" t="s">
        <v>2184</v>
      </c>
      <c r="E140" t="s">
        <v>1022</v>
      </c>
      <c r="F140">
        <v>3</v>
      </c>
      <c r="G140">
        <v>2</v>
      </c>
      <c r="H140">
        <v>7.2269742154062904</v>
      </c>
      <c r="I140" t="s">
        <v>957</v>
      </c>
      <c r="J140" t="s">
        <v>2185</v>
      </c>
      <c r="K140">
        <v>7.1428571428571397E-2</v>
      </c>
      <c r="L140" t="s">
        <v>959</v>
      </c>
      <c r="M140">
        <v>1.5267175572519101</v>
      </c>
      <c r="N140" t="s">
        <v>960</v>
      </c>
      <c r="O140">
        <v>0</v>
      </c>
      <c r="P140">
        <v>0</v>
      </c>
      <c r="Q140">
        <v>0</v>
      </c>
      <c r="R140">
        <v>0</v>
      </c>
    </row>
    <row r="141" spans="1:18" ht="16" x14ac:dyDescent="0.2">
      <c r="A141" s="127" t="s">
        <v>954</v>
      </c>
      <c r="B141" t="s">
        <v>110</v>
      </c>
      <c r="C141" t="s">
        <v>1028</v>
      </c>
      <c r="D141" t="s">
        <v>1029</v>
      </c>
      <c r="E141">
        <v>3</v>
      </c>
      <c r="F141">
        <v>3</v>
      </c>
      <c r="G141">
        <v>1</v>
      </c>
      <c r="H141">
        <v>4.86693324499665</v>
      </c>
      <c r="I141" t="s">
        <v>957</v>
      </c>
      <c r="J141" t="s">
        <v>1535</v>
      </c>
      <c r="K141">
        <v>0.05</v>
      </c>
      <c r="L141" t="s">
        <v>959</v>
      </c>
      <c r="M141">
        <v>2.2900763358778602</v>
      </c>
      <c r="N141" t="s">
        <v>960</v>
      </c>
      <c r="O141">
        <v>0</v>
      </c>
      <c r="P141">
        <v>0</v>
      </c>
      <c r="Q141">
        <v>0</v>
      </c>
      <c r="R141">
        <v>0</v>
      </c>
    </row>
    <row r="142" spans="1:18" ht="16" x14ac:dyDescent="0.2">
      <c r="A142" s="127" t="s">
        <v>954</v>
      </c>
      <c r="B142" t="s">
        <v>110</v>
      </c>
      <c r="C142" t="s">
        <v>1544</v>
      </c>
      <c r="D142" t="s">
        <v>1545</v>
      </c>
      <c r="E142">
        <v>3</v>
      </c>
      <c r="F142">
        <v>3</v>
      </c>
      <c r="G142">
        <v>1</v>
      </c>
      <c r="H142">
        <v>7.7101605553796002</v>
      </c>
      <c r="I142" t="s">
        <v>957</v>
      </c>
      <c r="J142" t="s">
        <v>1546</v>
      </c>
      <c r="K142">
        <v>5.7142857142857099E-2</v>
      </c>
      <c r="L142" t="s">
        <v>959</v>
      </c>
      <c r="M142">
        <v>0.76335877862595403</v>
      </c>
      <c r="N142" t="s">
        <v>960</v>
      </c>
      <c r="O142">
        <v>0</v>
      </c>
      <c r="P142">
        <v>0</v>
      </c>
      <c r="Q142">
        <v>0</v>
      </c>
      <c r="R142">
        <v>0</v>
      </c>
    </row>
    <row r="143" spans="1:18" ht="16" x14ac:dyDescent="0.2">
      <c r="A143" s="127" t="s">
        <v>954</v>
      </c>
      <c r="B143" t="s">
        <v>114</v>
      </c>
      <c r="C143" t="s">
        <v>2520</v>
      </c>
      <c r="D143" t="s">
        <v>2521</v>
      </c>
      <c r="E143">
        <v>3</v>
      </c>
      <c r="F143">
        <v>3</v>
      </c>
      <c r="G143">
        <v>1</v>
      </c>
      <c r="H143">
        <v>4.1231056256176597</v>
      </c>
      <c r="I143" t="s">
        <v>957</v>
      </c>
      <c r="J143" t="s">
        <v>2522</v>
      </c>
      <c r="K143">
        <v>5.8823529411764698E-2</v>
      </c>
      <c r="L143" t="s">
        <v>1099</v>
      </c>
      <c r="M143">
        <v>2.2900763358778602</v>
      </c>
      <c r="N143" t="s">
        <v>973</v>
      </c>
      <c r="O143" t="s">
        <v>5018</v>
      </c>
      <c r="P143">
        <v>0</v>
      </c>
      <c r="Q143">
        <v>0</v>
      </c>
      <c r="R143">
        <v>0</v>
      </c>
    </row>
    <row r="144" spans="1:18" ht="16" x14ac:dyDescent="0.2">
      <c r="A144" s="127" t="s">
        <v>954</v>
      </c>
      <c r="B144" t="s">
        <v>114</v>
      </c>
      <c r="C144" t="s">
        <v>2242</v>
      </c>
      <c r="D144" t="s">
        <v>2243</v>
      </c>
      <c r="E144">
        <v>3</v>
      </c>
      <c r="F144">
        <v>3</v>
      </c>
      <c r="G144">
        <v>1</v>
      </c>
      <c r="H144">
        <v>4.1231056256176597</v>
      </c>
      <c r="I144" t="s">
        <v>957</v>
      </c>
      <c r="J144" t="s">
        <v>3496</v>
      </c>
      <c r="K144">
        <v>5.8823529411764698E-2</v>
      </c>
      <c r="L144" t="s">
        <v>1099</v>
      </c>
      <c r="M144">
        <v>2.2900763358778602</v>
      </c>
      <c r="N144" t="s">
        <v>973</v>
      </c>
      <c r="O144" t="s">
        <v>5018</v>
      </c>
      <c r="P144">
        <v>0</v>
      </c>
      <c r="Q144">
        <v>0</v>
      </c>
      <c r="R144">
        <v>0</v>
      </c>
    </row>
    <row r="145" spans="1:18" ht="16" x14ac:dyDescent="0.2">
      <c r="A145" s="127" t="s">
        <v>954</v>
      </c>
      <c r="B145" t="s">
        <v>114</v>
      </c>
      <c r="C145" t="s">
        <v>2322</v>
      </c>
      <c r="D145" t="s">
        <v>2323</v>
      </c>
      <c r="E145" t="s">
        <v>1692</v>
      </c>
      <c r="F145">
        <v>5</v>
      </c>
      <c r="G145">
        <v>2</v>
      </c>
      <c r="H145">
        <v>6.1178157035778504</v>
      </c>
      <c r="I145" t="s">
        <v>957</v>
      </c>
      <c r="J145" t="s">
        <v>2324</v>
      </c>
      <c r="K145">
        <v>0.192857142857143</v>
      </c>
      <c r="L145" t="s">
        <v>959</v>
      </c>
      <c r="M145">
        <v>1.5267175572519101</v>
      </c>
      <c r="N145" t="s">
        <v>987</v>
      </c>
      <c r="O145" t="s">
        <v>5018</v>
      </c>
      <c r="P145">
        <v>0</v>
      </c>
      <c r="Q145">
        <v>0</v>
      </c>
      <c r="R145">
        <v>0</v>
      </c>
    </row>
    <row r="146" spans="1:18" ht="16" x14ac:dyDescent="0.2">
      <c r="A146" s="127" t="s">
        <v>954</v>
      </c>
      <c r="B146" t="s">
        <v>114</v>
      </c>
      <c r="C146" t="s">
        <v>1483</v>
      </c>
      <c r="D146" t="s">
        <v>1484</v>
      </c>
      <c r="E146">
        <v>4</v>
      </c>
      <c r="F146">
        <v>4</v>
      </c>
      <c r="G146">
        <v>1</v>
      </c>
      <c r="H146">
        <v>4.1231056256176597</v>
      </c>
      <c r="I146" t="s">
        <v>957</v>
      </c>
      <c r="J146" t="s">
        <v>2445</v>
      </c>
      <c r="K146">
        <v>5.8823529411764698E-2</v>
      </c>
      <c r="L146" t="s">
        <v>1099</v>
      </c>
      <c r="M146">
        <v>3.0534351145038201</v>
      </c>
      <c r="N146" t="s">
        <v>973</v>
      </c>
      <c r="O146" t="s">
        <v>5018</v>
      </c>
      <c r="P146">
        <v>0</v>
      </c>
      <c r="Q146">
        <v>0</v>
      </c>
      <c r="R146">
        <v>0</v>
      </c>
    </row>
    <row r="147" spans="1:18" ht="16" x14ac:dyDescent="0.2">
      <c r="A147" s="127" t="s">
        <v>954</v>
      </c>
      <c r="B147" t="s">
        <v>114</v>
      </c>
      <c r="C147" t="s">
        <v>3066</v>
      </c>
      <c r="D147" t="s">
        <v>3067</v>
      </c>
      <c r="E147">
        <v>4</v>
      </c>
      <c r="F147">
        <v>4</v>
      </c>
      <c r="G147">
        <v>1</v>
      </c>
      <c r="H147">
        <v>4.1231056256176499</v>
      </c>
      <c r="I147" t="s">
        <v>957</v>
      </c>
      <c r="J147" t="s">
        <v>3068</v>
      </c>
      <c r="K147">
        <v>5.8823529411764698E-2</v>
      </c>
      <c r="L147" t="s">
        <v>1099</v>
      </c>
      <c r="M147">
        <v>1.5267175572519101</v>
      </c>
      <c r="N147" t="s">
        <v>973</v>
      </c>
      <c r="O147" t="s">
        <v>5018</v>
      </c>
      <c r="P147">
        <v>0</v>
      </c>
      <c r="Q147">
        <v>0</v>
      </c>
      <c r="R147">
        <v>0</v>
      </c>
    </row>
    <row r="148" spans="1:18" ht="16" x14ac:dyDescent="0.2">
      <c r="A148" s="127" t="s">
        <v>954</v>
      </c>
      <c r="B148" t="s">
        <v>114</v>
      </c>
      <c r="C148" t="s">
        <v>1187</v>
      </c>
      <c r="D148" t="s">
        <v>1188</v>
      </c>
      <c r="E148">
        <v>3</v>
      </c>
      <c r="F148">
        <v>3</v>
      </c>
      <c r="G148">
        <v>1</v>
      </c>
      <c r="H148">
        <v>4.1231056256176597</v>
      </c>
      <c r="I148" t="s">
        <v>957</v>
      </c>
      <c r="J148" t="s">
        <v>3566</v>
      </c>
      <c r="K148">
        <v>5.8823529411764698E-2</v>
      </c>
      <c r="L148" t="s">
        <v>1099</v>
      </c>
      <c r="M148">
        <v>3.0534351145038201</v>
      </c>
      <c r="N148" t="s">
        <v>973</v>
      </c>
      <c r="O148" t="s">
        <v>5018</v>
      </c>
      <c r="P148">
        <v>0</v>
      </c>
      <c r="Q148">
        <v>0</v>
      </c>
      <c r="R148">
        <v>0</v>
      </c>
    </row>
    <row r="149" spans="1:18" ht="16" x14ac:dyDescent="0.2">
      <c r="A149" s="127" t="s">
        <v>954</v>
      </c>
      <c r="B149" t="s">
        <v>114</v>
      </c>
      <c r="C149" t="s">
        <v>2937</v>
      </c>
      <c r="D149" t="s">
        <v>2938</v>
      </c>
      <c r="E149">
        <v>3</v>
      </c>
      <c r="F149">
        <v>3</v>
      </c>
      <c r="G149">
        <v>1</v>
      </c>
      <c r="H149">
        <v>4.1231056256176597</v>
      </c>
      <c r="I149" t="s">
        <v>957</v>
      </c>
      <c r="J149" t="s">
        <v>3436</v>
      </c>
      <c r="K149">
        <v>5.8823529411764698E-2</v>
      </c>
      <c r="L149" t="s">
        <v>1099</v>
      </c>
      <c r="M149">
        <v>2.2900763358778602</v>
      </c>
      <c r="N149" t="s">
        <v>973</v>
      </c>
      <c r="O149" t="s">
        <v>5018</v>
      </c>
      <c r="P149">
        <v>0</v>
      </c>
      <c r="Q149">
        <v>0</v>
      </c>
      <c r="R149">
        <v>0</v>
      </c>
    </row>
    <row r="150" spans="1:18" ht="16" x14ac:dyDescent="0.2">
      <c r="A150" s="127" t="s">
        <v>954</v>
      </c>
      <c r="B150" t="s">
        <v>114</v>
      </c>
      <c r="C150" t="s">
        <v>1932</v>
      </c>
      <c r="D150" t="s">
        <v>1933</v>
      </c>
      <c r="E150">
        <v>3</v>
      </c>
      <c r="F150">
        <v>3</v>
      </c>
      <c r="G150">
        <v>1</v>
      </c>
      <c r="H150">
        <v>4.1231056256176499</v>
      </c>
      <c r="I150" t="s">
        <v>957</v>
      </c>
      <c r="J150" t="s">
        <v>1934</v>
      </c>
      <c r="K150">
        <v>5.8823529411764698E-2</v>
      </c>
      <c r="L150" t="s">
        <v>1099</v>
      </c>
      <c r="M150">
        <v>1.5267175572519101</v>
      </c>
      <c r="N150" t="s">
        <v>973</v>
      </c>
      <c r="O150" t="s">
        <v>5018</v>
      </c>
      <c r="P150">
        <v>0</v>
      </c>
      <c r="Q150">
        <v>0</v>
      </c>
      <c r="R150">
        <v>0</v>
      </c>
    </row>
    <row r="151" spans="1:18" ht="16" x14ac:dyDescent="0.2">
      <c r="A151" s="127" t="s">
        <v>954</v>
      </c>
      <c r="B151" t="s">
        <v>114</v>
      </c>
      <c r="C151" t="s">
        <v>1232</v>
      </c>
      <c r="D151" t="s">
        <v>1233</v>
      </c>
      <c r="E151">
        <v>3</v>
      </c>
      <c r="F151">
        <v>3</v>
      </c>
      <c r="G151">
        <v>1</v>
      </c>
      <c r="H151">
        <v>4.1231056256176597</v>
      </c>
      <c r="I151" t="s">
        <v>957</v>
      </c>
      <c r="J151" t="s">
        <v>1234</v>
      </c>
      <c r="K151">
        <v>5.8823529411764698E-2</v>
      </c>
      <c r="L151" t="s">
        <v>1099</v>
      </c>
      <c r="M151">
        <v>0.76335877862595403</v>
      </c>
      <c r="N151" t="s">
        <v>973</v>
      </c>
      <c r="O151" t="s">
        <v>5018</v>
      </c>
      <c r="P151">
        <v>0</v>
      </c>
      <c r="Q151">
        <v>0</v>
      </c>
      <c r="R151">
        <v>0</v>
      </c>
    </row>
    <row r="152" spans="1:18" ht="16" x14ac:dyDescent="0.2">
      <c r="A152" s="127" t="s">
        <v>954</v>
      </c>
      <c r="B152" t="s">
        <v>114</v>
      </c>
      <c r="C152" t="s">
        <v>1995</v>
      </c>
      <c r="D152" t="s">
        <v>1996</v>
      </c>
      <c r="E152">
        <v>3</v>
      </c>
      <c r="F152">
        <v>3</v>
      </c>
      <c r="G152">
        <v>1</v>
      </c>
      <c r="H152">
        <v>4.1231056256176597</v>
      </c>
      <c r="I152" t="s">
        <v>957</v>
      </c>
      <c r="J152" t="s">
        <v>3736</v>
      </c>
      <c r="K152">
        <v>5.8823529411764698E-2</v>
      </c>
      <c r="L152" t="s">
        <v>1099</v>
      </c>
      <c r="M152">
        <v>2.2900763358778602</v>
      </c>
      <c r="N152" t="s">
        <v>973</v>
      </c>
      <c r="O152" t="s">
        <v>5018</v>
      </c>
      <c r="P152">
        <v>0</v>
      </c>
      <c r="Q152">
        <v>0</v>
      </c>
      <c r="R152">
        <v>0</v>
      </c>
    </row>
    <row r="153" spans="1:18" ht="16" x14ac:dyDescent="0.2">
      <c r="A153" s="127" t="s">
        <v>954</v>
      </c>
      <c r="B153" t="s">
        <v>114</v>
      </c>
      <c r="C153" t="s">
        <v>2424</v>
      </c>
      <c r="D153" t="s">
        <v>2425</v>
      </c>
      <c r="E153">
        <v>5</v>
      </c>
      <c r="F153">
        <v>5</v>
      </c>
      <c r="G153">
        <v>1</v>
      </c>
      <c r="H153">
        <v>4.10045102764769</v>
      </c>
      <c r="I153" t="s">
        <v>957</v>
      </c>
      <c r="J153" t="s">
        <v>2426</v>
      </c>
      <c r="K153">
        <v>0.11764705882352899</v>
      </c>
      <c r="L153" t="s">
        <v>1099</v>
      </c>
      <c r="M153">
        <v>0.76335877862595403</v>
      </c>
      <c r="N153" t="s">
        <v>973</v>
      </c>
      <c r="O153" t="s">
        <v>5018</v>
      </c>
      <c r="P153">
        <v>0</v>
      </c>
      <c r="Q153">
        <v>0</v>
      </c>
      <c r="R153">
        <v>0</v>
      </c>
    </row>
    <row r="154" spans="1:18" ht="16" x14ac:dyDescent="0.2">
      <c r="A154" s="127" t="s">
        <v>954</v>
      </c>
      <c r="B154" t="s">
        <v>114</v>
      </c>
      <c r="C154" t="s">
        <v>2964</v>
      </c>
      <c r="D154" t="s">
        <v>2965</v>
      </c>
      <c r="E154">
        <v>5</v>
      </c>
      <c r="F154">
        <v>5</v>
      </c>
      <c r="G154">
        <v>1</v>
      </c>
      <c r="H154">
        <v>4.1231056256176597</v>
      </c>
      <c r="I154" t="s">
        <v>957</v>
      </c>
      <c r="J154" t="s">
        <v>3515</v>
      </c>
      <c r="K154">
        <v>5.8823529411764698E-2</v>
      </c>
      <c r="L154" t="s">
        <v>1099</v>
      </c>
      <c r="M154">
        <v>1.5267175572519101</v>
      </c>
      <c r="N154" t="s">
        <v>973</v>
      </c>
      <c r="O154" t="s">
        <v>5018</v>
      </c>
      <c r="P154" t="s">
        <v>5017</v>
      </c>
      <c r="Q154">
        <v>0</v>
      </c>
      <c r="R154" t="s">
        <v>5019</v>
      </c>
    </row>
    <row r="155" spans="1:18" ht="16" x14ac:dyDescent="0.2">
      <c r="A155" s="127" t="s">
        <v>954</v>
      </c>
      <c r="B155" t="s">
        <v>114</v>
      </c>
      <c r="C155" t="s">
        <v>3732</v>
      </c>
      <c r="D155" t="s">
        <v>3733</v>
      </c>
      <c r="E155">
        <v>3</v>
      </c>
      <c r="F155">
        <v>3</v>
      </c>
      <c r="G155">
        <v>1</v>
      </c>
      <c r="H155">
        <v>4.1231056256176597</v>
      </c>
      <c r="I155" t="s">
        <v>957</v>
      </c>
      <c r="J155" t="s">
        <v>3734</v>
      </c>
      <c r="K155">
        <v>5.8823529411764698E-2</v>
      </c>
      <c r="L155" t="s">
        <v>1099</v>
      </c>
      <c r="M155">
        <v>0.76335877862595403</v>
      </c>
      <c r="N155" t="s">
        <v>973</v>
      </c>
      <c r="O155" t="s">
        <v>5018</v>
      </c>
      <c r="P155">
        <v>0</v>
      </c>
      <c r="Q155">
        <v>0</v>
      </c>
      <c r="R155">
        <v>0</v>
      </c>
    </row>
    <row r="156" spans="1:18" ht="16" x14ac:dyDescent="0.2">
      <c r="A156" s="127" t="s">
        <v>954</v>
      </c>
      <c r="B156" t="s">
        <v>114</v>
      </c>
      <c r="C156" t="s">
        <v>2419</v>
      </c>
      <c r="D156" t="s">
        <v>2420</v>
      </c>
      <c r="E156">
        <v>3</v>
      </c>
      <c r="F156">
        <v>3</v>
      </c>
      <c r="G156">
        <v>1</v>
      </c>
      <c r="H156">
        <v>4.1231056256176597</v>
      </c>
      <c r="I156" t="s">
        <v>957</v>
      </c>
      <c r="J156" t="s">
        <v>3726</v>
      </c>
      <c r="K156">
        <v>5.8823529411764698E-2</v>
      </c>
      <c r="L156" t="s">
        <v>1099</v>
      </c>
      <c r="M156">
        <v>1.5267175572519101</v>
      </c>
      <c r="N156" t="s">
        <v>973</v>
      </c>
      <c r="O156" t="s">
        <v>5018</v>
      </c>
      <c r="P156">
        <v>0</v>
      </c>
      <c r="Q156">
        <v>0</v>
      </c>
      <c r="R156">
        <v>0</v>
      </c>
    </row>
    <row r="157" spans="1:18" ht="16" x14ac:dyDescent="0.2">
      <c r="A157" s="127" t="s">
        <v>954</v>
      </c>
      <c r="B157" t="s">
        <v>114</v>
      </c>
      <c r="C157" t="s">
        <v>1649</v>
      </c>
      <c r="D157" t="s">
        <v>1650</v>
      </c>
      <c r="E157">
        <v>4</v>
      </c>
      <c r="F157">
        <v>4</v>
      </c>
      <c r="G157">
        <v>1</v>
      </c>
      <c r="H157">
        <v>4.0502856694776899</v>
      </c>
      <c r="I157" t="s">
        <v>957</v>
      </c>
      <c r="J157" t="s">
        <v>1651</v>
      </c>
      <c r="K157">
        <v>0.11764705882352899</v>
      </c>
      <c r="L157" t="s">
        <v>1099</v>
      </c>
      <c r="M157">
        <v>3.0534351145038201</v>
      </c>
      <c r="N157" t="s">
        <v>973</v>
      </c>
      <c r="O157" t="s">
        <v>5018</v>
      </c>
      <c r="P157">
        <v>0</v>
      </c>
      <c r="Q157">
        <v>0</v>
      </c>
      <c r="R157">
        <v>0</v>
      </c>
    </row>
    <row r="158" spans="1:18" ht="16" x14ac:dyDescent="0.2">
      <c r="A158" s="127" t="s">
        <v>954</v>
      </c>
      <c r="B158" t="s">
        <v>114</v>
      </c>
      <c r="C158" t="s">
        <v>2091</v>
      </c>
      <c r="D158" t="s">
        <v>2092</v>
      </c>
      <c r="E158">
        <v>3</v>
      </c>
      <c r="F158">
        <v>3</v>
      </c>
      <c r="G158">
        <v>1</v>
      </c>
      <c r="H158">
        <v>3.9738950519529501</v>
      </c>
      <c r="I158" t="s">
        <v>957</v>
      </c>
      <c r="J158" t="s">
        <v>3518</v>
      </c>
      <c r="K158">
        <v>0.11764705882352899</v>
      </c>
      <c r="L158" t="s">
        <v>1099</v>
      </c>
      <c r="M158">
        <v>2.2900763358778602</v>
      </c>
      <c r="N158" t="s">
        <v>973</v>
      </c>
      <c r="O158" t="s">
        <v>5018</v>
      </c>
      <c r="P158">
        <v>0</v>
      </c>
      <c r="Q158">
        <v>0</v>
      </c>
      <c r="R158">
        <v>0</v>
      </c>
    </row>
    <row r="159" spans="1:18" ht="16" x14ac:dyDescent="0.2">
      <c r="A159" s="127" t="s">
        <v>954</v>
      </c>
      <c r="B159" t="s">
        <v>114</v>
      </c>
      <c r="C159" t="s">
        <v>1715</v>
      </c>
      <c r="D159" t="s">
        <v>1716</v>
      </c>
      <c r="E159">
        <v>5</v>
      </c>
      <c r="F159">
        <v>5</v>
      </c>
      <c r="G159">
        <v>1</v>
      </c>
      <c r="H159">
        <v>4.10045102764769</v>
      </c>
      <c r="I159" t="s">
        <v>957</v>
      </c>
      <c r="J159" t="s">
        <v>3607</v>
      </c>
      <c r="K159">
        <v>0.11764705882352899</v>
      </c>
      <c r="L159" t="s">
        <v>1099</v>
      </c>
      <c r="M159">
        <v>1.5267175572519101</v>
      </c>
      <c r="N159" t="s">
        <v>973</v>
      </c>
      <c r="O159" t="s">
        <v>5018</v>
      </c>
      <c r="P159">
        <v>0</v>
      </c>
      <c r="Q159">
        <v>0</v>
      </c>
      <c r="R159">
        <v>0</v>
      </c>
    </row>
    <row r="160" spans="1:18" ht="16" x14ac:dyDescent="0.2">
      <c r="A160" s="127" t="s">
        <v>954</v>
      </c>
      <c r="B160" t="s">
        <v>114</v>
      </c>
      <c r="C160" t="s">
        <v>1147</v>
      </c>
      <c r="D160" t="s">
        <v>1148</v>
      </c>
      <c r="E160">
        <v>3</v>
      </c>
      <c r="F160">
        <v>3</v>
      </c>
      <c r="G160">
        <v>1</v>
      </c>
      <c r="H160">
        <v>4.1231056256176597</v>
      </c>
      <c r="I160" t="s">
        <v>957</v>
      </c>
      <c r="J160" t="s">
        <v>1149</v>
      </c>
      <c r="K160">
        <v>5.8823529411764698E-2</v>
      </c>
      <c r="L160" t="s">
        <v>1099</v>
      </c>
      <c r="M160">
        <v>3.8167938931297698</v>
      </c>
      <c r="N160" t="s">
        <v>973</v>
      </c>
      <c r="O160" t="s">
        <v>5018</v>
      </c>
      <c r="P160">
        <v>0</v>
      </c>
      <c r="Q160">
        <v>0</v>
      </c>
      <c r="R160">
        <v>0</v>
      </c>
    </row>
    <row r="161" spans="1:18" ht="16" x14ac:dyDescent="0.2">
      <c r="A161" s="127" t="s">
        <v>954</v>
      </c>
      <c r="B161" t="s">
        <v>118</v>
      </c>
      <c r="C161" t="s">
        <v>3272</v>
      </c>
      <c r="D161" t="s">
        <v>3273</v>
      </c>
      <c r="E161" t="s">
        <v>3274</v>
      </c>
      <c r="F161">
        <v>30</v>
      </c>
      <c r="G161">
        <v>2</v>
      </c>
      <c r="H161">
        <v>3.8729833462074201</v>
      </c>
      <c r="I161" t="s">
        <v>957</v>
      </c>
      <c r="J161" t="s">
        <v>3275</v>
      </c>
      <c r="K161">
        <v>6.6666666666666693E-2</v>
      </c>
      <c r="L161" t="s">
        <v>1004</v>
      </c>
      <c r="M161">
        <v>1.5267175572519101</v>
      </c>
      <c r="N161" t="s">
        <v>982</v>
      </c>
      <c r="O161">
        <v>0</v>
      </c>
      <c r="P161">
        <v>0</v>
      </c>
      <c r="Q161">
        <v>0</v>
      </c>
      <c r="R161">
        <v>0</v>
      </c>
    </row>
    <row r="162" spans="1:18" ht="16" x14ac:dyDescent="0.2">
      <c r="A162" s="127" t="s">
        <v>954</v>
      </c>
      <c r="B162" t="s">
        <v>118</v>
      </c>
      <c r="C162" t="s">
        <v>1203</v>
      </c>
      <c r="D162" t="s">
        <v>1204</v>
      </c>
      <c r="E162" t="s">
        <v>2935</v>
      </c>
      <c r="F162">
        <v>15</v>
      </c>
      <c r="G162">
        <v>2</v>
      </c>
      <c r="H162">
        <v>3.8729833462074099</v>
      </c>
      <c r="I162" t="s">
        <v>957</v>
      </c>
      <c r="J162" t="s">
        <v>2936</v>
      </c>
      <c r="K162">
        <v>6.6666666666666693E-2</v>
      </c>
      <c r="L162" t="s">
        <v>1004</v>
      </c>
      <c r="M162">
        <v>1.5267175572519101</v>
      </c>
      <c r="N162" t="s">
        <v>1005</v>
      </c>
      <c r="O162">
        <v>0</v>
      </c>
      <c r="P162">
        <v>0</v>
      </c>
      <c r="Q162">
        <v>0</v>
      </c>
      <c r="R162">
        <v>0</v>
      </c>
    </row>
    <row r="163" spans="1:18" ht="16" x14ac:dyDescent="0.2">
      <c r="A163" s="127" t="s">
        <v>954</v>
      </c>
      <c r="B163" t="s">
        <v>118</v>
      </c>
      <c r="C163" t="s">
        <v>1153</v>
      </c>
      <c r="D163" t="s">
        <v>3587</v>
      </c>
      <c r="E163" t="s">
        <v>1074</v>
      </c>
      <c r="F163">
        <v>6</v>
      </c>
      <c r="G163">
        <v>2</v>
      </c>
      <c r="H163">
        <v>3.84926873510457</v>
      </c>
      <c r="I163" t="s">
        <v>957</v>
      </c>
      <c r="J163" t="s">
        <v>3588</v>
      </c>
      <c r="K163">
        <v>0.266666666666667</v>
      </c>
      <c r="L163" t="s">
        <v>1004</v>
      </c>
      <c r="M163">
        <v>2.2900763358778602</v>
      </c>
      <c r="N163" t="s">
        <v>1005</v>
      </c>
      <c r="O163">
        <v>0</v>
      </c>
      <c r="P163">
        <v>0</v>
      </c>
      <c r="Q163">
        <v>0</v>
      </c>
      <c r="R163">
        <v>0</v>
      </c>
    </row>
    <row r="164" spans="1:18" ht="16" x14ac:dyDescent="0.2">
      <c r="A164" s="127" t="s">
        <v>954</v>
      </c>
      <c r="B164" t="s">
        <v>118</v>
      </c>
      <c r="C164" t="s">
        <v>2245</v>
      </c>
      <c r="D164" t="s">
        <v>2246</v>
      </c>
      <c r="E164" t="s">
        <v>1216</v>
      </c>
      <c r="F164">
        <v>7</v>
      </c>
      <c r="G164">
        <v>2</v>
      </c>
      <c r="H164">
        <v>3.8570778032505202</v>
      </c>
      <c r="I164" t="s">
        <v>957</v>
      </c>
      <c r="J164" t="s">
        <v>2247</v>
      </c>
      <c r="K164">
        <v>0.2</v>
      </c>
      <c r="L164" t="s">
        <v>1004</v>
      </c>
      <c r="M164">
        <v>1.5267175572519101</v>
      </c>
      <c r="N164" t="s">
        <v>1005</v>
      </c>
      <c r="O164">
        <v>0</v>
      </c>
      <c r="P164">
        <v>0</v>
      </c>
      <c r="Q164">
        <v>0</v>
      </c>
      <c r="R164">
        <v>0</v>
      </c>
    </row>
    <row r="165" spans="1:18" ht="16" x14ac:dyDescent="0.2">
      <c r="A165" s="127" t="s">
        <v>954</v>
      </c>
      <c r="B165" t="s">
        <v>118</v>
      </c>
      <c r="C165" t="s">
        <v>1588</v>
      </c>
      <c r="D165" t="s">
        <v>1589</v>
      </c>
      <c r="E165" t="s">
        <v>1590</v>
      </c>
      <c r="F165">
        <v>7</v>
      </c>
      <c r="G165">
        <v>2</v>
      </c>
      <c r="H165">
        <v>3.8629377434991299</v>
      </c>
      <c r="I165" t="s">
        <v>957</v>
      </c>
      <c r="J165" t="s">
        <v>1591</v>
      </c>
      <c r="K165">
        <v>0.133333333333333</v>
      </c>
      <c r="L165" t="s">
        <v>1004</v>
      </c>
      <c r="M165">
        <v>1.5267175572519101</v>
      </c>
      <c r="N165" t="s">
        <v>1005</v>
      </c>
      <c r="O165">
        <v>0</v>
      </c>
      <c r="P165">
        <v>0</v>
      </c>
      <c r="Q165">
        <v>0</v>
      </c>
      <c r="R165">
        <v>0</v>
      </c>
    </row>
    <row r="166" spans="1:18" ht="16" x14ac:dyDescent="0.2">
      <c r="A166" s="127" t="s">
        <v>954</v>
      </c>
      <c r="B166" t="s">
        <v>118</v>
      </c>
      <c r="C166" t="s">
        <v>2001</v>
      </c>
      <c r="D166" t="s">
        <v>2002</v>
      </c>
      <c r="E166" t="s">
        <v>2003</v>
      </c>
      <c r="F166">
        <v>14</v>
      </c>
      <c r="G166">
        <v>2</v>
      </c>
      <c r="H166">
        <v>3.8729833462074299</v>
      </c>
      <c r="I166" t="s">
        <v>957</v>
      </c>
      <c r="J166" t="s">
        <v>2004</v>
      </c>
      <c r="K166">
        <v>6.6666666666666693E-2</v>
      </c>
      <c r="L166" t="s">
        <v>1004</v>
      </c>
      <c r="M166">
        <v>0.76335877862595403</v>
      </c>
      <c r="N166" t="s">
        <v>1005</v>
      </c>
      <c r="O166">
        <v>0</v>
      </c>
      <c r="P166">
        <v>0</v>
      </c>
      <c r="Q166">
        <v>0</v>
      </c>
      <c r="R166">
        <v>0</v>
      </c>
    </row>
    <row r="167" spans="1:18" ht="16" x14ac:dyDescent="0.2">
      <c r="A167" s="127" t="s">
        <v>954</v>
      </c>
      <c r="B167" t="s">
        <v>118</v>
      </c>
      <c r="C167" t="s">
        <v>1355</v>
      </c>
      <c r="D167" t="s">
        <v>1356</v>
      </c>
      <c r="E167" t="s">
        <v>1220</v>
      </c>
      <c r="F167">
        <v>7</v>
      </c>
      <c r="G167">
        <v>2</v>
      </c>
      <c r="H167">
        <v>3.8729833462074201</v>
      </c>
      <c r="I167" t="s">
        <v>957</v>
      </c>
      <c r="J167" t="s">
        <v>1357</v>
      </c>
      <c r="K167">
        <v>6.6666666666666693E-2</v>
      </c>
      <c r="L167" t="s">
        <v>1004</v>
      </c>
      <c r="M167">
        <v>2.2900763358778602</v>
      </c>
      <c r="N167" t="s">
        <v>1005</v>
      </c>
      <c r="O167">
        <v>0</v>
      </c>
      <c r="P167">
        <v>0</v>
      </c>
      <c r="Q167">
        <v>0</v>
      </c>
      <c r="R167">
        <v>0</v>
      </c>
    </row>
    <row r="168" spans="1:18" ht="16" x14ac:dyDescent="0.2">
      <c r="A168" s="127" t="s">
        <v>954</v>
      </c>
      <c r="B168" t="s">
        <v>122</v>
      </c>
      <c r="C168" t="s">
        <v>2911</v>
      </c>
      <c r="D168" t="s">
        <v>2912</v>
      </c>
      <c r="E168">
        <v>3</v>
      </c>
      <c r="F168">
        <v>3</v>
      </c>
      <c r="G168">
        <v>1</v>
      </c>
      <c r="H168">
        <v>8.7200998104770004</v>
      </c>
      <c r="I168" t="s">
        <v>957</v>
      </c>
      <c r="J168" t="s">
        <v>2913</v>
      </c>
      <c r="K168">
        <v>4.2857142857142899E-2</v>
      </c>
      <c r="L168" t="s">
        <v>959</v>
      </c>
      <c r="M168">
        <v>0.76335877862595403</v>
      </c>
      <c r="N168" t="s">
        <v>960</v>
      </c>
      <c r="O168" t="s">
        <v>5018</v>
      </c>
      <c r="P168">
        <v>0</v>
      </c>
      <c r="Q168">
        <v>0</v>
      </c>
      <c r="R168">
        <v>0</v>
      </c>
    </row>
    <row r="169" spans="1:18" ht="16" x14ac:dyDescent="0.2">
      <c r="A169" s="127" t="s">
        <v>954</v>
      </c>
      <c r="B169" t="s">
        <v>122</v>
      </c>
      <c r="C169" t="s">
        <v>1731</v>
      </c>
      <c r="D169" t="s">
        <v>1732</v>
      </c>
      <c r="E169">
        <v>4</v>
      </c>
      <c r="F169">
        <v>4</v>
      </c>
      <c r="G169">
        <v>1</v>
      </c>
      <c r="H169">
        <v>6.2087159310076201</v>
      </c>
      <c r="I169" t="s">
        <v>957</v>
      </c>
      <c r="J169" t="s">
        <v>1733</v>
      </c>
      <c r="K169">
        <v>2.8571428571428598E-2</v>
      </c>
      <c r="L169" t="s">
        <v>959</v>
      </c>
      <c r="M169">
        <v>2.2900763358778602</v>
      </c>
      <c r="N169" t="s">
        <v>960</v>
      </c>
      <c r="O169" t="s">
        <v>5018</v>
      </c>
      <c r="P169">
        <v>0</v>
      </c>
      <c r="Q169">
        <v>0</v>
      </c>
      <c r="R169">
        <v>0</v>
      </c>
    </row>
    <row r="170" spans="1:18" ht="16" x14ac:dyDescent="0.2">
      <c r="A170" s="127" t="s">
        <v>954</v>
      </c>
      <c r="B170" t="s">
        <v>122</v>
      </c>
      <c r="C170" t="s">
        <v>2422</v>
      </c>
      <c r="E170">
        <v>6</v>
      </c>
      <c r="F170">
        <v>6</v>
      </c>
      <c r="G170">
        <v>1</v>
      </c>
      <c r="H170">
        <v>9.6041818288944807</v>
      </c>
      <c r="I170" t="s">
        <v>957</v>
      </c>
      <c r="J170" t="s">
        <v>2932</v>
      </c>
      <c r="K170">
        <v>2.1428571428571401E-2</v>
      </c>
      <c r="L170" t="s">
        <v>959</v>
      </c>
      <c r="M170">
        <v>1.5267175572519101</v>
      </c>
      <c r="N170" t="s">
        <v>960</v>
      </c>
      <c r="O170" t="s">
        <v>5018</v>
      </c>
      <c r="P170">
        <v>0</v>
      </c>
      <c r="Q170">
        <v>0</v>
      </c>
      <c r="R170">
        <v>0</v>
      </c>
    </row>
    <row r="171" spans="1:18" ht="16" x14ac:dyDescent="0.2">
      <c r="A171" s="127" t="s">
        <v>954</v>
      </c>
      <c r="B171" t="s">
        <v>122</v>
      </c>
      <c r="C171" t="s">
        <v>2439</v>
      </c>
      <c r="D171" t="s">
        <v>2440</v>
      </c>
      <c r="E171">
        <v>5</v>
      </c>
      <c r="F171">
        <v>5</v>
      </c>
      <c r="G171">
        <v>1</v>
      </c>
      <c r="H171">
        <v>10.166675495995699</v>
      </c>
      <c r="I171" t="s">
        <v>957</v>
      </c>
      <c r="J171" t="s">
        <v>2441</v>
      </c>
      <c r="K171">
        <v>1.4285714285714299E-2</v>
      </c>
      <c r="L171" t="s">
        <v>959</v>
      </c>
      <c r="M171">
        <v>0.76335877862595403</v>
      </c>
      <c r="N171" t="s">
        <v>960</v>
      </c>
      <c r="O171" t="s">
        <v>5018</v>
      </c>
      <c r="P171">
        <v>0</v>
      </c>
      <c r="Q171">
        <v>0</v>
      </c>
      <c r="R171">
        <v>0</v>
      </c>
    </row>
    <row r="172" spans="1:18" ht="16" x14ac:dyDescent="0.2">
      <c r="A172" s="127" t="s">
        <v>954</v>
      </c>
      <c r="B172" t="s">
        <v>122</v>
      </c>
      <c r="C172" t="s">
        <v>1412</v>
      </c>
      <c r="D172" t="s">
        <v>1413</v>
      </c>
      <c r="E172">
        <v>5</v>
      </c>
      <c r="F172">
        <v>5</v>
      </c>
      <c r="G172">
        <v>1</v>
      </c>
      <c r="H172">
        <v>8.0686367215735704</v>
      </c>
      <c r="I172" t="s">
        <v>957</v>
      </c>
      <c r="J172" t="s">
        <v>1414</v>
      </c>
      <c r="K172">
        <v>4.2857142857142899E-2</v>
      </c>
      <c r="L172" t="s">
        <v>959</v>
      </c>
      <c r="M172">
        <v>1.5267175572519101</v>
      </c>
      <c r="N172" t="s">
        <v>960</v>
      </c>
      <c r="O172" t="s">
        <v>5018</v>
      </c>
      <c r="P172">
        <v>0</v>
      </c>
      <c r="Q172">
        <v>0</v>
      </c>
      <c r="R172">
        <v>0</v>
      </c>
    </row>
    <row r="173" spans="1:18" ht="16" x14ac:dyDescent="0.2">
      <c r="A173" s="127" t="s">
        <v>954</v>
      </c>
      <c r="B173" t="s">
        <v>122</v>
      </c>
      <c r="C173" t="s">
        <v>1686</v>
      </c>
      <c r="D173" t="s">
        <v>1687</v>
      </c>
      <c r="E173">
        <v>4</v>
      </c>
      <c r="F173">
        <v>4</v>
      </c>
      <c r="G173">
        <v>1</v>
      </c>
      <c r="H173">
        <v>6.82984592106855</v>
      </c>
      <c r="I173" t="s">
        <v>957</v>
      </c>
      <c r="J173" t="s">
        <v>2064</v>
      </c>
      <c r="K173">
        <v>4.2857142857142899E-2</v>
      </c>
      <c r="L173" t="s">
        <v>959</v>
      </c>
      <c r="M173">
        <v>1.5267175572519101</v>
      </c>
      <c r="N173" t="s">
        <v>960</v>
      </c>
      <c r="O173" t="s">
        <v>5018</v>
      </c>
      <c r="P173">
        <v>0</v>
      </c>
      <c r="Q173">
        <v>0</v>
      </c>
      <c r="R173">
        <v>0</v>
      </c>
    </row>
    <row r="174" spans="1:18" ht="16" x14ac:dyDescent="0.2">
      <c r="A174" s="127" t="s">
        <v>954</v>
      </c>
      <c r="B174" t="s">
        <v>122</v>
      </c>
      <c r="C174" t="s">
        <v>1444</v>
      </c>
      <c r="D174" t="s">
        <v>1445</v>
      </c>
      <c r="E174">
        <v>3</v>
      </c>
      <c r="F174">
        <v>3</v>
      </c>
      <c r="G174">
        <v>1</v>
      </c>
      <c r="H174">
        <v>8.96015202573731</v>
      </c>
      <c r="I174" t="s">
        <v>957</v>
      </c>
      <c r="J174" t="s">
        <v>1446</v>
      </c>
      <c r="K174">
        <v>3.5714285714285698E-2</v>
      </c>
      <c r="L174" t="s">
        <v>959</v>
      </c>
      <c r="M174">
        <v>0.76335877862595403</v>
      </c>
      <c r="N174" t="s">
        <v>960</v>
      </c>
      <c r="O174" t="s">
        <v>5018</v>
      </c>
      <c r="P174">
        <v>0</v>
      </c>
      <c r="Q174">
        <v>0</v>
      </c>
      <c r="R174">
        <v>0</v>
      </c>
    </row>
    <row r="175" spans="1:18" ht="16" x14ac:dyDescent="0.2">
      <c r="A175" s="127" t="s">
        <v>954</v>
      </c>
      <c r="B175" t="s">
        <v>122</v>
      </c>
      <c r="C175" t="s">
        <v>2739</v>
      </c>
      <c r="D175" t="s">
        <v>2740</v>
      </c>
      <c r="E175">
        <v>4</v>
      </c>
      <c r="F175">
        <v>4</v>
      </c>
      <c r="G175">
        <v>1</v>
      </c>
      <c r="H175">
        <v>10.156555224164901</v>
      </c>
      <c r="I175" t="s">
        <v>957</v>
      </c>
      <c r="J175" t="s">
        <v>2741</v>
      </c>
      <c r="K175">
        <v>2.8571428571428598E-2</v>
      </c>
      <c r="L175" t="s">
        <v>959</v>
      </c>
      <c r="M175">
        <v>0.76335877862595403</v>
      </c>
      <c r="N175" t="s">
        <v>960</v>
      </c>
      <c r="O175" t="s">
        <v>5018</v>
      </c>
      <c r="P175">
        <v>0</v>
      </c>
      <c r="Q175">
        <v>0</v>
      </c>
      <c r="R175">
        <v>0</v>
      </c>
    </row>
    <row r="176" spans="1:18" ht="16" x14ac:dyDescent="0.2">
      <c r="A176" s="127" t="s">
        <v>954</v>
      </c>
      <c r="B176" t="s">
        <v>122</v>
      </c>
      <c r="C176" t="s">
        <v>2506</v>
      </c>
      <c r="D176" t="s">
        <v>2507</v>
      </c>
      <c r="E176">
        <v>3</v>
      </c>
      <c r="F176">
        <v>3</v>
      </c>
      <c r="G176">
        <v>1</v>
      </c>
      <c r="H176">
        <v>7.4882987532110397</v>
      </c>
      <c r="I176" t="s">
        <v>957</v>
      </c>
      <c r="J176" t="s">
        <v>2508</v>
      </c>
      <c r="K176">
        <v>4.2857142857142899E-2</v>
      </c>
      <c r="L176" t="s">
        <v>959</v>
      </c>
      <c r="M176">
        <v>0.76335877862595403</v>
      </c>
      <c r="N176" t="s">
        <v>960</v>
      </c>
      <c r="O176" t="s">
        <v>5018</v>
      </c>
      <c r="P176">
        <v>0</v>
      </c>
      <c r="Q176">
        <v>0</v>
      </c>
      <c r="R176">
        <v>0</v>
      </c>
    </row>
    <row r="177" spans="1:18" ht="16" x14ac:dyDescent="0.2">
      <c r="A177" s="127" t="s">
        <v>954</v>
      </c>
      <c r="B177" t="s">
        <v>122</v>
      </c>
      <c r="C177" t="s">
        <v>2416</v>
      </c>
      <c r="D177" t="s">
        <v>2417</v>
      </c>
      <c r="E177">
        <v>3</v>
      </c>
      <c r="F177">
        <v>3</v>
      </c>
      <c r="G177">
        <v>1</v>
      </c>
      <c r="H177">
        <v>5.6490241964332499</v>
      </c>
      <c r="I177" t="s">
        <v>957</v>
      </c>
      <c r="J177" t="s">
        <v>3038</v>
      </c>
      <c r="K177">
        <v>0.107142857142857</v>
      </c>
      <c r="L177" t="s">
        <v>959</v>
      </c>
      <c r="M177">
        <v>2.2900763358778602</v>
      </c>
      <c r="N177" t="s">
        <v>960</v>
      </c>
      <c r="O177" t="s">
        <v>5018</v>
      </c>
      <c r="P177">
        <v>0</v>
      </c>
      <c r="Q177">
        <v>0</v>
      </c>
      <c r="R177">
        <v>0</v>
      </c>
    </row>
    <row r="178" spans="1:18" ht="16" x14ac:dyDescent="0.2">
      <c r="A178" s="127" t="s">
        <v>954</v>
      </c>
      <c r="B178" t="s">
        <v>122</v>
      </c>
      <c r="C178" t="s">
        <v>1332</v>
      </c>
      <c r="D178" t="s">
        <v>1333</v>
      </c>
      <c r="E178">
        <v>10</v>
      </c>
      <c r="F178">
        <v>10</v>
      </c>
      <c r="G178">
        <v>1</v>
      </c>
      <c r="H178">
        <v>6.0278664888246398</v>
      </c>
      <c r="I178" t="s">
        <v>957</v>
      </c>
      <c r="J178" t="s">
        <v>2499</v>
      </c>
      <c r="K178">
        <v>0.114285714285714</v>
      </c>
      <c r="L178" t="s">
        <v>959</v>
      </c>
      <c r="M178">
        <v>2.2900763358778602</v>
      </c>
      <c r="N178" t="s">
        <v>960</v>
      </c>
      <c r="O178" t="s">
        <v>5018</v>
      </c>
      <c r="P178">
        <v>0</v>
      </c>
      <c r="Q178">
        <v>0</v>
      </c>
      <c r="R178">
        <v>0</v>
      </c>
    </row>
    <row r="179" spans="1:18" ht="16" x14ac:dyDescent="0.2">
      <c r="A179" s="127" t="s">
        <v>954</v>
      </c>
      <c r="B179" t="s">
        <v>122</v>
      </c>
      <c r="C179" t="s">
        <v>3297</v>
      </c>
      <c r="D179" t="s">
        <v>3298</v>
      </c>
      <c r="E179" t="s">
        <v>3299</v>
      </c>
      <c r="F179">
        <v>16</v>
      </c>
      <c r="G179">
        <v>4</v>
      </c>
      <c r="H179">
        <v>5.3851648071345002</v>
      </c>
      <c r="I179" t="s">
        <v>957</v>
      </c>
      <c r="J179" t="s">
        <v>3300</v>
      </c>
      <c r="K179" t="s">
        <v>2023</v>
      </c>
      <c r="L179" t="s">
        <v>2024</v>
      </c>
      <c r="M179">
        <v>0.76335877862595403</v>
      </c>
      <c r="N179" t="s">
        <v>987</v>
      </c>
      <c r="O179" t="s">
        <v>5018</v>
      </c>
      <c r="P179">
        <v>0</v>
      </c>
      <c r="Q179">
        <v>0</v>
      </c>
      <c r="R179">
        <v>0</v>
      </c>
    </row>
    <row r="180" spans="1:18" ht="16" x14ac:dyDescent="0.2">
      <c r="A180" s="127" t="s">
        <v>954</v>
      </c>
      <c r="B180" t="s">
        <v>122</v>
      </c>
      <c r="C180" t="s">
        <v>1124</v>
      </c>
      <c r="D180" t="s">
        <v>1125</v>
      </c>
      <c r="E180">
        <v>18</v>
      </c>
      <c r="F180">
        <v>18</v>
      </c>
      <c r="G180">
        <v>1</v>
      </c>
      <c r="H180">
        <v>6.1111785505007497</v>
      </c>
      <c r="I180" t="s">
        <v>957</v>
      </c>
      <c r="J180" t="s">
        <v>2849</v>
      </c>
      <c r="K180">
        <v>5.7142857142857099E-2</v>
      </c>
      <c r="L180" t="s">
        <v>959</v>
      </c>
      <c r="M180">
        <v>2.2900763358778602</v>
      </c>
      <c r="N180" t="s">
        <v>960</v>
      </c>
      <c r="O180" t="s">
        <v>5018</v>
      </c>
      <c r="P180">
        <v>0</v>
      </c>
      <c r="Q180">
        <v>0</v>
      </c>
      <c r="R180">
        <v>0</v>
      </c>
    </row>
    <row r="181" spans="1:18" ht="16" x14ac:dyDescent="0.2">
      <c r="A181" s="127" t="s">
        <v>954</v>
      </c>
      <c r="B181" t="s">
        <v>122</v>
      </c>
      <c r="C181" t="s">
        <v>3320</v>
      </c>
      <c r="D181" t="s">
        <v>3321</v>
      </c>
      <c r="E181">
        <v>9</v>
      </c>
      <c r="F181">
        <v>9</v>
      </c>
      <c r="G181">
        <v>1</v>
      </c>
      <c r="H181">
        <v>9.6555358152132396</v>
      </c>
      <c r="I181" t="s">
        <v>957</v>
      </c>
      <c r="J181" t="s">
        <v>3481</v>
      </c>
      <c r="K181">
        <v>0.114285714285714</v>
      </c>
      <c r="L181" t="s">
        <v>959</v>
      </c>
      <c r="M181">
        <v>1.5267175572519101</v>
      </c>
      <c r="N181" t="s">
        <v>960</v>
      </c>
      <c r="O181" t="s">
        <v>5018</v>
      </c>
      <c r="P181">
        <v>0</v>
      </c>
      <c r="Q181">
        <v>0</v>
      </c>
      <c r="R181">
        <v>0</v>
      </c>
    </row>
    <row r="182" spans="1:18" ht="16" x14ac:dyDescent="0.2">
      <c r="A182" s="127" t="s">
        <v>954</v>
      </c>
      <c r="B182" t="s">
        <v>122</v>
      </c>
      <c r="C182" t="s">
        <v>2536</v>
      </c>
      <c r="D182" t="s">
        <v>2537</v>
      </c>
      <c r="E182">
        <v>5</v>
      </c>
      <c r="F182">
        <v>5</v>
      </c>
      <c r="G182">
        <v>1</v>
      </c>
      <c r="H182">
        <v>5.7359062946931099</v>
      </c>
      <c r="I182" t="s">
        <v>957</v>
      </c>
      <c r="J182" t="s">
        <v>3015</v>
      </c>
      <c r="K182">
        <v>0.1</v>
      </c>
      <c r="L182" t="s">
        <v>959</v>
      </c>
      <c r="M182">
        <v>1.5267175572519101</v>
      </c>
      <c r="N182" t="s">
        <v>960</v>
      </c>
      <c r="O182" t="s">
        <v>5018</v>
      </c>
      <c r="P182">
        <v>0</v>
      </c>
      <c r="Q182">
        <v>0</v>
      </c>
      <c r="R182">
        <v>0</v>
      </c>
    </row>
    <row r="183" spans="1:18" ht="16" x14ac:dyDescent="0.2">
      <c r="A183" s="127" t="s">
        <v>954</v>
      </c>
      <c r="B183" t="s">
        <v>122</v>
      </c>
      <c r="C183" t="s">
        <v>1309</v>
      </c>
      <c r="D183" t="s">
        <v>1310</v>
      </c>
      <c r="E183">
        <v>4</v>
      </c>
      <c r="F183">
        <v>4</v>
      </c>
      <c r="G183">
        <v>1</v>
      </c>
      <c r="H183">
        <v>8.8503748872924497</v>
      </c>
      <c r="I183" t="s">
        <v>957</v>
      </c>
      <c r="J183" t="s">
        <v>2348</v>
      </c>
      <c r="K183">
        <v>2.1428571428571401E-2</v>
      </c>
      <c r="L183" t="s">
        <v>959</v>
      </c>
      <c r="M183">
        <v>1.5267175572519101</v>
      </c>
      <c r="N183" t="s">
        <v>960</v>
      </c>
      <c r="O183" t="s">
        <v>5018</v>
      </c>
      <c r="P183">
        <v>0</v>
      </c>
      <c r="Q183">
        <v>0</v>
      </c>
      <c r="R183">
        <v>0</v>
      </c>
    </row>
    <row r="184" spans="1:18" ht="16" x14ac:dyDescent="0.2">
      <c r="A184" s="127" t="s">
        <v>954</v>
      </c>
      <c r="B184" t="s">
        <v>122</v>
      </c>
      <c r="C184" t="s">
        <v>3035</v>
      </c>
      <c r="D184" t="s">
        <v>3036</v>
      </c>
      <c r="E184">
        <v>5</v>
      </c>
      <c r="F184">
        <v>5</v>
      </c>
      <c r="G184">
        <v>1</v>
      </c>
      <c r="H184">
        <v>7.2819290862998898</v>
      </c>
      <c r="I184" t="s">
        <v>957</v>
      </c>
      <c r="J184" t="s">
        <v>3037</v>
      </c>
      <c r="K184">
        <v>0.20714285714285699</v>
      </c>
      <c r="L184" t="s">
        <v>959</v>
      </c>
      <c r="M184">
        <v>0.76335877862595403</v>
      </c>
      <c r="N184" t="s">
        <v>960</v>
      </c>
      <c r="O184" t="s">
        <v>5018</v>
      </c>
      <c r="P184">
        <v>0</v>
      </c>
      <c r="Q184">
        <v>0</v>
      </c>
      <c r="R184">
        <v>0</v>
      </c>
    </row>
    <row r="185" spans="1:18" ht="16" x14ac:dyDescent="0.2">
      <c r="A185" s="127" t="s">
        <v>954</v>
      </c>
      <c r="B185" t="s">
        <v>122</v>
      </c>
      <c r="C185" t="s">
        <v>1683</v>
      </c>
      <c r="D185" t="s">
        <v>1684</v>
      </c>
      <c r="E185">
        <v>4</v>
      </c>
      <c r="F185">
        <v>4</v>
      </c>
      <c r="G185">
        <v>1</v>
      </c>
      <c r="H185">
        <v>8.0994501601142606</v>
      </c>
      <c r="I185" t="s">
        <v>957</v>
      </c>
      <c r="J185" t="s">
        <v>1685</v>
      </c>
      <c r="K185">
        <v>2.8571428571428598E-2</v>
      </c>
      <c r="L185" t="s">
        <v>959</v>
      </c>
      <c r="M185">
        <v>2.2900763358778602</v>
      </c>
      <c r="N185" t="s">
        <v>960</v>
      </c>
      <c r="O185" t="s">
        <v>5018</v>
      </c>
      <c r="P185">
        <v>0</v>
      </c>
      <c r="Q185">
        <v>0</v>
      </c>
      <c r="R185">
        <v>0</v>
      </c>
    </row>
    <row r="186" spans="1:18" ht="16" x14ac:dyDescent="0.2">
      <c r="A186" s="127" t="s">
        <v>954</v>
      </c>
      <c r="B186" t="s">
        <v>122</v>
      </c>
      <c r="C186" t="s">
        <v>3080</v>
      </c>
      <c r="D186" t="s">
        <v>3081</v>
      </c>
      <c r="E186">
        <v>3</v>
      </c>
      <c r="F186">
        <v>3</v>
      </c>
      <c r="G186">
        <v>1</v>
      </c>
      <c r="H186">
        <v>9.5260013526857499</v>
      </c>
      <c r="I186" t="s">
        <v>957</v>
      </c>
      <c r="J186" t="s">
        <v>3082</v>
      </c>
      <c r="K186">
        <v>2.1428571428571401E-2</v>
      </c>
      <c r="L186" t="s">
        <v>959</v>
      </c>
      <c r="M186">
        <v>0.76335877862595403</v>
      </c>
      <c r="N186" t="s">
        <v>960</v>
      </c>
      <c r="O186" t="s">
        <v>5018</v>
      </c>
      <c r="P186">
        <v>0</v>
      </c>
      <c r="Q186">
        <v>0</v>
      </c>
      <c r="R186">
        <v>0</v>
      </c>
    </row>
    <row r="187" spans="1:18" ht="16" x14ac:dyDescent="0.2">
      <c r="A187" s="127" t="s">
        <v>954</v>
      </c>
      <c r="B187" t="s">
        <v>122</v>
      </c>
      <c r="C187" t="s">
        <v>1555</v>
      </c>
      <c r="D187" t="s">
        <v>1556</v>
      </c>
      <c r="E187">
        <v>4</v>
      </c>
      <c r="F187">
        <v>4</v>
      </c>
      <c r="G187">
        <v>1</v>
      </c>
      <c r="H187">
        <v>9.1091023063638303</v>
      </c>
      <c r="I187" t="s">
        <v>957</v>
      </c>
      <c r="J187" t="s">
        <v>3170</v>
      </c>
      <c r="K187">
        <v>3.5714285714285698E-2</v>
      </c>
      <c r="L187" t="s">
        <v>959</v>
      </c>
      <c r="M187">
        <v>1.5267175572519101</v>
      </c>
      <c r="N187" t="s">
        <v>960</v>
      </c>
      <c r="O187" t="s">
        <v>5018</v>
      </c>
      <c r="P187">
        <v>0</v>
      </c>
      <c r="Q187">
        <v>0</v>
      </c>
      <c r="R187">
        <v>0</v>
      </c>
    </row>
    <row r="188" spans="1:18" ht="16" x14ac:dyDescent="0.2">
      <c r="A188" s="127" t="s">
        <v>954</v>
      </c>
      <c r="B188" t="s">
        <v>122</v>
      </c>
      <c r="C188" t="s">
        <v>1509</v>
      </c>
      <c r="D188" t="s">
        <v>1510</v>
      </c>
      <c r="E188">
        <v>3</v>
      </c>
      <c r="F188">
        <v>3</v>
      </c>
      <c r="G188">
        <v>1</v>
      </c>
      <c r="H188">
        <v>5.3419202968207999</v>
      </c>
      <c r="I188" t="s">
        <v>957</v>
      </c>
      <c r="J188" t="s">
        <v>3516</v>
      </c>
      <c r="K188">
        <v>4.2857142857142899E-2</v>
      </c>
      <c r="L188" t="s">
        <v>959</v>
      </c>
      <c r="M188">
        <v>1.5267175572519101</v>
      </c>
      <c r="N188" t="s">
        <v>960</v>
      </c>
      <c r="O188" t="s">
        <v>5018</v>
      </c>
      <c r="P188">
        <v>0</v>
      </c>
      <c r="Q188">
        <v>0</v>
      </c>
      <c r="R188">
        <v>0</v>
      </c>
    </row>
    <row r="189" spans="1:18" ht="16" x14ac:dyDescent="0.2">
      <c r="A189" s="127" t="s">
        <v>954</v>
      </c>
      <c r="B189" t="s">
        <v>122</v>
      </c>
      <c r="C189" t="s">
        <v>2791</v>
      </c>
      <c r="D189" t="s">
        <v>2792</v>
      </c>
      <c r="E189">
        <v>3</v>
      </c>
      <c r="F189">
        <v>3</v>
      </c>
      <c r="G189">
        <v>1</v>
      </c>
      <c r="H189">
        <v>11.8321595661992</v>
      </c>
      <c r="I189" t="s">
        <v>957</v>
      </c>
      <c r="J189" t="s">
        <v>2793</v>
      </c>
      <c r="K189">
        <v>7.14285714285714E-3</v>
      </c>
      <c r="L189" t="s">
        <v>959</v>
      </c>
      <c r="M189">
        <v>0.76335877862595403</v>
      </c>
      <c r="N189" t="s">
        <v>960</v>
      </c>
      <c r="O189" t="s">
        <v>5018</v>
      </c>
      <c r="P189">
        <v>0</v>
      </c>
      <c r="Q189">
        <v>0</v>
      </c>
      <c r="R189">
        <v>0</v>
      </c>
    </row>
    <row r="190" spans="1:18" ht="16" x14ac:dyDescent="0.2">
      <c r="A190" s="127" t="s">
        <v>954</v>
      </c>
      <c r="B190" t="s">
        <v>126</v>
      </c>
      <c r="C190" t="s">
        <v>1251</v>
      </c>
      <c r="D190" t="s">
        <v>1252</v>
      </c>
      <c r="E190" t="s">
        <v>3113</v>
      </c>
      <c r="F190">
        <v>8</v>
      </c>
      <c r="G190">
        <v>3</v>
      </c>
      <c r="H190">
        <v>5.7599456205769597</v>
      </c>
      <c r="I190" t="s">
        <v>957</v>
      </c>
      <c r="J190" t="s">
        <v>3114</v>
      </c>
      <c r="K190">
        <v>0.13571428571428601</v>
      </c>
      <c r="L190" t="s">
        <v>959</v>
      </c>
      <c r="M190">
        <v>1.5267175572519101</v>
      </c>
      <c r="N190" t="s">
        <v>982</v>
      </c>
      <c r="O190">
        <v>0</v>
      </c>
      <c r="P190">
        <v>0</v>
      </c>
      <c r="Q190">
        <v>0</v>
      </c>
      <c r="R190">
        <v>0</v>
      </c>
    </row>
    <row r="191" spans="1:18" ht="16" x14ac:dyDescent="0.2">
      <c r="A191" s="127" t="s">
        <v>954</v>
      </c>
      <c r="B191" t="s">
        <v>126</v>
      </c>
      <c r="C191" t="s">
        <v>2190</v>
      </c>
      <c r="D191" t="s">
        <v>2191</v>
      </c>
      <c r="E191">
        <v>3</v>
      </c>
      <c r="F191">
        <v>3</v>
      </c>
      <c r="G191">
        <v>1</v>
      </c>
      <c r="H191">
        <v>6.3245553203367599</v>
      </c>
      <c r="I191" t="s">
        <v>957</v>
      </c>
      <c r="J191" t="s">
        <v>2192</v>
      </c>
      <c r="K191">
        <v>0.1</v>
      </c>
      <c r="L191" t="s">
        <v>959</v>
      </c>
      <c r="M191">
        <v>0.76335877862595403</v>
      </c>
      <c r="N191" t="s">
        <v>960</v>
      </c>
      <c r="O191">
        <v>0</v>
      </c>
      <c r="P191">
        <v>0</v>
      </c>
      <c r="Q191">
        <v>0</v>
      </c>
      <c r="R191">
        <v>0</v>
      </c>
    </row>
    <row r="192" spans="1:18" ht="16" x14ac:dyDescent="0.2">
      <c r="A192" s="127" t="s">
        <v>954</v>
      </c>
      <c r="B192" t="s">
        <v>126</v>
      </c>
      <c r="C192" t="s">
        <v>2777</v>
      </c>
      <c r="D192" t="s">
        <v>2778</v>
      </c>
      <c r="E192">
        <v>4</v>
      </c>
      <c r="F192">
        <v>4</v>
      </c>
      <c r="G192">
        <v>1</v>
      </c>
      <c r="H192">
        <v>5.5551038395685399</v>
      </c>
      <c r="I192" t="s">
        <v>957</v>
      </c>
      <c r="J192" t="s">
        <v>2779</v>
      </c>
      <c r="K192">
        <v>0.15</v>
      </c>
      <c r="L192" t="s">
        <v>959</v>
      </c>
      <c r="M192">
        <v>0.76335877862595403</v>
      </c>
      <c r="N192" t="s">
        <v>982</v>
      </c>
      <c r="O192">
        <v>0</v>
      </c>
      <c r="P192">
        <v>0</v>
      </c>
      <c r="Q192">
        <v>0</v>
      </c>
      <c r="R192" t="s">
        <v>5019</v>
      </c>
    </row>
    <row r="193" spans="1:18" ht="16" x14ac:dyDescent="0.2">
      <c r="A193" s="127" t="s">
        <v>954</v>
      </c>
      <c r="B193" t="s">
        <v>126</v>
      </c>
      <c r="C193" t="s">
        <v>1170</v>
      </c>
      <c r="D193" t="s">
        <v>1171</v>
      </c>
      <c r="E193" t="s">
        <v>1172</v>
      </c>
      <c r="F193">
        <v>58</v>
      </c>
      <c r="G193">
        <v>5</v>
      </c>
      <c r="H193">
        <v>3.8729833462074201</v>
      </c>
      <c r="I193" t="s">
        <v>957</v>
      </c>
      <c r="J193" t="s">
        <v>1173</v>
      </c>
      <c r="K193" t="s">
        <v>1174</v>
      </c>
      <c r="L193" t="s">
        <v>1175</v>
      </c>
      <c r="M193">
        <v>2.2900763358778602</v>
      </c>
      <c r="N193" t="s">
        <v>982</v>
      </c>
      <c r="O193">
        <v>0</v>
      </c>
      <c r="P193">
        <v>0</v>
      </c>
      <c r="Q193">
        <v>0</v>
      </c>
      <c r="R193">
        <v>0</v>
      </c>
    </row>
    <row r="194" spans="1:18" ht="16" x14ac:dyDescent="0.2">
      <c r="A194" s="127" t="s">
        <v>954</v>
      </c>
      <c r="B194" t="s">
        <v>126</v>
      </c>
      <c r="C194" t="s">
        <v>2196</v>
      </c>
      <c r="D194" t="s">
        <v>2197</v>
      </c>
      <c r="E194">
        <v>4</v>
      </c>
      <c r="F194">
        <v>4</v>
      </c>
      <c r="G194">
        <v>1</v>
      </c>
      <c r="H194">
        <v>8.0723601000164393</v>
      </c>
      <c r="I194" t="s">
        <v>957</v>
      </c>
      <c r="J194" t="s">
        <v>2198</v>
      </c>
      <c r="K194">
        <v>9.2857142857142902E-2</v>
      </c>
      <c r="L194" t="s">
        <v>959</v>
      </c>
      <c r="M194">
        <v>0.76335877862595403</v>
      </c>
      <c r="N194" t="s">
        <v>960</v>
      </c>
      <c r="O194">
        <v>0</v>
      </c>
      <c r="P194" t="s">
        <v>5018</v>
      </c>
      <c r="Q194">
        <v>0</v>
      </c>
      <c r="R194" t="s">
        <v>5019</v>
      </c>
    </row>
    <row r="195" spans="1:18" ht="16" x14ac:dyDescent="0.2">
      <c r="A195" s="127" t="s">
        <v>954</v>
      </c>
      <c r="B195" t="s">
        <v>126</v>
      </c>
      <c r="C195" t="s">
        <v>3467</v>
      </c>
      <c r="D195" t="s">
        <v>3468</v>
      </c>
      <c r="E195" t="s">
        <v>1039</v>
      </c>
      <c r="F195">
        <v>3</v>
      </c>
      <c r="G195">
        <v>2</v>
      </c>
      <c r="H195">
        <v>8.96015202573731</v>
      </c>
      <c r="I195" t="s">
        <v>957</v>
      </c>
      <c r="J195" t="s">
        <v>3469</v>
      </c>
      <c r="K195">
        <v>3.5714285714285698E-2</v>
      </c>
      <c r="L195" t="s">
        <v>959</v>
      </c>
      <c r="M195">
        <v>0.76335877862595403</v>
      </c>
      <c r="N195" t="s">
        <v>960</v>
      </c>
      <c r="O195">
        <v>0</v>
      </c>
      <c r="P195">
        <v>0</v>
      </c>
      <c r="Q195">
        <v>0</v>
      </c>
      <c r="R195">
        <v>0</v>
      </c>
    </row>
    <row r="196" spans="1:18" ht="16" x14ac:dyDescent="0.2">
      <c r="A196" s="127" t="s">
        <v>954</v>
      </c>
      <c r="B196" t="s">
        <v>126</v>
      </c>
      <c r="C196" t="s">
        <v>2937</v>
      </c>
      <c r="D196" t="s">
        <v>2938</v>
      </c>
      <c r="E196" t="s">
        <v>1425</v>
      </c>
      <c r="F196">
        <v>8</v>
      </c>
      <c r="G196">
        <v>2</v>
      </c>
      <c r="H196">
        <v>5.7789726151429299</v>
      </c>
      <c r="I196" t="s">
        <v>957</v>
      </c>
      <c r="J196" t="s">
        <v>3737</v>
      </c>
      <c r="K196">
        <v>0.16428571428571401</v>
      </c>
      <c r="L196" t="s">
        <v>959</v>
      </c>
      <c r="M196">
        <v>2.2900763358778602</v>
      </c>
      <c r="N196" t="s">
        <v>960</v>
      </c>
      <c r="O196">
        <v>0</v>
      </c>
      <c r="P196">
        <v>0</v>
      </c>
      <c r="Q196">
        <v>0</v>
      </c>
      <c r="R196">
        <v>0</v>
      </c>
    </row>
    <row r="197" spans="1:18" ht="16" x14ac:dyDescent="0.2">
      <c r="A197" s="127" t="s">
        <v>954</v>
      </c>
      <c r="B197" t="s">
        <v>126</v>
      </c>
      <c r="C197" t="s">
        <v>2416</v>
      </c>
      <c r="D197" t="s">
        <v>2417</v>
      </c>
      <c r="E197" t="s">
        <v>1022</v>
      </c>
      <c r="F197">
        <v>3</v>
      </c>
      <c r="G197">
        <v>2</v>
      </c>
      <c r="H197">
        <v>5.6490241964332499</v>
      </c>
      <c r="I197" t="s">
        <v>957</v>
      </c>
      <c r="J197" t="s">
        <v>3714</v>
      </c>
      <c r="K197">
        <v>0.107142857142857</v>
      </c>
      <c r="L197" t="s">
        <v>959</v>
      </c>
      <c r="M197">
        <v>2.2900763358778602</v>
      </c>
      <c r="N197" t="s">
        <v>960</v>
      </c>
      <c r="O197">
        <v>0</v>
      </c>
      <c r="P197">
        <v>0</v>
      </c>
      <c r="Q197">
        <v>0</v>
      </c>
      <c r="R197">
        <v>0</v>
      </c>
    </row>
    <row r="198" spans="1:18" ht="16" x14ac:dyDescent="0.2">
      <c r="A198" s="127" t="s">
        <v>954</v>
      </c>
      <c r="B198" t="s">
        <v>126</v>
      </c>
      <c r="C198" t="s">
        <v>3134</v>
      </c>
      <c r="D198" t="s">
        <v>3135</v>
      </c>
      <c r="E198" t="s">
        <v>1039</v>
      </c>
      <c r="F198">
        <v>3</v>
      </c>
      <c r="G198">
        <v>2</v>
      </c>
      <c r="H198">
        <v>7.8085586899303001</v>
      </c>
      <c r="I198" t="s">
        <v>957</v>
      </c>
      <c r="J198" t="s">
        <v>3136</v>
      </c>
      <c r="K198">
        <v>7.8571428571428598E-2</v>
      </c>
      <c r="L198" t="s">
        <v>959</v>
      </c>
      <c r="M198">
        <v>0.76335877862595403</v>
      </c>
      <c r="N198" t="s">
        <v>960</v>
      </c>
      <c r="O198">
        <v>0</v>
      </c>
      <c r="P198">
        <v>0</v>
      </c>
      <c r="Q198">
        <v>0</v>
      </c>
      <c r="R198">
        <v>0</v>
      </c>
    </row>
    <row r="199" spans="1:18" ht="16" x14ac:dyDescent="0.2">
      <c r="A199" s="127" t="s">
        <v>954</v>
      </c>
      <c r="B199" t="s">
        <v>126</v>
      </c>
      <c r="C199" t="s">
        <v>1283</v>
      </c>
      <c r="D199" t="s">
        <v>1284</v>
      </c>
      <c r="E199" t="s">
        <v>1022</v>
      </c>
      <c r="F199">
        <v>3</v>
      </c>
      <c r="G199">
        <v>2</v>
      </c>
      <c r="H199">
        <v>6.6336745098835497</v>
      </c>
      <c r="I199" t="s">
        <v>957</v>
      </c>
      <c r="J199" t="s">
        <v>1285</v>
      </c>
      <c r="K199">
        <v>0.1</v>
      </c>
      <c r="L199" t="s">
        <v>959</v>
      </c>
      <c r="M199">
        <v>0.76335877862595403</v>
      </c>
      <c r="N199" t="s">
        <v>960</v>
      </c>
      <c r="O199">
        <v>0</v>
      </c>
      <c r="P199">
        <v>0</v>
      </c>
      <c r="Q199">
        <v>0</v>
      </c>
      <c r="R199">
        <v>0</v>
      </c>
    </row>
    <row r="200" spans="1:18" ht="16" x14ac:dyDescent="0.2">
      <c r="A200" s="127" t="s">
        <v>954</v>
      </c>
      <c r="B200" t="s">
        <v>126</v>
      </c>
      <c r="C200" t="s">
        <v>2586</v>
      </c>
      <c r="D200" t="s">
        <v>2587</v>
      </c>
      <c r="E200" t="s">
        <v>1432</v>
      </c>
      <c r="F200">
        <v>6</v>
      </c>
      <c r="G200">
        <v>2</v>
      </c>
      <c r="H200">
        <v>3.8729833462074201</v>
      </c>
      <c r="I200" t="s">
        <v>957</v>
      </c>
      <c r="J200" t="s">
        <v>2588</v>
      </c>
      <c r="K200">
        <v>6.6666666666666693E-2</v>
      </c>
      <c r="L200" t="s">
        <v>1004</v>
      </c>
      <c r="M200">
        <v>0.76335877862595403</v>
      </c>
      <c r="N200" t="s">
        <v>1005</v>
      </c>
      <c r="O200">
        <v>0</v>
      </c>
      <c r="P200">
        <v>0</v>
      </c>
      <c r="Q200">
        <v>0</v>
      </c>
      <c r="R200">
        <v>0</v>
      </c>
    </row>
    <row r="201" spans="1:18" ht="16" x14ac:dyDescent="0.2">
      <c r="A201" s="127" t="s">
        <v>954</v>
      </c>
      <c r="B201" t="s">
        <v>126</v>
      </c>
      <c r="C201" t="s">
        <v>1107</v>
      </c>
      <c r="D201" t="s">
        <v>1108</v>
      </c>
      <c r="E201" t="s">
        <v>1052</v>
      </c>
      <c r="F201">
        <v>2</v>
      </c>
      <c r="G201">
        <v>2</v>
      </c>
      <c r="H201">
        <v>6.5320904449362098</v>
      </c>
      <c r="I201" t="s">
        <v>957</v>
      </c>
      <c r="J201" t="s">
        <v>1109</v>
      </c>
      <c r="K201">
        <v>7.8571428571428598E-2</v>
      </c>
      <c r="L201" t="s">
        <v>959</v>
      </c>
      <c r="M201">
        <v>0.76335877862595403</v>
      </c>
      <c r="N201" t="s">
        <v>960</v>
      </c>
      <c r="O201">
        <v>0</v>
      </c>
      <c r="P201">
        <v>0</v>
      </c>
      <c r="Q201">
        <v>0</v>
      </c>
      <c r="R201">
        <v>0</v>
      </c>
    </row>
    <row r="202" spans="1:18" ht="16" x14ac:dyDescent="0.2">
      <c r="A202" s="127" t="s">
        <v>954</v>
      </c>
      <c r="B202" t="s">
        <v>126</v>
      </c>
      <c r="C202" t="s">
        <v>3028</v>
      </c>
      <c r="D202" t="s">
        <v>3029</v>
      </c>
      <c r="E202" t="s">
        <v>1022</v>
      </c>
      <c r="F202">
        <v>3</v>
      </c>
      <c r="G202">
        <v>2</v>
      </c>
      <c r="H202">
        <v>11.246412354404701</v>
      </c>
      <c r="I202" t="s">
        <v>957</v>
      </c>
      <c r="J202" t="s">
        <v>3030</v>
      </c>
      <c r="K202">
        <v>1.4285714285714299E-2</v>
      </c>
      <c r="L202" t="s">
        <v>959</v>
      </c>
      <c r="M202">
        <v>0.76335877862595403</v>
      </c>
      <c r="N202" t="s">
        <v>960</v>
      </c>
      <c r="O202">
        <v>0</v>
      </c>
      <c r="P202">
        <v>0</v>
      </c>
      <c r="Q202">
        <v>0</v>
      </c>
      <c r="R202">
        <v>0</v>
      </c>
    </row>
    <row r="203" spans="1:18" ht="16" x14ac:dyDescent="0.2">
      <c r="A203" s="127" t="s">
        <v>954</v>
      </c>
      <c r="B203" t="s">
        <v>126</v>
      </c>
      <c r="C203" t="s">
        <v>1398</v>
      </c>
      <c r="D203" t="s">
        <v>1399</v>
      </c>
      <c r="E203" t="s">
        <v>1917</v>
      </c>
      <c r="F203">
        <v>5</v>
      </c>
      <c r="G203">
        <v>3</v>
      </c>
      <c r="H203">
        <v>5.1980332334987303</v>
      </c>
      <c r="I203" t="s">
        <v>957</v>
      </c>
      <c r="J203" t="s">
        <v>1918</v>
      </c>
      <c r="K203">
        <v>0.17857142857142899</v>
      </c>
      <c r="L203" t="s">
        <v>959</v>
      </c>
      <c r="M203">
        <v>1.5267175572519101</v>
      </c>
      <c r="N203" t="s">
        <v>982</v>
      </c>
      <c r="O203">
        <v>0</v>
      </c>
      <c r="P203">
        <v>0</v>
      </c>
      <c r="Q203">
        <v>0</v>
      </c>
      <c r="R203">
        <v>0</v>
      </c>
    </row>
    <row r="204" spans="1:18" ht="16" x14ac:dyDescent="0.2">
      <c r="A204" s="127" t="s">
        <v>954</v>
      </c>
      <c r="B204" t="s">
        <v>126</v>
      </c>
      <c r="C204" t="s">
        <v>3693</v>
      </c>
      <c r="D204" t="s">
        <v>3694</v>
      </c>
      <c r="E204" t="s">
        <v>3695</v>
      </c>
      <c r="F204">
        <v>21</v>
      </c>
      <c r="G204">
        <v>3</v>
      </c>
      <c r="H204">
        <v>11.2275665207999</v>
      </c>
      <c r="I204" t="s">
        <v>957</v>
      </c>
      <c r="J204" t="s">
        <v>3696</v>
      </c>
      <c r="K204">
        <v>8.5714285714285701E-2</v>
      </c>
      <c r="L204" t="s">
        <v>959</v>
      </c>
      <c r="M204">
        <v>0.76335877862595403</v>
      </c>
      <c r="N204" t="s">
        <v>960</v>
      </c>
      <c r="O204">
        <v>0</v>
      </c>
      <c r="P204">
        <v>0</v>
      </c>
      <c r="Q204">
        <v>0</v>
      </c>
      <c r="R204">
        <v>0</v>
      </c>
    </row>
    <row r="205" spans="1:18" ht="16" x14ac:dyDescent="0.2">
      <c r="A205" s="127" t="s">
        <v>954</v>
      </c>
      <c r="B205" t="s">
        <v>126</v>
      </c>
      <c r="C205" t="s">
        <v>3614</v>
      </c>
      <c r="D205" t="s">
        <v>3615</v>
      </c>
      <c r="E205" t="s">
        <v>1085</v>
      </c>
      <c r="F205">
        <v>5</v>
      </c>
      <c r="G205">
        <v>2</v>
      </c>
      <c r="H205">
        <v>11.8321595661992</v>
      </c>
      <c r="I205" t="s">
        <v>957</v>
      </c>
      <c r="J205" t="s">
        <v>3616</v>
      </c>
      <c r="K205">
        <v>7.14285714285714E-3</v>
      </c>
      <c r="L205" t="s">
        <v>959</v>
      </c>
      <c r="M205">
        <v>0.76335877862595403</v>
      </c>
      <c r="N205" t="s">
        <v>960</v>
      </c>
      <c r="O205">
        <v>0</v>
      </c>
      <c r="P205">
        <v>0</v>
      </c>
      <c r="Q205">
        <v>0</v>
      </c>
      <c r="R205">
        <v>0</v>
      </c>
    </row>
    <row r="206" spans="1:18" ht="16" x14ac:dyDescent="0.2">
      <c r="A206" s="127" t="s">
        <v>954</v>
      </c>
      <c r="B206" t="s">
        <v>126</v>
      </c>
      <c r="C206" t="s">
        <v>1179</v>
      </c>
      <c r="D206" t="s">
        <v>1180</v>
      </c>
      <c r="E206" t="s">
        <v>1181</v>
      </c>
      <c r="F206">
        <v>37</v>
      </c>
      <c r="G206">
        <v>4</v>
      </c>
      <c r="H206">
        <v>3.8729833462074201</v>
      </c>
      <c r="I206" t="s">
        <v>957</v>
      </c>
      <c r="J206" t="s">
        <v>1182</v>
      </c>
      <c r="K206" t="s">
        <v>1183</v>
      </c>
      <c r="L206" t="s">
        <v>1175</v>
      </c>
      <c r="M206">
        <v>1.5267175572519101</v>
      </c>
      <c r="N206" t="s">
        <v>982</v>
      </c>
      <c r="O206">
        <v>0</v>
      </c>
      <c r="P206" t="s">
        <v>5018</v>
      </c>
      <c r="Q206">
        <v>0</v>
      </c>
      <c r="R206">
        <v>0</v>
      </c>
    </row>
    <row r="207" spans="1:18" ht="16" x14ac:dyDescent="0.2">
      <c r="A207" s="127" t="s">
        <v>954</v>
      </c>
      <c r="B207" t="s">
        <v>126</v>
      </c>
      <c r="C207" t="s">
        <v>1271</v>
      </c>
      <c r="D207" t="s">
        <v>1272</v>
      </c>
      <c r="E207" t="s">
        <v>1039</v>
      </c>
      <c r="F207">
        <v>3</v>
      </c>
      <c r="G207">
        <v>2</v>
      </c>
      <c r="H207">
        <v>5.6509923927556303</v>
      </c>
      <c r="I207" t="s">
        <v>957</v>
      </c>
      <c r="J207" t="s">
        <v>3542</v>
      </c>
      <c r="K207">
        <v>0.1</v>
      </c>
      <c r="L207" t="s">
        <v>959</v>
      </c>
      <c r="M207">
        <v>1.5267175572519101</v>
      </c>
      <c r="N207" t="s">
        <v>960</v>
      </c>
      <c r="O207">
        <v>0</v>
      </c>
      <c r="P207">
        <v>0</v>
      </c>
      <c r="Q207">
        <v>0</v>
      </c>
      <c r="R207">
        <v>0</v>
      </c>
    </row>
    <row r="208" spans="1:18" ht="16" x14ac:dyDescent="0.2">
      <c r="A208" s="127" t="s">
        <v>954</v>
      </c>
      <c r="B208" t="s">
        <v>126</v>
      </c>
      <c r="C208" t="s">
        <v>1810</v>
      </c>
      <c r="D208" t="s">
        <v>1811</v>
      </c>
      <c r="E208" t="s">
        <v>1812</v>
      </c>
      <c r="F208">
        <v>13</v>
      </c>
      <c r="G208">
        <v>2</v>
      </c>
      <c r="H208">
        <v>7.1695931883458499</v>
      </c>
      <c r="I208" t="s">
        <v>957</v>
      </c>
      <c r="J208" t="s">
        <v>1813</v>
      </c>
      <c r="K208">
        <v>1.4285714285714299E-2</v>
      </c>
      <c r="L208" t="s">
        <v>959</v>
      </c>
      <c r="M208">
        <v>0.76335877862595403</v>
      </c>
      <c r="N208" t="s">
        <v>960</v>
      </c>
      <c r="O208">
        <v>0</v>
      </c>
      <c r="P208">
        <v>0</v>
      </c>
      <c r="Q208">
        <v>0</v>
      </c>
      <c r="R208" t="s">
        <v>5019</v>
      </c>
    </row>
    <row r="209" spans="1:18" ht="16" x14ac:dyDescent="0.2">
      <c r="A209" s="127" t="s">
        <v>954</v>
      </c>
      <c r="B209" t="s">
        <v>130</v>
      </c>
      <c r="C209" t="s">
        <v>142</v>
      </c>
      <c r="D209" t="s">
        <v>1342</v>
      </c>
      <c r="E209">
        <v>7</v>
      </c>
      <c r="F209">
        <v>7</v>
      </c>
      <c r="G209">
        <v>1</v>
      </c>
      <c r="H209">
        <v>8.41105224567265</v>
      </c>
      <c r="I209" t="s">
        <v>957</v>
      </c>
      <c r="J209" t="s">
        <v>1343</v>
      </c>
      <c r="K209">
        <v>2.8571428571428598E-2</v>
      </c>
      <c r="L209" t="s">
        <v>959</v>
      </c>
      <c r="M209">
        <v>0.76335877862595403</v>
      </c>
      <c r="N209" t="s">
        <v>960</v>
      </c>
      <c r="O209">
        <v>0</v>
      </c>
      <c r="P209">
        <v>0</v>
      </c>
      <c r="Q209">
        <v>0</v>
      </c>
      <c r="R209">
        <v>0</v>
      </c>
    </row>
    <row r="210" spans="1:18" ht="16" x14ac:dyDescent="0.2">
      <c r="A210" s="127" t="s">
        <v>954</v>
      </c>
      <c r="B210" t="s">
        <v>130</v>
      </c>
      <c r="C210" t="s">
        <v>154</v>
      </c>
      <c r="D210" t="s">
        <v>2081</v>
      </c>
      <c r="E210">
        <v>14</v>
      </c>
      <c r="F210">
        <v>14</v>
      </c>
      <c r="G210">
        <v>1</v>
      </c>
      <c r="H210">
        <v>11.8321595661992</v>
      </c>
      <c r="I210" t="s">
        <v>957</v>
      </c>
      <c r="J210" t="s">
        <v>2082</v>
      </c>
      <c r="K210">
        <v>7.14285714285714E-3</v>
      </c>
      <c r="L210" t="s">
        <v>959</v>
      </c>
      <c r="M210">
        <v>0.76335877862595403</v>
      </c>
      <c r="N210" t="s">
        <v>960</v>
      </c>
      <c r="O210">
        <v>0</v>
      </c>
      <c r="P210" t="s">
        <v>5018</v>
      </c>
      <c r="Q210">
        <v>0</v>
      </c>
      <c r="R210">
        <v>0</v>
      </c>
    </row>
    <row r="211" spans="1:18" ht="16" x14ac:dyDescent="0.2">
      <c r="A211" s="127" t="s">
        <v>954</v>
      </c>
      <c r="B211" t="s">
        <v>130</v>
      </c>
      <c r="C211" t="s">
        <v>2705</v>
      </c>
      <c r="D211" t="s">
        <v>2706</v>
      </c>
      <c r="E211" t="s">
        <v>2707</v>
      </c>
      <c r="F211">
        <v>28</v>
      </c>
      <c r="G211">
        <v>2</v>
      </c>
      <c r="H211">
        <v>3.86305611221557</v>
      </c>
      <c r="I211" t="s">
        <v>957</v>
      </c>
      <c r="J211" t="s">
        <v>2708</v>
      </c>
      <c r="K211">
        <v>0.266666666666667</v>
      </c>
      <c r="L211" t="s">
        <v>1004</v>
      </c>
      <c r="M211">
        <v>1.5267175572519101</v>
      </c>
      <c r="N211" t="s">
        <v>982</v>
      </c>
      <c r="O211">
        <v>0</v>
      </c>
      <c r="P211" t="s">
        <v>5018</v>
      </c>
      <c r="Q211">
        <v>0</v>
      </c>
      <c r="R211" t="s">
        <v>5019</v>
      </c>
    </row>
    <row r="212" spans="1:18" ht="16" x14ac:dyDescent="0.2">
      <c r="A212" s="127" t="s">
        <v>954</v>
      </c>
      <c r="B212" t="s">
        <v>130</v>
      </c>
      <c r="C212" t="s">
        <v>1371</v>
      </c>
      <c r="D212" t="s">
        <v>1372</v>
      </c>
      <c r="E212" t="s">
        <v>1373</v>
      </c>
      <c r="F212">
        <v>19</v>
      </c>
      <c r="G212">
        <v>3</v>
      </c>
      <c r="H212">
        <v>3.86717347302592</v>
      </c>
      <c r="I212" t="s">
        <v>957</v>
      </c>
      <c r="J212" t="s">
        <v>1374</v>
      </c>
      <c r="K212" t="s">
        <v>1375</v>
      </c>
      <c r="L212" t="s">
        <v>1175</v>
      </c>
      <c r="M212">
        <v>1.5267175572519101</v>
      </c>
      <c r="N212" t="s">
        <v>982</v>
      </c>
      <c r="O212">
        <v>0</v>
      </c>
      <c r="P212" t="s">
        <v>5018</v>
      </c>
      <c r="Q212">
        <v>0</v>
      </c>
      <c r="R212" t="s">
        <v>5019</v>
      </c>
    </row>
    <row r="213" spans="1:18" ht="16" x14ac:dyDescent="0.2">
      <c r="A213" s="127" t="s">
        <v>954</v>
      </c>
      <c r="B213" t="s">
        <v>130</v>
      </c>
      <c r="C213" t="s">
        <v>1914</v>
      </c>
      <c r="D213" t="s">
        <v>1915</v>
      </c>
      <c r="E213" t="s">
        <v>1002</v>
      </c>
      <c r="F213">
        <v>12</v>
      </c>
      <c r="G213">
        <v>2</v>
      </c>
      <c r="H213">
        <v>3.8689903418163998</v>
      </c>
      <c r="I213" t="s">
        <v>957</v>
      </c>
      <c r="J213" t="s">
        <v>1916</v>
      </c>
      <c r="K213">
        <v>0.2</v>
      </c>
      <c r="L213" t="s">
        <v>1004</v>
      </c>
      <c r="M213">
        <v>1.5267175572519101</v>
      </c>
      <c r="N213" t="s">
        <v>982</v>
      </c>
      <c r="O213">
        <v>0</v>
      </c>
      <c r="P213" t="s">
        <v>5018</v>
      </c>
      <c r="Q213">
        <v>0</v>
      </c>
      <c r="R213" t="s">
        <v>5019</v>
      </c>
    </row>
    <row r="214" spans="1:18" ht="16" x14ac:dyDescent="0.2">
      <c r="A214" s="127" t="s">
        <v>954</v>
      </c>
      <c r="B214" t="s">
        <v>130</v>
      </c>
      <c r="C214" t="s">
        <v>549</v>
      </c>
      <c r="D214" t="s">
        <v>1337</v>
      </c>
      <c r="E214">
        <v>4</v>
      </c>
      <c r="F214">
        <v>4</v>
      </c>
      <c r="G214">
        <v>1</v>
      </c>
      <c r="H214">
        <v>11.496926125918501</v>
      </c>
      <c r="I214" t="s">
        <v>957</v>
      </c>
      <c r="J214" t="s">
        <v>1338</v>
      </c>
      <c r="K214">
        <v>1.4285714285714299E-2</v>
      </c>
      <c r="L214" t="s">
        <v>959</v>
      </c>
      <c r="M214">
        <v>0.76335877862595403</v>
      </c>
      <c r="N214" t="s">
        <v>960</v>
      </c>
      <c r="O214">
        <v>0</v>
      </c>
      <c r="P214">
        <v>0</v>
      </c>
      <c r="Q214">
        <v>0</v>
      </c>
      <c r="R214">
        <v>0</v>
      </c>
    </row>
    <row r="215" spans="1:18" ht="16" x14ac:dyDescent="0.2">
      <c r="A215" s="127" t="s">
        <v>954</v>
      </c>
      <c r="B215" t="s">
        <v>134</v>
      </c>
      <c r="C215" t="s">
        <v>1581</v>
      </c>
      <c r="D215" t="s">
        <v>1582</v>
      </c>
      <c r="E215">
        <v>4</v>
      </c>
      <c r="F215">
        <v>4</v>
      </c>
      <c r="G215">
        <v>1</v>
      </c>
      <c r="H215">
        <v>4.9991313543056997</v>
      </c>
      <c r="I215" t="s">
        <v>957</v>
      </c>
      <c r="J215" t="s">
        <v>1583</v>
      </c>
      <c r="K215">
        <v>0.107142857142857</v>
      </c>
      <c r="L215" t="s">
        <v>959</v>
      </c>
      <c r="M215">
        <v>0.76335877862595403</v>
      </c>
      <c r="N215" t="s">
        <v>960</v>
      </c>
      <c r="O215">
        <v>0</v>
      </c>
      <c r="P215">
        <v>0</v>
      </c>
      <c r="Q215">
        <v>0</v>
      </c>
      <c r="R215">
        <v>0</v>
      </c>
    </row>
    <row r="216" spans="1:18" ht="16" x14ac:dyDescent="0.2">
      <c r="A216" s="127" t="s">
        <v>954</v>
      </c>
      <c r="B216" t="s">
        <v>134</v>
      </c>
      <c r="C216" t="s">
        <v>3272</v>
      </c>
      <c r="D216" t="s">
        <v>3498</v>
      </c>
      <c r="E216" t="s">
        <v>3499</v>
      </c>
      <c r="F216">
        <v>17</v>
      </c>
      <c r="G216">
        <v>2</v>
      </c>
      <c r="H216">
        <v>11.607954739743599</v>
      </c>
      <c r="I216" t="s">
        <v>957</v>
      </c>
      <c r="J216" t="s">
        <v>3500</v>
      </c>
      <c r="K216">
        <v>2.8571428571428598E-2</v>
      </c>
      <c r="L216" t="s">
        <v>959</v>
      </c>
      <c r="M216">
        <v>1.5267175572519101</v>
      </c>
      <c r="N216" t="s">
        <v>960</v>
      </c>
      <c r="O216">
        <v>0</v>
      </c>
      <c r="P216">
        <v>0</v>
      </c>
      <c r="Q216">
        <v>0</v>
      </c>
      <c r="R216">
        <v>0</v>
      </c>
    </row>
    <row r="217" spans="1:18" ht="16" x14ac:dyDescent="0.2">
      <c r="A217" s="127" t="s">
        <v>954</v>
      </c>
      <c r="B217" t="s">
        <v>134</v>
      </c>
      <c r="C217" t="s">
        <v>1203</v>
      </c>
      <c r="D217" t="s">
        <v>1204</v>
      </c>
      <c r="E217" t="s">
        <v>1205</v>
      </c>
      <c r="F217">
        <v>9</v>
      </c>
      <c r="G217">
        <v>2</v>
      </c>
      <c r="H217">
        <v>11.8321595661992</v>
      </c>
      <c r="I217" t="s">
        <v>957</v>
      </c>
      <c r="J217" t="s">
        <v>1206</v>
      </c>
      <c r="K217">
        <v>7.14285714285714E-3</v>
      </c>
      <c r="L217" t="s">
        <v>959</v>
      </c>
      <c r="M217">
        <v>1.5267175572519101</v>
      </c>
      <c r="N217" t="s">
        <v>960</v>
      </c>
      <c r="O217">
        <v>0</v>
      </c>
      <c r="P217">
        <v>0</v>
      </c>
      <c r="Q217">
        <v>0</v>
      </c>
      <c r="R217">
        <v>0</v>
      </c>
    </row>
    <row r="218" spans="1:18" ht="16" x14ac:dyDescent="0.2">
      <c r="A218" s="127" t="s">
        <v>954</v>
      </c>
      <c r="B218" t="s">
        <v>134</v>
      </c>
      <c r="C218" t="s">
        <v>1329</v>
      </c>
      <c r="D218" t="s">
        <v>1330</v>
      </c>
      <c r="E218" t="s">
        <v>985</v>
      </c>
      <c r="F218">
        <v>7</v>
      </c>
      <c r="G218">
        <v>2</v>
      </c>
      <c r="H218">
        <v>5.3841427293695201</v>
      </c>
      <c r="I218" t="s">
        <v>957</v>
      </c>
      <c r="J218" t="s">
        <v>2331</v>
      </c>
      <c r="K218">
        <v>0.14285714285714299</v>
      </c>
      <c r="L218" t="s">
        <v>959</v>
      </c>
      <c r="M218">
        <v>2.2900763358778602</v>
      </c>
      <c r="N218" t="s">
        <v>960</v>
      </c>
      <c r="O218">
        <v>0</v>
      </c>
      <c r="P218">
        <v>0</v>
      </c>
      <c r="Q218">
        <v>0</v>
      </c>
      <c r="R218">
        <v>0</v>
      </c>
    </row>
    <row r="219" spans="1:18" ht="16" x14ac:dyDescent="0.2">
      <c r="A219" s="127" t="s">
        <v>954</v>
      </c>
      <c r="B219" t="s">
        <v>134</v>
      </c>
      <c r="C219" t="s">
        <v>1814</v>
      </c>
      <c r="D219" t="s">
        <v>1815</v>
      </c>
      <c r="E219">
        <v>3</v>
      </c>
      <c r="F219">
        <v>3</v>
      </c>
      <c r="G219">
        <v>1</v>
      </c>
      <c r="H219">
        <v>4.6352695468095897</v>
      </c>
      <c r="I219" t="s">
        <v>957</v>
      </c>
      <c r="J219" t="s">
        <v>2612</v>
      </c>
      <c r="K219">
        <v>0.157142857142857</v>
      </c>
      <c r="L219" t="s">
        <v>959</v>
      </c>
      <c r="M219">
        <v>2.2900763358778602</v>
      </c>
      <c r="N219" t="s">
        <v>960</v>
      </c>
      <c r="O219">
        <v>0</v>
      </c>
      <c r="P219">
        <v>0</v>
      </c>
      <c r="Q219">
        <v>0</v>
      </c>
      <c r="R219">
        <v>0</v>
      </c>
    </row>
    <row r="220" spans="1:18" ht="16" x14ac:dyDescent="0.2">
      <c r="A220" s="127" t="s">
        <v>954</v>
      </c>
      <c r="B220" t="s">
        <v>134</v>
      </c>
      <c r="C220" t="s">
        <v>1518</v>
      </c>
      <c r="D220" t="s">
        <v>1519</v>
      </c>
      <c r="E220">
        <v>11</v>
      </c>
      <c r="F220">
        <v>11</v>
      </c>
      <c r="G220">
        <v>1</v>
      </c>
      <c r="H220">
        <v>5.1201792636268797</v>
      </c>
      <c r="I220" t="s">
        <v>957</v>
      </c>
      <c r="J220" t="s">
        <v>2265</v>
      </c>
      <c r="K220">
        <v>0.107142857142857</v>
      </c>
      <c r="L220" t="s">
        <v>959</v>
      </c>
      <c r="M220">
        <v>3.0534351145038201</v>
      </c>
      <c r="N220" t="s">
        <v>960</v>
      </c>
      <c r="O220">
        <v>0</v>
      </c>
      <c r="P220">
        <v>0</v>
      </c>
      <c r="Q220">
        <v>0</v>
      </c>
      <c r="R220">
        <v>0</v>
      </c>
    </row>
    <row r="221" spans="1:18" ht="16" x14ac:dyDescent="0.2">
      <c r="A221" s="127" t="s">
        <v>954</v>
      </c>
      <c r="B221" t="s">
        <v>134</v>
      </c>
      <c r="C221" t="s">
        <v>2940</v>
      </c>
      <c r="D221" t="s">
        <v>2941</v>
      </c>
      <c r="E221">
        <v>3</v>
      </c>
      <c r="F221">
        <v>3</v>
      </c>
      <c r="G221">
        <v>1</v>
      </c>
      <c r="H221">
        <v>6.2135956290841898</v>
      </c>
      <c r="I221" t="s">
        <v>957</v>
      </c>
      <c r="J221" t="s">
        <v>3663</v>
      </c>
      <c r="K221">
        <v>0.05</v>
      </c>
      <c r="L221" t="s">
        <v>959</v>
      </c>
      <c r="M221">
        <v>1.5267175572519101</v>
      </c>
      <c r="N221" t="s">
        <v>960</v>
      </c>
      <c r="O221">
        <v>0</v>
      </c>
      <c r="P221">
        <v>0</v>
      </c>
      <c r="Q221">
        <v>0</v>
      </c>
      <c r="R221">
        <v>0</v>
      </c>
    </row>
    <row r="222" spans="1:18" ht="16" x14ac:dyDescent="0.2">
      <c r="A222" s="127" t="s">
        <v>954</v>
      </c>
      <c r="B222" t="s">
        <v>134</v>
      </c>
      <c r="C222" t="s">
        <v>1406</v>
      </c>
      <c r="D222" t="s">
        <v>1407</v>
      </c>
      <c r="E222">
        <v>5</v>
      </c>
      <c r="F222">
        <v>5</v>
      </c>
      <c r="G222">
        <v>1</v>
      </c>
      <c r="H222">
        <v>5.44980452396966</v>
      </c>
      <c r="I222" t="s">
        <v>957</v>
      </c>
      <c r="J222" t="s">
        <v>2897</v>
      </c>
      <c r="K222">
        <v>4.2857142857142899E-2</v>
      </c>
      <c r="L222" t="s">
        <v>959</v>
      </c>
      <c r="M222">
        <v>2.2900763358778602</v>
      </c>
      <c r="N222" t="s">
        <v>960</v>
      </c>
      <c r="O222">
        <v>0</v>
      </c>
      <c r="P222">
        <v>0</v>
      </c>
      <c r="Q222">
        <v>0</v>
      </c>
      <c r="R222">
        <v>0</v>
      </c>
    </row>
    <row r="223" spans="1:18" ht="16" x14ac:dyDescent="0.2">
      <c r="A223" s="127" t="s">
        <v>954</v>
      </c>
      <c r="B223" t="s">
        <v>138</v>
      </c>
      <c r="C223" t="s">
        <v>1228</v>
      </c>
      <c r="D223" t="s">
        <v>1229</v>
      </c>
      <c r="E223" t="s">
        <v>1230</v>
      </c>
      <c r="F223">
        <v>4</v>
      </c>
      <c r="G223">
        <v>2</v>
      </c>
      <c r="H223">
        <v>11.8321595661992</v>
      </c>
      <c r="I223" t="s">
        <v>957</v>
      </c>
      <c r="J223" t="s">
        <v>1231</v>
      </c>
      <c r="K223">
        <v>7.14285714285714E-3</v>
      </c>
      <c r="L223" t="s">
        <v>959</v>
      </c>
      <c r="M223">
        <v>0.76335877862595403</v>
      </c>
      <c r="N223" t="s">
        <v>960</v>
      </c>
      <c r="O223">
        <v>0</v>
      </c>
      <c r="P223" t="s">
        <v>5018</v>
      </c>
      <c r="Q223">
        <v>0</v>
      </c>
      <c r="R223">
        <v>0</v>
      </c>
    </row>
    <row r="224" spans="1:18" ht="16" x14ac:dyDescent="0.2">
      <c r="A224" s="127" t="s">
        <v>954</v>
      </c>
      <c r="B224" t="s">
        <v>138</v>
      </c>
      <c r="C224" t="s">
        <v>53</v>
      </c>
      <c r="D224" t="s">
        <v>1758</v>
      </c>
      <c r="E224">
        <v>28</v>
      </c>
      <c r="F224">
        <v>28</v>
      </c>
      <c r="G224">
        <v>1</v>
      </c>
      <c r="H224">
        <v>11.763806962680199</v>
      </c>
      <c r="I224" t="s">
        <v>957</v>
      </c>
      <c r="J224" t="s">
        <v>1759</v>
      </c>
      <c r="K224">
        <v>4.2857142857142899E-2</v>
      </c>
      <c r="L224" t="s">
        <v>959</v>
      </c>
      <c r="M224">
        <v>0.76335877862595403</v>
      </c>
      <c r="N224" t="s">
        <v>960</v>
      </c>
      <c r="O224">
        <v>0</v>
      </c>
      <c r="P224">
        <v>0</v>
      </c>
      <c r="Q224">
        <v>0</v>
      </c>
      <c r="R224">
        <v>0</v>
      </c>
    </row>
    <row r="225" spans="1:18" ht="16" x14ac:dyDescent="0.2">
      <c r="A225" s="127" t="s">
        <v>954</v>
      </c>
      <c r="B225" t="s">
        <v>138</v>
      </c>
      <c r="C225" t="s">
        <v>2088</v>
      </c>
      <c r="D225" t="s">
        <v>2089</v>
      </c>
      <c r="E225">
        <v>5</v>
      </c>
      <c r="F225">
        <v>5</v>
      </c>
      <c r="G225">
        <v>1</v>
      </c>
      <c r="H225">
        <v>5.0762762729195599</v>
      </c>
      <c r="I225" t="s">
        <v>957</v>
      </c>
      <c r="J225" t="s">
        <v>2090</v>
      </c>
      <c r="K225">
        <v>7.8571428571428598E-2</v>
      </c>
      <c r="L225" t="s">
        <v>959</v>
      </c>
      <c r="M225">
        <v>1.5267175572519101</v>
      </c>
      <c r="N225" t="s">
        <v>960</v>
      </c>
      <c r="O225">
        <v>0</v>
      </c>
      <c r="P225">
        <v>0</v>
      </c>
      <c r="Q225">
        <v>0</v>
      </c>
      <c r="R225">
        <v>0</v>
      </c>
    </row>
    <row r="226" spans="1:18" ht="16" x14ac:dyDescent="0.2">
      <c r="A226" s="127" t="s">
        <v>954</v>
      </c>
      <c r="B226" t="s">
        <v>138</v>
      </c>
      <c r="C226" t="s">
        <v>2303</v>
      </c>
      <c r="D226" t="s">
        <v>2304</v>
      </c>
      <c r="E226">
        <v>3</v>
      </c>
      <c r="F226">
        <v>3</v>
      </c>
      <c r="G226">
        <v>1</v>
      </c>
      <c r="H226">
        <v>4.79081123750065</v>
      </c>
      <c r="I226" t="s">
        <v>957</v>
      </c>
      <c r="J226" t="s">
        <v>2305</v>
      </c>
      <c r="K226">
        <v>0.15</v>
      </c>
      <c r="L226" t="s">
        <v>959</v>
      </c>
      <c r="M226">
        <v>1.5267175572519101</v>
      </c>
      <c r="N226" t="s">
        <v>960</v>
      </c>
      <c r="O226">
        <v>0</v>
      </c>
      <c r="P226">
        <v>0</v>
      </c>
      <c r="Q226">
        <v>0</v>
      </c>
      <c r="R226">
        <v>0</v>
      </c>
    </row>
    <row r="227" spans="1:18" ht="16" x14ac:dyDescent="0.2">
      <c r="A227" s="127" t="s">
        <v>954</v>
      </c>
      <c r="B227" t="s">
        <v>138</v>
      </c>
      <c r="C227" t="s">
        <v>1547</v>
      </c>
      <c r="D227" t="s">
        <v>1548</v>
      </c>
      <c r="E227">
        <v>19</v>
      </c>
      <c r="F227">
        <v>19</v>
      </c>
      <c r="G227">
        <v>1</v>
      </c>
      <c r="H227">
        <v>5.37837711602171</v>
      </c>
      <c r="I227" t="s">
        <v>957</v>
      </c>
      <c r="J227" t="s">
        <v>3648</v>
      </c>
      <c r="K227">
        <v>5.7142857142857099E-2</v>
      </c>
      <c r="L227" t="s">
        <v>959</v>
      </c>
      <c r="M227">
        <v>1.5267175572519101</v>
      </c>
      <c r="N227" t="s">
        <v>960</v>
      </c>
      <c r="O227">
        <v>0</v>
      </c>
      <c r="P227">
        <v>0</v>
      </c>
      <c r="Q227">
        <v>0</v>
      </c>
      <c r="R227">
        <v>0</v>
      </c>
    </row>
    <row r="228" spans="1:18" ht="16" x14ac:dyDescent="0.2">
      <c r="A228" s="127" t="s">
        <v>954</v>
      </c>
      <c r="B228" t="s">
        <v>138</v>
      </c>
      <c r="C228" t="s">
        <v>1574</v>
      </c>
      <c r="D228" t="s">
        <v>1575</v>
      </c>
      <c r="E228">
        <v>3</v>
      </c>
      <c r="F228">
        <v>3</v>
      </c>
      <c r="G228">
        <v>1</v>
      </c>
      <c r="H228">
        <v>6.1351988526564298</v>
      </c>
      <c r="I228" t="s">
        <v>957</v>
      </c>
      <c r="J228" t="s">
        <v>3687</v>
      </c>
      <c r="K228">
        <v>5.7142857142857099E-2</v>
      </c>
      <c r="L228" t="s">
        <v>959</v>
      </c>
      <c r="M228">
        <v>1.5267175572519101</v>
      </c>
      <c r="N228" t="s">
        <v>960</v>
      </c>
      <c r="O228">
        <v>0</v>
      </c>
      <c r="P228">
        <v>0</v>
      </c>
      <c r="Q228">
        <v>0</v>
      </c>
      <c r="R228">
        <v>0</v>
      </c>
    </row>
    <row r="229" spans="1:18" ht="16" x14ac:dyDescent="0.2">
      <c r="A229" s="127" t="s">
        <v>954</v>
      </c>
      <c r="B229" t="s">
        <v>138</v>
      </c>
      <c r="C229" t="s">
        <v>1818</v>
      </c>
      <c r="D229" t="s">
        <v>1819</v>
      </c>
      <c r="E229" t="s">
        <v>1820</v>
      </c>
      <c r="F229">
        <v>10</v>
      </c>
      <c r="G229">
        <v>3</v>
      </c>
      <c r="H229">
        <v>10.222680492218499</v>
      </c>
      <c r="I229" t="s">
        <v>957</v>
      </c>
      <c r="J229" t="s">
        <v>1821</v>
      </c>
      <c r="K229">
        <v>2.1428571428571401E-2</v>
      </c>
      <c r="L229" t="s">
        <v>959</v>
      </c>
      <c r="M229">
        <v>1.5267175572519101</v>
      </c>
      <c r="N229" t="s">
        <v>960</v>
      </c>
      <c r="O229">
        <v>0</v>
      </c>
      <c r="P229">
        <v>0</v>
      </c>
      <c r="Q229">
        <v>0</v>
      </c>
      <c r="R229">
        <v>0</v>
      </c>
    </row>
    <row r="230" spans="1:18" ht="16" x14ac:dyDescent="0.2">
      <c r="A230" s="127" t="s">
        <v>954</v>
      </c>
      <c r="B230" t="s">
        <v>138</v>
      </c>
      <c r="C230" t="s">
        <v>1127</v>
      </c>
      <c r="D230" t="s">
        <v>1128</v>
      </c>
      <c r="E230">
        <v>9</v>
      </c>
      <c r="F230">
        <v>9</v>
      </c>
      <c r="G230">
        <v>1</v>
      </c>
      <c r="H230">
        <v>6.6394160838006098</v>
      </c>
      <c r="I230" t="s">
        <v>957</v>
      </c>
      <c r="J230" t="s">
        <v>3586</v>
      </c>
      <c r="K230">
        <v>6.4285714285714293E-2</v>
      </c>
      <c r="L230" t="s">
        <v>959</v>
      </c>
      <c r="M230">
        <v>1.5267175572519101</v>
      </c>
      <c r="N230" t="s">
        <v>960</v>
      </c>
      <c r="O230">
        <v>0</v>
      </c>
      <c r="P230">
        <v>0</v>
      </c>
      <c r="Q230">
        <v>0</v>
      </c>
      <c r="R230">
        <v>0</v>
      </c>
    </row>
    <row r="231" spans="1:18" ht="16" x14ac:dyDescent="0.2">
      <c r="A231" s="127" t="s">
        <v>954</v>
      </c>
      <c r="B231" t="s">
        <v>138</v>
      </c>
      <c r="C231" t="s">
        <v>2622</v>
      </c>
      <c r="D231" t="s">
        <v>2623</v>
      </c>
      <c r="E231" t="s">
        <v>1974</v>
      </c>
      <c r="F231">
        <v>5</v>
      </c>
      <c r="G231">
        <v>2</v>
      </c>
      <c r="H231">
        <v>10.1606130153233</v>
      </c>
      <c r="I231" t="s">
        <v>957</v>
      </c>
      <c r="J231" t="s">
        <v>2624</v>
      </c>
      <c r="K231">
        <v>5.7142857142857099E-2</v>
      </c>
      <c r="L231" t="s">
        <v>959</v>
      </c>
      <c r="M231">
        <v>0.76335877862595403</v>
      </c>
      <c r="N231" t="s">
        <v>960</v>
      </c>
      <c r="O231">
        <v>0</v>
      </c>
      <c r="P231">
        <v>0</v>
      </c>
      <c r="Q231">
        <v>0</v>
      </c>
      <c r="R231">
        <v>0</v>
      </c>
    </row>
    <row r="232" spans="1:18" ht="16" x14ac:dyDescent="0.2">
      <c r="A232" s="127" t="s">
        <v>954</v>
      </c>
      <c r="B232" t="s">
        <v>138</v>
      </c>
      <c r="C232" t="s">
        <v>1673</v>
      </c>
      <c r="D232" t="s">
        <v>1674</v>
      </c>
      <c r="E232" t="s">
        <v>1675</v>
      </c>
      <c r="F232">
        <v>37</v>
      </c>
      <c r="G232">
        <v>5</v>
      </c>
      <c r="H232">
        <v>11.079028612052801</v>
      </c>
      <c r="I232" t="s">
        <v>957</v>
      </c>
      <c r="J232" t="s">
        <v>1676</v>
      </c>
      <c r="K232">
        <v>2.1428571428571401E-2</v>
      </c>
      <c r="L232" t="s">
        <v>959</v>
      </c>
      <c r="M232">
        <v>0.76335877862595403</v>
      </c>
      <c r="N232" t="s">
        <v>960</v>
      </c>
      <c r="O232">
        <v>0</v>
      </c>
      <c r="P232">
        <v>0</v>
      </c>
      <c r="Q232">
        <v>0</v>
      </c>
      <c r="R232">
        <v>0</v>
      </c>
    </row>
    <row r="233" spans="1:18" ht="16" x14ac:dyDescent="0.2">
      <c r="A233" s="127" t="s">
        <v>954</v>
      </c>
      <c r="B233" t="s">
        <v>138</v>
      </c>
      <c r="C233" t="s">
        <v>1802</v>
      </c>
      <c r="D233" t="s">
        <v>1803</v>
      </c>
      <c r="E233">
        <v>9</v>
      </c>
      <c r="F233">
        <v>9</v>
      </c>
      <c r="G233">
        <v>1</v>
      </c>
      <c r="H233">
        <v>8.0801984444083708</v>
      </c>
      <c r="I233" t="s">
        <v>957</v>
      </c>
      <c r="J233" t="s">
        <v>3052</v>
      </c>
      <c r="K233">
        <v>0.1</v>
      </c>
      <c r="L233" t="s">
        <v>959</v>
      </c>
      <c r="M233">
        <v>1.5267175572519101</v>
      </c>
      <c r="N233" t="s">
        <v>960</v>
      </c>
      <c r="O233">
        <v>0</v>
      </c>
      <c r="P233">
        <v>0</v>
      </c>
      <c r="Q233">
        <v>0</v>
      </c>
      <c r="R233">
        <v>0</v>
      </c>
    </row>
    <row r="234" spans="1:18" ht="16" x14ac:dyDescent="0.2">
      <c r="A234" s="127" t="s">
        <v>954</v>
      </c>
      <c r="B234" t="s">
        <v>138</v>
      </c>
      <c r="C234" t="s">
        <v>1561</v>
      </c>
      <c r="D234" t="s">
        <v>1562</v>
      </c>
      <c r="E234">
        <v>5</v>
      </c>
      <c r="F234">
        <v>5</v>
      </c>
      <c r="G234">
        <v>1</v>
      </c>
      <c r="H234">
        <v>7.0512715241668902</v>
      </c>
      <c r="I234" t="s">
        <v>957</v>
      </c>
      <c r="J234" t="s">
        <v>2065</v>
      </c>
      <c r="K234">
        <v>0.05</v>
      </c>
      <c r="L234" t="s">
        <v>959</v>
      </c>
      <c r="M234">
        <v>3.0534351145038201</v>
      </c>
      <c r="N234" t="s">
        <v>960</v>
      </c>
      <c r="O234">
        <v>0</v>
      </c>
      <c r="P234">
        <v>0</v>
      </c>
      <c r="Q234">
        <v>0</v>
      </c>
      <c r="R234">
        <v>0</v>
      </c>
    </row>
    <row r="235" spans="1:18" ht="16" x14ac:dyDescent="0.2">
      <c r="A235" s="127" t="s">
        <v>954</v>
      </c>
      <c r="B235" t="s">
        <v>138</v>
      </c>
      <c r="C235" s="128" t="s">
        <v>1906</v>
      </c>
      <c r="D235" t="s">
        <v>1907</v>
      </c>
      <c r="E235">
        <v>5</v>
      </c>
      <c r="F235">
        <v>5</v>
      </c>
      <c r="G235">
        <v>1</v>
      </c>
      <c r="H235">
        <v>6.7251130295926203</v>
      </c>
      <c r="I235" t="s">
        <v>957</v>
      </c>
      <c r="J235" t="s">
        <v>2158</v>
      </c>
      <c r="K235">
        <v>9.2857142857142902E-2</v>
      </c>
      <c r="L235" t="s">
        <v>959</v>
      </c>
      <c r="M235">
        <v>1.5267175572519101</v>
      </c>
      <c r="N235" s="128" t="s">
        <v>960</v>
      </c>
      <c r="O235">
        <v>0</v>
      </c>
      <c r="P235">
        <v>0</v>
      </c>
      <c r="Q235">
        <v>0</v>
      </c>
      <c r="R235">
        <v>0</v>
      </c>
    </row>
    <row r="236" spans="1:18" ht="16" x14ac:dyDescent="0.2">
      <c r="A236" s="127" t="s">
        <v>954</v>
      </c>
      <c r="B236" t="s">
        <v>138</v>
      </c>
      <c r="C236" t="s">
        <v>3618</v>
      </c>
      <c r="D236" t="s">
        <v>3619</v>
      </c>
      <c r="E236">
        <v>3</v>
      </c>
      <c r="F236">
        <v>3</v>
      </c>
      <c r="G236">
        <v>1</v>
      </c>
      <c r="H236">
        <v>6.6360846504643298</v>
      </c>
      <c r="I236" t="s">
        <v>957</v>
      </c>
      <c r="J236" t="s">
        <v>3620</v>
      </c>
      <c r="K236">
        <v>7.1428571428571397E-2</v>
      </c>
      <c r="L236" t="s">
        <v>959</v>
      </c>
      <c r="M236">
        <v>0.76335877862595403</v>
      </c>
      <c r="N236" t="s">
        <v>960</v>
      </c>
      <c r="O236">
        <v>0</v>
      </c>
      <c r="P236" t="s">
        <v>5018</v>
      </c>
      <c r="Q236">
        <v>0</v>
      </c>
      <c r="R236">
        <v>0</v>
      </c>
    </row>
    <row r="237" spans="1:18" ht="16" x14ac:dyDescent="0.2">
      <c r="A237" s="127" t="s">
        <v>954</v>
      </c>
      <c r="B237" t="s">
        <v>138</v>
      </c>
      <c r="C237" t="s">
        <v>2117</v>
      </c>
      <c r="D237" t="s">
        <v>2118</v>
      </c>
      <c r="E237">
        <v>3</v>
      </c>
      <c r="F237">
        <v>3</v>
      </c>
      <c r="G237">
        <v>1</v>
      </c>
      <c r="H237">
        <v>5.3704739518712596</v>
      </c>
      <c r="I237" t="s">
        <v>957</v>
      </c>
      <c r="J237" t="s">
        <v>2119</v>
      </c>
      <c r="K237">
        <v>4.2857142857142899E-2</v>
      </c>
      <c r="L237" t="s">
        <v>959</v>
      </c>
      <c r="M237">
        <v>0.76335877862595403</v>
      </c>
      <c r="N237" t="s">
        <v>960</v>
      </c>
      <c r="O237">
        <v>0</v>
      </c>
      <c r="P237">
        <v>0</v>
      </c>
      <c r="Q237">
        <v>0</v>
      </c>
      <c r="R237">
        <v>0</v>
      </c>
    </row>
    <row r="238" spans="1:18" ht="16" x14ac:dyDescent="0.2">
      <c r="A238" s="127" t="s">
        <v>954</v>
      </c>
      <c r="B238" t="s">
        <v>138</v>
      </c>
      <c r="C238" t="s">
        <v>1683</v>
      </c>
      <c r="D238" t="s">
        <v>1684</v>
      </c>
      <c r="E238">
        <v>3</v>
      </c>
      <c r="F238">
        <v>3</v>
      </c>
      <c r="G238">
        <v>1</v>
      </c>
      <c r="H238">
        <v>4.7935521355778299</v>
      </c>
      <c r="I238" t="s">
        <v>957</v>
      </c>
      <c r="J238" t="s">
        <v>1685</v>
      </c>
      <c r="K238">
        <v>2.8571428571428598E-2</v>
      </c>
      <c r="L238" t="s">
        <v>959</v>
      </c>
      <c r="M238">
        <v>2.2900763358778602</v>
      </c>
      <c r="N238" t="s">
        <v>960</v>
      </c>
      <c r="O238">
        <v>0</v>
      </c>
      <c r="P238">
        <v>0</v>
      </c>
      <c r="Q238">
        <v>0</v>
      </c>
      <c r="R238">
        <v>0</v>
      </c>
    </row>
    <row r="239" spans="1:18" ht="16" x14ac:dyDescent="0.2">
      <c r="A239" s="127" t="s">
        <v>954</v>
      </c>
      <c r="B239" t="s">
        <v>138</v>
      </c>
      <c r="C239" t="s">
        <v>1472</v>
      </c>
      <c r="D239" t="s">
        <v>1473</v>
      </c>
      <c r="E239" t="s">
        <v>1474</v>
      </c>
      <c r="F239">
        <v>27</v>
      </c>
      <c r="G239">
        <v>5</v>
      </c>
      <c r="H239">
        <v>11.8321595661992</v>
      </c>
      <c r="I239" t="s">
        <v>957</v>
      </c>
      <c r="J239" t="s">
        <v>1475</v>
      </c>
      <c r="K239">
        <v>7.14285714285714E-3</v>
      </c>
      <c r="L239" t="s">
        <v>959</v>
      </c>
      <c r="M239">
        <v>0.76335877862595403</v>
      </c>
      <c r="N239" t="s">
        <v>960</v>
      </c>
      <c r="O239">
        <v>0</v>
      </c>
      <c r="P239" t="s">
        <v>5018</v>
      </c>
      <c r="Q239">
        <v>0</v>
      </c>
      <c r="R239">
        <v>0</v>
      </c>
    </row>
    <row r="240" spans="1:18" ht="16" x14ac:dyDescent="0.2">
      <c r="A240" s="127" t="s">
        <v>954</v>
      </c>
      <c r="B240" t="s">
        <v>138</v>
      </c>
      <c r="C240" t="s">
        <v>1274</v>
      </c>
      <c r="D240" t="s">
        <v>1275</v>
      </c>
      <c r="E240" t="s">
        <v>1022</v>
      </c>
      <c r="F240">
        <v>3</v>
      </c>
      <c r="G240">
        <v>2</v>
      </c>
      <c r="H240">
        <v>7.7711889909065999</v>
      </c>
      <c r="I240" t="s">
        <v>957</v>
      </c>
      <c r="J240" t="s">
        <v>1276</v>
      </c>
      <c r="K240">
        <v>4.2857142857142899E-2</v>
      </c>
      <c r="L240" t="s">
        <v>959</v>
      </c>
      <c r="M240">
        <v>1.5267175572519101</v>
      </c>
      <c r="N240" t="s">
        <v>960</v>
      </c>
      <c r="O240">
        <v>0</v>
      </c>
      <c r="P240">
        <v>0</v>
      </c>
      <c r="Q240">
        <v>0</v>
      </c>
      <c r="R240">
        <v>0</v>
      </c>
    </row>
    <row r="241" spans="1:18" ht="16" x14ac:dyDescent="0.2">
      <c r="A241" s="127" t="s">
        <v>954</v>
      </c>
      <c r="B241" t="s">
        <v>138</v>
      </c>
      <c r="C241" t="s">
        <v>2008</v>
      </c>
      <c r="D241" t="s">
        <v>2009</v>
      </c>
      <c r="E241" t="s">
        <v>2010</v>
      </c>
      <c r="F241">
        <v>52</v>
      </c>
      <c r="G241">
        <v>8</v>
      </c>
      <c r="H241">
        <v>11.827462690419299</v>
      </c>
      <c r="I241" t="s">
        <v>957</v>
      </c>
      <c r="J241" t="s">
        <v>2011</v>
      </c>
      <c r="K241">
        <v>2.1428571428571401E-2</v>
      </c>
      <c r="L241" t="s">
        <v>959</v>
      </c>
      <c r="M241">
        <v>0.76335877862595403</v>
      </c>
      <c r="N241" t="s">
        <v>960</v>
      </c>
      <c r="O241">
        <v>0</v>
      </c>
      <c r="P241">
        <v>0</v>
      </c>
      <c r="Q241">
        <v>0</v>
      </c>
      <c r="R241">
        <v>0</v>
      </c>
    </row>
    <row r="242" spans="1:18" ht="16" x14ac:dyDescent="0.2">
      <c r="A242" s="127" t="s">
        <v>954</v>
      </c>
      <c r="B242" t="s">
        <v>138</v>
      </c>
      <c r="C242" t="s">
        <v>1358</v>
      </c>
      <c r="D242" t="s">
        <v>1359</v>
      </c>
      <c r="E242" t="s">
        <v>1360</v>
      </c>
      <c r="F242">
        <v>42</v>
      </c>
      <c r="G242">
        <v>5</v>
      </c>
      <c r="H242">
        <v>11.82873089181</v>
      </c>
      <c r="I242" t="s">
        <v>957</v>
      </c>
      <c r="J242" t="s">
        <v>1361</v>
      </c>
      <c r="K242">
        <v>2.1428571428571401E-2</v>
      </c>
      <c r="L242" t="s">
        <v>959</v>
      </c>
      <c r="M242">
        <v>1.5267175572519101</v>
      </c>
      <c r="N242" t="s">
        <v>960</v>
      </c>
      <c r="O242">
        <v>0</v>
      </c>
      <c r="P242">
        <v>0</v>
      </c>
      <c r="Q242">
        <v>0</v>
      </c>
      <c r="R242">
        <v>0</v>
      </c>
    </row>
    <row r="243" spans="1:18" ht="16" x14ac:dyDescent="0.2">
      <c r="A243" s="127" t="s">
        <v>954</v>
      </c>
      <c r="B243" t="s">
        <v>142</v>
      </c>
      <c r="C243" t="s">
        <v>2210</v>
      </c>
      <c r="D243" t="s">
        <v>2211</v>
      </c>
      <c r="E243">
        <v>4</v>
      </c>
      <c r="F243">
        <v>4</v>
      </c>
      <c r="G243">
        <v>1</v>
      </c>
      <c r="H243">
        <v>5.1019857197422702</v>
      </c>
      <c r="I243" t="s">
        <v>957</v>
      </c>
      <c r="J243" t="s">
        <v>2212</v>
      </c>
      <c r="K243">
        <v>0.13571428571428601</v>
      </c>
      <c r="L243" t="s">
        <v>959</v>
      </c>
      <c r="M243">
        <v>0.76335877862595403</v>
      </c>
      <c r="N243" t="s">
        <v>960</v>
      </c>
      <c r="O243">
        <v>0</v>
      </c>
      <c r="P243">
        <v>0</v>
      </c>
      <c r="Q243">
        <v>0</v>
      </c>
      <c r="R243">
        <v>0</v>
      </c>
    </row>
    <row r="244" spans="1:18" ht="16" x14ac:dyDescent="0.2">
      <c r="A244" s="127" t="s">
        <v>954</v>
      </c>
      <c r="B244" t="s">
        <v>142</v>
      </c>
      <c r="C244" t="s">
        <v>3357</v>
      </c>
      <c r="D244" t="s">
        <v>3358</v>
      </c>
      <c r="E244" t="s">
        <v>1039</v>
      </c>
      <c r="F244">
        <v>3</v>
      </c>
      <c r="G244">
        <v>2</v>
      </c>
      <c r="H244">
        <v>5.9974475815763002</v>
      </c>
      <c r="I244" t="s">
        <v>957</v>
      </c>
      <c r="J244" t="s">
        <v>3359</v>
      </c>
      <c r="K244">
        <v>0.107142857142857</v>
      </c>
      <c r="L244" t="s">
        <v>959</v>
      </c>
      <c r="M244">
        <v>0.76335877862595403</v>
      </c>
      <c r="N244" t="s">
        <v>960</v>
      </c>
      <c r="O244">
        <v>0</v>
      </c>
      <c r="P244">
        <v>0</v>
      </c>
      <c r="Q244">
        <v>0</v>
      </c>
      <c r="R244">
        <v>0</v>
      </c>
    </row>
    <row r="245" spans="1:18" ht="16" x14ac:dyDescent="0.2">
      <c r="A245" s="127" t="s">
        <v>954</v>
      </c>
      <c r="B245" t="s">
        <v>142</v>
      </c>
      <c r="C245" t="s">
        <v>1326</v>
      </c>
      <c r="D245" t="s">
        <v>1327</v>
      </c>
      <c r="E245" t="s">
        <v>1102</v>
      </c>
      <c r="F245">
        <v>4</v>
      </c>
      <c r="G245">
        <v>2</v>
      </c>
      <c r="H245">
        <v>4.8395226549474097</v>
      </c>
      <c r="I245" t="s">
        <v>957</v>
      </c>
      <c r="J245" t="s">
        <v>1328</v>
      </c>
      <c r="K245">
        <v>0.17857142857142899</v>
      </c>
      <c r="L245" t="s">
        <v>959</v>
      </c>
      <c r="M245">
        <v>1.5267175572519101</v>
      </c>
      <c r="N245" t="s">
        <v>960</v>
      </c>
      <c r="O245">
        <v>0</v>
      </c>
      <c r="P245">
        <v>0</v>
      </c>
      <c r="Q245">
        <v>0</v>
      </c>
      <c r="R245">
        <v>0</v>
      </c>
    </row>
    <row r="246" spans="1:18" ht="16" x14ac:dyDescent="0.2">
      <c r="A246" s="127" t="s">
        <v>954</v>
      </c>
      <c r="B246" t="s">
        <v>142</v>
      </c>
      <c r="C246" t="s">
        <v>2142</v>
      </c>
      <c r="D246" t="s">
        <v>2143</v>
      </c>
      <c r="E246">
        <v>3</v>
      </c>
      <c r="F246">
        <v>3</v>
      </c>
      <c r="G246">
        <v>1</v>
      </c>
      <c r="H246">
        <v>4.9325711484401698</v>
      </c>
      <c r="I246" t="s">
        <v>957</v>
      </c>
      <c r="J246" t="s">
        <v>2144</v>
      </c>
      <c r="K246">
        <v>0.121428571428571</v>
      </c>
      <c r="L246" t="s">
        <v>959</v>
      </c>
      <c r="M246">
        <v>1.5267175572519101</v>
      </c>
      <c r="N246" t="s">
        <v>960</v>
      </c>
      <c r="O246">
        <v>0</v>
      </c>
      <c r="P246">
        <v>0</v>
      </c>
      <c r="Q246">
        <v>0</v>
      </c>
      <c r="R246">
        <v>0</v>
      </c>
    </row>
    <row r="247" spans="1:18" ht="16" x14ac:dyDescent="0.2">
      <c r="A247" s="127" t="s">
        <v>954</v>
      </c>
      <c r="B247" t="s">
        <v>142</v>
      </c>
      <c r="C247" t="s">
        <v>1797</v>
      </c>
      <c r="D247" t="s">
        <v>1798</v>
      </c>
      <c r="E247" t="s">
        <v>1052</v>
      </c>
      <c r="F247">
        <v>2</v>
      </c>
      <c r="G247">
        <v>2</v>
      </c>
      <c r="H247">
        <v>6.64733013956858</v>
      </c>
      <c r="I247" t="s">
        <v>957</v>
      </c>
      <c r="J247" t="s">
        <v>1799</v>
      </c>
      <c r="K247">
        <v>0.05</v>
      </c>
      <c r="L247" t="s">
        <v>959</v>
      </c>
      <c r="M247">
        <v>0.76335877862595403</v>
      </c>
      <c r="N247" t="s">
        <v>960</v>
      </c>
      <c r="O247">
        <v>0</v>
      </c>
      <c r="P247">
        <v>0</v>
      </c>
      <c r="Q247">
        <v>0</v>
      </c>
      <c r="R247">
        <v>0</v>
      </c>
    </row>
    <row r="248" spans="1:18" ht="16" x14ac:dyDescent="0.2">
      <c r="A248" s="127" t="s">
        <v>954</v>
      </c>
      <c r="B248" t="s">
        <v>142</v>
      </c>
      <c r="C248" t="s">
        <v>1807</v>
      </c>
      <c r="D248" t="s">
        <v>1808</v>
      </c>
      <c r="E248" t="s">
        <v>1052</v>
      </c>
      <c r="F248">
        <v>2</v>
      </c>
      <c r="G248">
        <v>2</v>
      </c>
      <c r="H248">
        <v>6.8982609487055697</v>
      </c>
      <c r="I248" t="s">
        <v>957</v>
      </c>
      <c r="J248" t="s">
        <v>1809</v>
      </c>
      <c r="K248">
        <v>4.2857142857142899E-2</v>
      </c>
      <c r="L248" t="s">
        <v>959</v>
      </c>
      <c r="M248">
        <v>1.5267175572519101</v>
      </c>
      <c r="N248" t="s">
        <v>960</v>
      </c>
      <c r="O248">
        <v>0</v>
      </c>
      <c r="P248">
        <v>0</v>
      </c>
      <c r="Q248">
        <v>0</v>
      </c>
      <c r="R248">
        <v>0</v>
      </c>
    </row>
    <row r="249" spans="1:18" ht="16" x14ac:dyDescent="0.2">
      <c r="A249" s="127" t="s">
        <v>954</v>
      </c>
      <c r="B249" t="s">
        <v>142</v>
      </c>
      <c r="C249" t="s">
        <v>1872</v>
      </c>
      <c r="D249" t="s">
        <v>1873</v>
      </c>
      <c r="E249">
        <v>4</v>
      </c>
      <c r="F249">
        <v>4</v>
      </c>
      <c r="G249">
        <v>1</v>
      </c>
      <c r="H249">
        <v>8.2673301864702005</v>
      </c>
      <c r="I249" t="s">
        <v>957</v>
      </c>
      <c r="J249" t="s">
        <v>1874</v>
      </c>
      <c r="K249">
        <v>2.1428571428571401E-2</v>
      </c>
      <c r="L249" t="s">
        <v>959</v>
      </c>
      <c r="M249">
        <v>2.2900763358778602</v>
      </c>
      <c r="N249" t="s">
        <v>960</v>
      </c>
      <c r="O249">
        <v>0</v>
      </c>
      <c r="P249">
        <v>0</v>
      </c>
      <c r="Q249">
        <v>0</v>
      </c>
      <c r="R249">
        <v>0</v>
      </c>
    </row>
    <row r="250" spans="1:18" ht="16" x14ac:dyDescent="0.2">
      <c r="A250" s="127" t="s">
        <v>954</v>
      </c>
      <c r="B250" t="s">
        <v>142</v>
      </c>
      <c r="C250" t="s">
        <v>3332</v>
      </c>
      <c r="D250" t="s">
        <v>3333</v>
      </c>
      <c r="E250" t="s">
        <v>1230</v>
      </c>
      <c r="F250">
        <v>4</v>
      </c>
      <c r="G250">
        <v>2</v>
      </c>
      <c r="H250">
        <v>5.20011886121811</v>
      </c>
      <c r="I250" t="s">
        <v>957</v>
      </c>
      <c r="J250" t="s">
        <v>3334</v>
      </c>
      <c r="K250">
        <v>0.185714285714286</v>
      </c>
      <c r="L250" t="s">
        <v>959</v>
      </c>
      <c r="M250">
        <v>0.76335877862595403</v>
      </c>
      <c r="N250" t="s">
        <v>960</v>
      </c>
      <c r="O250">
        <v>0</v>
      </c>
      <c r="P250">
        <v>0</v>
      </c>
      <c r="Q250">
        <v>0</v>
      </c>
      <c r="R250">
        <v>0</v>
      </c>
    </row>
    <row r="251" spans="1:18" ht="16" x14ac:dyDescent="0.2">
      <c r="A251" s="127" t="s">
        <v>954</v>
      </c>
      <c r="B251" t="s">
        <v>142</v>
      </c>
      <c r="C251" t="s">
        <v>3286</v>
      </c>
      <c r="D251" t="s">
        <v>3287</v>
      </c>
      <c r="E251">
        <v>3</v>
      </c>
      <c r="F251">
        <v>3</v>
      </c>
      <c r="G251">
        <v>1</v>
      </c>
      <c r="H251">
        <v>5.70064909965759</v>
      </c>
      <c r="I251" t="s">
        <v>957</v>
      </c>
      <c r="J251" t="s">
        <v>3561</v>
      </c>
      <c r="K251">
        <v>6.4285714285714293E-2</v>
      </c>
      <c r="L251" t="s">
        <v>959</v>
      </c>
      <c r="M251">
        <v>1.5267175572519101</v>
      </c>
      <c r="N251" t="s">
        <v>960</v>
      </c>
      <c r="O251">
        <v>0</v>
      </c>
      <c r="P251">
        <v>0</v>
      </c>
      <c r="Q251">
        <v>0</v>
      </c>
      <c r="R251">
        <v>0</v>
      </c>
    </row>
    <row r="252" spans="1:18" ht="16" x14ac:dyDescent="0.2">
      <c r="A252" s="127" t="s">
        <v>954</v>
      </c>
      <c r="B252" t="s">
        <v>142</v>
      </c>
      <c r="C252" t="s">
        <v>1649</v>
      </c>
      <c r="D252" t="s">
        <v>1650</v>
      </c>
      <c r="E252" t="s">
        <v>1085</v>
      </c>
      <c r="F252">
        <v>5</v>
      </c>
      <c r="G252">
        <v>2</v>
      </c>
      <c r="H252">
        <v>4.5947819875929898</v>
      </c>
      <c r="I252" t="s">
        <v>957</v>
      </c>
      <c r="J252" t="s">
        <v>3164</v>
      </c>
      <c r="K252">
        <v>0.2</v>
      </c>
      <c r="L252" t="s">
        <v>959</v>
      </c>
      <c r="M252">
        <v>3.0534351145038201</v>
      </c>
      <c r="N252" t="s">
        <v>960</v>
      </c>
      <c r="O252">
        <v>0</v>
      </c>
      <c r="P252">
        <v>0</v>
      </c>
      <c r="Q252">
        <v>0</v>
      </c>
      <c r="R252">
        <v>0</v>
      </c>
    </row>
    <row r="253" spans="1:18" ht="16" x14ac:dyDescent="0.2">
      <c r="A253" s="127" t="s">
        <v>954</v>
      </c>
      <c r="B253" t="s">
        <v>142</v>
      </c>
      <c r="C253" t="s">
        <v>1980</v>
      </c>
      <c r="D253" t="s">
        <v>1981</v>
      </c>
      <c r="E253" t="s">
        <v>1052</v>
      </c>
      <c r="F253">
        <v>2</v>
      </c>
      <c r="G253">
        <v>2</v>
      </c>
      <c r="H253">
        <v>5.97058805817242</v>
      </c>
      <c r="I253" t="s">
        <v>957</v>
      </c>
      <c r="J253" t="s">
        <v>1982</v>
      </c>
      <c r="K253">
        <v>0.05</v>
      </c>
      <c r="L253" t="s">
        <v>959</v>
      </c>
      <c r="M253">
        <v>1.5267175572519101</v>
      </c>
      <c r="N253" t="s">
        <v>960</v>
      </c>
      <c r="O253">
        <v>0</v>
      </c>
      <c r="P253">
        <v>0</v>
      </c>
      <c r="Q253">
        <v>0</v>
      </c>
      <c r="R253">
        <v>0</v>
      </c>
    </row>
    <row r="254" spans="1:18" ht="16" x14ac:dyDescent="0.2">
      <c r="A254" s="127" t="s">
        <v>954</v>
      </c>
      <c r="B254" t="s">
        <v>142</v>
      </c>
      <c r="C254" t="s">
        <v>1834</v>
      </c>
      <c r="D254" t="s">
        <v>1835</v>
      </c>
      <c r="E254" t="s">
        <v>1836</v>
      </c>
      <c r="F254">
        <v>108</v>
      </c>
      <c r="G254">
        <v>3</v>
      </c>
      <c r="H254">
        <v>11.8321595661992</v>
      </c>
      <c r="I254" t="s">
        <v>957</v>
      </c>
      <c r="J254" t="s">
        <v>1837</v>
      </c>
      <c r="K254">
        <v>7.14285714285714E-3</v>
      </c>
      <c r="L254" t="s">
        <v>959</v>
      </c>
      <c r="M254">
        <v>0.76335877862595403</v>
      </c>
      <c r="N254" t="s">
        <v>960</v>
      </c>
      <c r="O254">
        <v>0</v>
      </c>
      <c r="P254" t="s">
        <v>5018</v>
      </c>
      <c r="Q254">
        <v>0</v>
      </c>
      <c r="R254">
        <v>0</v>
      </c>
    </row>
    <row r="255" spans="1:18" ht="16" x14ac:dyDescent="0.2">
      <c r="A255" s="127" t="s">
        <v>954</v>
      </c>
      <c r="B255" t="s">
        <v>142</v>
      </c>
      <c r="C255" t="s">
        <v>1944</v>
      </c>
      <c r="D255" t="s">
        <v>1945</v>
      </c>
      <c r="E255" t="s">
        <v>1102</v>
      </c>
      <c r="F255">
        <v>4</v>
      </c>
      <c r="G255">
        <v>2</v>
      </c>
      <c r="H255">
        <v>5.0839152064349902</v>
      </c>
      <c r="I255" t="s">
        <v>957</v>
      </c>
      <c r="J255" t="s">
        <v>1946</v>
      </c>
      <c r="K255">
        <v>0.15</v>
      </c>
      <c r="L255" t="s">
        <v>959</v>
      </c>
      <c r="M255">
        <v>1.5267175572519101</v>
      </c>
      <c r="N255" t="s">
        <v>960</v>
      </c>
      <c r="O255">
        <v>0</v>
      </c>
      <c r="P255">
        <v>0</v>
      </c>
      <c r="Q255">
        <v>0</v>
      </c>
      <c r="R255">
        <v>0</v>
      </c>
    </row>
    <row r="256" spans="1:18" ht="16" x14ac:dyDescent="0.2">
      <c r="A256" s="127" t="s">
        <v>954</v>
      </c>
      <c r="B256" t="s">
        <v>146</v>
      </c>
      <c r="C256" t="s">
        <v>114</v>
      </c>
      <c r="D256" t="s">
        <v>1296</v>
      </c>
      <c r="E256">
        <v>5</v>
      </c>
      <c r="F256">
        <v>5</v>
      </c>
      <c r="G256">
        <v>1</v>
      </c>
      <c r="H256">
        <v>5.1200051551125201</v>
      </c>
      <c r="I256" t="s">
        <v>957</v>
      </c>
      <c r="J256" t="s">
        <v>1297</v>
      </c>
      <c r="K256">
        <v>2.1428571428571401E-2</v>
      </c>
      <c r="L256" t="s">
        <v>959</v>
      </c>
      <c r="M256">
        <v>1.5267175572519101</v>
      </c>
      <c r="N256" t="s">
        <v>960</v>
      </c>
      <c r="O256" t="s">
        <v>5017</v>
      </c>
      <c r="P256" t="s">
        <v>5018</v>
      </c>
      <c r="Q256">
        <v>0</v>
      </c>
      <c r="R256">
        <v>0</v>
      </c>
    </row>
    <row r="257" spans="1:18" ht="16" x14ac:dyDescent="0.2">
      <c r="A257" s="127" t="s">
        <v>954</v>
      </c>
      <c r="B257" t="s">
        <v>146</v>
      </c>
      <c r="C257" t="s">
        <v>1193</v>
      </c>
      <c r="D257" t="s">
        <v>1194</v>
      </c>
      <c r="E257" t="s">
        <v>2769</v>
      </c>
      <c r="F257">
        <v>27</v>
      </c>
      <c r="G257">
        <v>5</v>
      </c>
      <c r="H257">
        <v>6.11844908381007</v>
      </c>
      <c r="I257" t="s">
        <v>957</v>
      </c>
      <c r="J257" t="s">
        <v>1196</v>
      </c>
      <c r="K257">
        <v>1.4285714285714299E-2</v>
      </c>
      <c r="L257" t="s">
        <v>959</v>
      </c>
      <c r="M257">
        <v>1.5267175572519101</v>
      </c>
      <c r="N257" t="s">
        <v>960</v>
      </c>
      <c r="O257" t="s">
        <v>5017</v>
      </c>
      <c r="P257">
        <v>0</v>
      </c>
      <c r="Q257">
        <v>0</v>
      </c>
      <c r="R257">
        <v>0</v>
      </c>
    </row>
    <row r="258" spans="1:18" ht="16" x14ac:dyDescent="0.2">
      <c r="A258" s="127" t="s">
        <v>954</v>
      </c>
      <c r="B258" t="s">
        <v>150</v>
      </c>
      <c r="C258" t="s">
        <v>2717</v>
      </c>
      <c r="D258" t="s">
        <v>2718</v>
      </c>
      <c r="E258">
        <v>5</v>
      </c>
      <c r="F258">
        <v>5</v>
      </c>
      <c r="G258">
        <v>1</v>
      </c>
      <c r="H258">
        <v>9.6410258502395294</v>
      </c>
      <c r="I258" t="s">
        <v>957</v>
      </c>
      <c r="J258" t="s">
        <v>3239</v>
      </c>
      <c r="K258">
        <v>2.1428571428571401E-2</v>
      </c>
      <c r="L258" t="s">
        <v>959</v>
      </c>
      <c r="M258">
        <v>1.5267175572519101</v>
      </c>
      <c r="N258" t="s">
        <v>982</v>
      </c>
      <c r="O258">
        <v>0</v>
      </c>
      <c r="P258">
        <v>0</v>
      </c>
      <c r="Q258">
        <v>0</v>
      </c>
      <c r="R258" t="s">
        <v>5019</v>
      </c>
    </row>
    <row r="259" spans="1:18" ht="16" x14ac:dyDescent="0.2">
      <c r="A259" s="127" t="s">
        <v>954</v>
      </c>
      <c r="B259" t="s">
        <v>150</v>
      </c>
      <c r="C259" t="s">
        <v>386</v>
      </c>
      <c r="D259" t="s">
        <v>2177</v>
      </c>
      <c r="E259" t="s">
        <v>1590</v>
      </c>
      <c r="F259">
        <v>7</v>
      </c>
      <c r="G259">
        <v>2</v>
      </c>
      <c r="H259">
        <v>3.8713807047086202</v>
      </c>
      <c r="I259" t="s">
        <v>957</v>
      </c>
      <c r="J259" t="s">
        <v>2178</v>
      </c>
      <c r="K259">
        <v>0.133333333333333</v>
      </c>
      <c r="L259" t="s">
        <v>1004</v>
      </c>
      <c r="M259">
        <v>0.76335877862595403</v>
      </c>
      <c r="N259" t="s">
        <v>1005</v>
      </c>
      <c r="O259">
        <v>0</v>
      </c>
      <c r="P259">
        <v>0</v>
      </c>
      <c r="Q259">
        <v>0</v>
      </c>
      <c r="R259">
        <v>0</v>
      </c>
    </row>
    <row r="260" spans="1:18" ht="16" x14ac:dyDescent="0.2">
      <c r="A260" s="127" t="s">
        <v>954</v>
      </c>
      <c r="B260" t="s">
        <v>150</v>
      </c>
      <c r="C260" t="s">
        <v>1780</v>
      </c>
      <c r="D260" t="s">
        <v>1781</v>
      </c>
      <c r="E260" t="s">
        <v>1442</v>
      </c>
      <c r="F260">
        <v>5</v>
      </c>
      <c r="G260">
        <v>2</v>
      </c>
      <c r="H260">
        <v>7.8837877506802698</v>
      </c>
      <c r="I260" t="s">
        <v>957</v>
      </c>
      <c r="J260" t="s">
        <v>1782</v>
      </c>
      <c r="K260">
        <v>0.1</v>
      </c>
      <c r="L260" t="s">
        <v>959</v>
      </c>
      <c r="M260">
        <v>1.5267175572519101</v>
      </c>
      <c r="N260" t="s">
        <v>960</v>
      </c>
      <c r="O260">
        <v>0</v>
      </c>
      <c r="P260">
        <v>0</v>
      </c>
      <c r="Q260">
        <v>0</v>
      </c>
      <c r="R260">
        <v>0</v>
      </c>
    </row>
    <row r="261" spans="1:18" ht="16" x14ac:dyDescent="0.2">
      <c r="A261" s="127" t="s">
        <v>954</v>
      </c>
      <c r="B261" t="s">
        <v>150</v>
      </c>
      <c r="C261" t="s">
        <v>2641</v>
      </c>
      <c r="D261" t="s">
        <v>2642</v>
      </c>
      <c r="E261" t="s">
        <v>1212</v>
      </c>
      <c r="F261">
        <v>10</v>
      </c>
      <c r="G261">
        <v>2</v>
      </c>
      <c r="H261">
        <v>6.5357237625456897</v>
      </c>
      <c r="I261" t="s">
        <v>957</v>
      </c>
      <c r="J261" t="s">
        <v>2643</v>
      </c>
      <c r="K261">
        <v>0.17857142857142899</v>
      </c>
      <c r="L261" t="s">
        <v>959</v>
      </c>
      <c r="M261">
        <v>1.5267175572519101</v>
      </c>
      <c r="N261" t="s">
        <v>960</v>
      </c>
      <c r="O261">
        <v>0</v>
      </c>
      <c r="P261">
        <v>0</v>
      </c>
      <c r="Q261">
        <v>0</v>
      </c>
      <c r="R261">
        <v>0</v>
      </c>
    </row>
    <row r="262" spans="1:18" ht="16" x14ac:dyDescent="0.2">
      <c r="A262" s="127" t="s">
        <v>954</v>
      </c>
      <c r="B262" t="s">
        <v>150</v>
      </c>
      <c r="C262" t="s">
        <v>2123</v>
      </c>
      <c r="D262" t="s">
        <v>2124</v>
      </c>
      <c r="E262" t="s">
        <v>1216</v>
      </c>
      <c r="F262">
        <v>7</v>
      </c>
      <c r="G262">
        <v>2</v>
      </c>
      <c r="H262">
        <v>3.8728275920311099</v>
      </c>
      <c r="I262" t="s">
        <v>957</v>
      </c>
      <c r="J262" t="s">
        <v>2125</v>
      </c>
      <c r="K262">
        <v>0.133333333333333</v>
      </c>
      <c r="L262" t="s">
        <v>1004</v>
      </c>
      <c r="M262">
        <v>0.76335877862595403</v>
      </c>
      <c r="N262" t="s">
        <v>1005</v>
      </c>
      <c r="O262">
        <v>0</v>
      </c>
      <c r="P262">
        <v>0</v>
      </c>
      <c r="Q262">
        <v>0</v>
      </c>
      <c r="R262">
        <v>0</v>
      </c>
    </row>
    <row r="263" spans="1:18" ht="16" x14ac:dyDescent="0.2">
      <c r="A263" s="127" t="s">
        <v>954</v>
      </c>
      <c r="B263" t="s">
        <v>150</v>
      </c>
      <c r="C263" t="s">
        <v>1899</v>
      </c>
      <c r="D263" t="s">
        <v>1900</v>
      </c>
      <c r="E263" t="s">
        <v>1432</v>
      </c>
      <c r="F263">
        <v>6</v>
      </c>
      <c r="G263">
        <v>2</v>
      </c>
      <c r="H263">
        <v>3.8729833462074099</v>
      </c>
      <c r="I263" t="s">
        <v>957</v>
      </c>
      <c r="J263" t="s">
        <v>1901</v>
      </c>
      <c r="K263">
        <v>6.6666666666666693E-2</v>
      </c>
      <c r="L263" t="s">
        <v>1004</v>
      </c>
      <c r="M263">
        <v>0.76335877862595403</v>
      </c>
      <c r="N263" t="s">
        <v>1005</v>
      </c>
      <c r="O263">
        <v>0</v>
      </c>
      <c r="P263">
        <v>0</v>
      </c>
      <c r="Q263">
        <v>0</v>
      </c>
      <c r="R263">
        <v>0</v>
      </c>
    </row>
    <row r="264" spans="1:18" ht="16" x14ac:dyDescent="0.2">
      <c r="A264" s="127" t="s">
        <v>954</v>
      </c>
      <c r="B264" t="s">
        <v>150</v>
      </c>
      <c r="C264" t="s">
        <v>3429</v>
      </c>
      <c r="D264" t="s">
        <v>3430</v>
      </c>
      <c r="E264" t="s">
        <v>1022</v>
      </c>
      <c r="F264">
        <v>3</v>
      </c>
      <c r="G264">
        <v>2</v>
      </c>
      <c r="H264">
        <v>7.4957387964084097</v>
      </c>
      <c r="I264" t="s">
        <v>957</v>
      </c>
      <c r="J264" t="s">
        <v>3431</v>
      </c>
      <c r="K264">
        <v>7.8571428571428598E-2</v>
      </c>
      <c r="L264" t="s">
        <v>959</v>
      </c>
      <c r="M264">
        <v>0.76335877862595403</v>
      </c>
      <c r="N264" t="s">
        <v>960</v>
      </c>
      <c r="O264">
        <v>0</v>
      </c>
      <c r="P264">
        <v>0</v>
      </c>
      <c r="Q264">
        <v>0</v>
      </c>
      <c r="R264">
        <v>0</v>
      </c>
    </row>
    <row r="265" spans="1:18" ht="16" x14ac:dyDescent="0.2">
      <c r="A265" s="127" t="s">
        <v>954</v>
      </c>
      <c r="B265" t="s">
        <v>150</v>
      </c>
      <c r="C265" t="s">
        <v>3301</v>
      </c>
      <c r="D265" t="s">
        <v>3302</v>
      </c>
      <c r="E265" t="s">
        <v>1212</v>
      </c>
      <c r="F265">
        <v>10</v>
      </c>
      <c r="G265">
        <v>2</v>
      </c>
      <c r="H265">
        <v>6.3679279300572897</v>
      </c>
      <c r="I265" t="s">
        <v>957</v>
      </c>
      <c r="J265" t="s">
        <v>3432</v>
      </c>
      <c r="K265">
        <v>0.128571428571429</v>
      </c>
      <c r="L265" t="s">
        <v>959</v>
      </c>
      <c r="M265">
        <v>1.5267175572519101</v>
      </c>
      <c r="N265" t="s">
        <v>960</v>
      </c>
      <c r="O265">
        <v>0</v>
      </c>
      <c r="P265">
        <v>0</v>
      </c>
      <c r="Q265">
        <v>0</v>
      </c>
      <c r="R265">
        <v>0</v>
      </c>
    </row>
    <row r="266" spans="1:18" ht="16" x14ac:dyDescent="0.2">
      <c r="A266" s="127" t="s">
        <v>954</v>
      </c>
      <c r="B266" t="s">
        <v>150</v>
      </c>
      <c r="C266" t="s">
        <v>2814</v>
      </c>
      <c r="D266" t="s">
        <v>2815</v>
      </c>
      <c r="E266">
        <v>7</v>
      </c>
      <c r="F266">
        <v>7</v>
      </c>
      <c r="G266">
        <v>1</v>
      </c>
      <c r="H266">
        <v>5.3618921323034003</v>
      </c>
      <c r="I266" t="s">
        <v>957</v>
      </c>
      <c r="J266" t="s">
        <v>2816</v>
      </c>
      <c r="K266">
        <v>0.15</v>
      </c>
      <c r="L266" t="s">
        <v>959</v>
      </c>
      <c r="M266">
        <v>1.5267175572519101</v>
      </c>
      <c r="N266" t="s">
        <v>960</v>
      </c>
      <c r="O266">
        <v>0</v>
      </c>
      <c r="P266">
        <v>0</v>
      </c>
      <c r="Q266">
        <v>0</v>
      </c>
      <c r="R266">
        <v>0</v>
      </c>
    </row>
    <row r="267" spans="1:18" ht="16" x14ac:dyDescent="0.2">
      <c r="A267" s="127" t="s">
        <v>954</v>
      </c>
      <c r="B267" t="s">
        <v>150</v>
      </c>
      <c r="C267" t="s">
        <v>1210</v>
      </c>
      <c r="D267" t="s">
        <v>1211</v>
      </c>
      <c r="E267" t="s">
        <v>1212</v>
      </c>
      <c r="F267">
        <v>10</v>
      </c>
      <c r="G267">
        <v>2</v>
      </c>
      <c r="H267">
        <v>3.8729833462074201</v>
      </c>
      <c r="I267" t="s">
        <v>957</v>
      </c>
      <c r="J267" t="s">
        <v>1213</v>
      </c>
      <c r="K267">
        <v>6.6666666666666693E-2</v>
      </c>
      <c r="L267" t="s">
        <v>1004</v>
      </c>
      <c r="M267">
        <v>0.76335877862595403</v>
      </c>
      <c r="N267" t="s">
        <v>1005</v>
      </c>
      <c r="O267">
        <v>0</v>
      </c>
      <c r="P267">
        <v>0</v>
      </c>
      <c r="Q267">
        <v>0</v>
      </c>
      <c r="R267">
        <v>0</v>
      </c>
    </row>
    <row r="268" spans="1:18" ht="16" x14ac:dyDescent="0.2">
      <c r="A268" s="127" t="s">
        <v>954</v>
      </c>
      <c r="B268" t="s">
        <v>154</v>
      </c>
      <c r="C268" t="s">
        <v>3192</v>
      </c>
      <c r="D268" t="s">
        <v>3193</v>
      </c>
      <c r="E268">
        <v>4</v>
      </c>
      <c r="F268">
        <v>4</v>
      </c>
      <c r="G268">
        <v>1</v>
      </c>
      <c r="H268">
        <v>4.7622871463612899</v>
      </c>
      <c r="I268" t="s">
        <v>957</v>
      </c>
      <c r="J268" t="s">
        <v>3194</v>
      </c>
      <c r="K268">
        <v>0.107142857142857</v>
      </c>
      <c r="L268" t="s">
        <v>959</v>
      </c>
      <c r="M268">
        <v>1.5267175572519101</v>
      </c>
      <c r="N268" t="s">
        <v>960</v>
      </c>
      <c r="O268" t="s">
        <v>5018</v>
      </c>
      <c r="P268" t="s">
        <v>5018</v>
      </c>
      <c r="Q268">
        <v>0</v>
      </c>
      <c r="R268" t="s">
        <v>5019</v>
      </c>
    </row>
    <row r="269" spans="1:18" ht="16" x14ac:dyDescent="0.2">
      <c r="A269" s="127" t="s">
        <v>954</v>
      </c>
      <c r="B269" t="s">
        <v>154</v>
      </c>
      <c r="C269" t="s">
        <v>2142</v>
      </c>
      <c r="D269" t="s">
        <v>2143</v>
      </c>
      <c r="E269">
        <v>3</v>
      </c>
      <c r="F269">
        <v>3</v>
      </c>
      <c r="G269">
        <v>1</v>
      </c>
      <c r="H269">
        <v>6.2504336690157798</v>
      </c>
      <c r="I269" t="s">
        <v>957</v>
      </c>
      <c r="J269" t="s">
        <v>2144</v>
      </c>
      <c r="K269">
        <v>0.121428571428571</v>
      </c>
      <c r="L269" t="s">
        <v>959</v>
      </c>
      <c r="M269">
        <v>1.5267175572519101</v>
      </c>
      <c r="N269" t="s">
        <v>960</v>
      </c>
      <c r="O269" t="s">
        <v>5018</v>
      </c>
      <c r="P269">
        <v>0</v>
      </c>
      <c r="Q269">
        <v>0</v>
      </c>
      <c r="R269">
        <v>0</v>
      </c>
    </row>
    <row r="270" spans="1:18" ht="16" x14ac:dyDescent="0.2">
      <c r="A270" s="127" t="s">
        <v>954</v>
      </c>
      <c r="B270" t="s">
        <v>154</v>
      </c>
      <c r="C270" t="s">
        <v>2882</v>
      </c>
      <c r="D270" t="s">
        <v>2883</v>
      </c>
      <c r="E270">
        <v>4</v>
      </c>
      <c r="F270">
        <v>4</v>
      </c>
      <c r="G270">
        <v>1</v>
      </c>
      <c r="H270">
        <v>6.9554454323383199</v>
      </c>
      <c r="I270" t="s">
        <v>957</v>
      </c>
      <c r="J270" t="s">
        <v>2999</v>
      </c>
      <c r="K270">
        <v>4.2857142857142899E-2</v>
      </c>
      <c r="L270" t="s">
        <v>959</v>
      </c>
      <c r="M270">
        <v>2.2900763358778602</v>
      </c>
      <c r="N270" t="s">
        <v>960</v>
      </c>
      <c r="O270" t="s">
        <v>5018</v>
      </c>
      <c r="P270">
        <v>0</v>
      </c>
      <c r="Q270">
        <v>0</v>
      </c>
      <c r="R270">
        <v>0</v>
      </c>
    </row>
    <row r="271" spans="1:18" ht="16" x14ac:dyDescent="0.2">
      <c r="A271" s="127" t="s">
        <v>954</v>
      </c>
      <c r="B271" t="s">
        <v>154</v>
      </c>
      <c r="C271" t="s">
        <v>2773</v>
      </c>
      <c r="D271" t="s">
        <v>2774</v>
      </c>
      <c r="E271">
        <v>3</v>
      </c>
      <c r="F271">
        <v>3</v>
      </c>
      <c r="G271">
        <v>1</v>
      </c>
      <c r="H271">
        <v>4.1231056256176597</v>
      </c>
      <c r="I271" t="s">
        <v>957</v>
      </c>
      <c r="J271" t="s">
        <v>2775</v>
      </c>
      <c r="K271">
        <v>5.8823529411764698E-2</v>
      </c>
      <c r="L271" t="s">
        <v>1099</v>
      </c>
      <c r="M271">
        <v>1.5267175572519101</v>
      </c>
      <c r="N271" t="s">
        <v>973</v>
      </c>
      <c r="O271" t="s">
        <v>5018</v>
      </c>
      <c r="P271">
        <v>0</v>
      </c>
      <c r="Q271">
        <v>0</v>
      </c>
      <c r="R271">
        <v>0</v>
      </c>
    </row>
    <row r="272" spans="1:18" ht="16" x14ac:dyDescent="0.2">
      <c r="A272" s="127" t="s">
        <v>954</v>
      </c>
      <c r="B272" t="s">
        <v>154</v>
      </c>
      <c r="C272" t="s">
        <v>2200</v>
      </c>
      <c r="D272" t="s">
        <v>2201</v>
      </c>
      <c r="E272">
        <v>3</v>
      </c>
      <c r="F272">
        <v>3</v>
      </c>
      <c r="G272">
        <v>1</v>
      </c>
      <c r="H272">
        <v>5.5090945850259203</v>
      </c>
      <c r="I272" t="s">
        <v>957</v>
      </c>
      <c r="J272" t="s">
        <v>3404</v>
      </c>
      <c r="K272">
        <v>7.8571428571428598E-2</v>
      </c>
      <c r="L272" t="s">
        <v>959</v>
      </c>
      <c r="M272">
        <v>1.5267175572519101</v>
      </c>
      <c r="N272" t="s">
        <v>960</v>
      </c>
      <c r="O272" t="s">
        <v>5018</v>
      </c>
      <c r="P272">
        <v>0</v>
      </c>
      <c r="Q272">
        <v>0</v>
      </c>
      <c r="R272">
        <v>0</v>
      </c>
    </row>
    <row r="273" spans="1:18" ht="16" x14ac:dyDescent="0.2">
      <c r="A273" s="127" t="s">
        <v>954</v>
      </c>
      <c r="B273" t="s">
        <v>154</v>
      </c>
      <c r="C273" t="s">
        <v>1938</v>
      </c>
      <c r="D273" t="s">
        <v>1939</v>
      </c>
      <c r="E273">
        <v>3</v>
      </c>
      <c r="F273">
        <v>3</v>
      </c>
      <c r="G273">
        <v>1</v>
      </c>
      <c r="H273">
        <v>5.2404468443049703</v>
      </c>
      <c r="I273" t="s">
        <v>957</v>
      </c>
      <c r="J273" t="s">
        <v>1940</v>
      </c>
      <c r="K273">
        <v>0.114285714285714</v>
      </c>
      <c r="L273" t="s">
        <v>959</v>
      </c>
      <c r="M273">
        <v>1.5267175572519101</v>
      </c>
      <c r="N273" t="s">
        <v>960</v>
      </c>
      <c r="O273" t="s">
        <v>5018</v>
      </c>
      <c r="P273">
        <v>0</v>
      </c>
      <c r="Q273">
        <v>0</v>
      </c>
      <c r="R273">
        <v>0</v>
      </c>
    </row>
    <row r="274" spans="1:18" ht="16" x14ac:dyDescent="0.2">
      <c r="A274" s="127" t="s">
        <v>954</v>
      </c>
      <c r="B274" t="s">
        <v>154</v>
      </c>
      <c r="C274" t="s">
        <v>1528</v>
      </c>
      <c r="D274" t="s">
        <v>1529</v>
      </c>
      <c r="E274" t="s">
        <v>1482</v>
      </c>
      <c r="F274">
        <v>16</v>
      </c>
      <c r="G274">
        <v>2</v>
      </c>
      <c r="H274">
        <v>4.1231056256176597</v>
      </c>
      <c r="I274" t="s">
        <v>957</v>
      </c>
      <c r="J274" t="s">
        <v>1757</v>
      </c>
      <c r="K274">
        <v>5.8823529411764698E-2</v>
      </c>
      <c r="L274" t="s">
        <v>1099</v>
      </c>
      <c r="M274">
        <v>2.2900763358778602</v>
      </c>
      <c r="N274" t="s">
        <v>973</v>
      </c>
      <c r="O274" t="s">
        <v>5018</v>
      </c>
      <c r="P274" t="s">
        <v>5017</v>
      </c>
      <c r="Q274">
        <v>0</v>
      </c>
      <c r="R274">
        <v>0</v>
      </c>
    </row>
    <row r="275" spans="1:18" ht="16" x14ac:dyDescent="0.2">
      <c r="A275" s="127" t="s">
        <v>954</v>
      </c>
      <c r="B275" t="s">
        <v>154</v>
      </c>
      <c r="C275" t="s">
        <v>3406</v>
      </c>
      <c r="D275" t="s">
        <v>3407</v>
      </c>
      <c r="E275" t="s">
        <v>1022</v>
      </c>
      <c r="F275">
        <v>3</v>
      </c>
      <c r="G275">
        <v>2</v>
      </c>
      <c r="H275">
        <v>4.1231056256176597</v>
      </c>
      <c r="I275" t="s">
        <v>957</v>
      </c>
      <c r="J275" t="s">
        <v>3408</v>
      </c>
      <c r="K275">
        <v>5.8823529411764698E-2</v>
      </c>
      <c r="L275" t="s">
        <v>1099</v>
      </c>
      <c r="M275">
        <v>0.76335877862595403</v>
      </c>
      <c r="N275" t="s">
        <v>973</v>
      </c>
      <c r="O275" t="s">
        <v>5018</v>
      </c>
      <c r="P275">
        <v>0</v>
      </c>
      <c r="Q275">
        <v>0</v>
      </c>
      <c r="R275">
        <v>0</v>
      </c>
    </row>
    <row r="276" spans="1:18" ht="16" x14ac:dyDescent="0.2">
      <c r="A276" s="127" t="s">
        <v>954</v>
      </c>
      <c r="B276" t="s">
        <v>154</v>
      </c>
      <c r="C276" t="s">
        <v>2874</v>
      </c>
      <c r="D276" t="s">
        <v>2875</v>
      </c>
      <c r="E276">
        <v>3</v>
      </c>
      <c r="F276">
        <v>3</v>
      </c>
      <c r="G276">
        <v>1</v>
      </c>
      <c r="H276">
        <v>4.1231056256176597</v>
      </c>
      <c r="I276" t="s">
        <v>957</v>
      </c>
      <c r="J276" t="s">
        <v>2876</v>
      </c>
      <c r="K276">
        <v>5.8823529411764698E-2</v>
      </c>
      <c r="L276" t="s">
        <v>1099</v>
      </c>
      <c r="M276">
        <v>0.76335877862595403</v>
      </c>
      <c r="N276" t="s">
        <v>973</v>
      </c>
      <c r="O276" t="s">
        <v>5018</v>
      </c>
      <c r="P276">
        <v>0</v>
      </c>
      <c r="Q276">
        <v>0</v>
      </c>
      <c r="R276">
        <v>0</v>
      </c>
    </row>
    <row r="277" spans="1:18" ht="16" x14ac:dyDescent="0.2">
      <c r="A277" s="127" t="s">
        <v>954</v>
      </c>
      <c r="B277" t="s">
        <v>154</v>
      </c>
      <c r="C277" t="s">
        <v>1500</v>
      </c>
      <c r="D277" t="s">
        <v>1501</v>
      </c>
      <c r="E277">
        <v>3</v>
      </c>
      <c r="F277">
        <v>3</v>
      </c>
      <c r="G277">
        <v>1</v>
      </c>
      <c r="H277">
        <v>4.7538499848993201</v>
      </c>
      <c r="I277" t="s">
        <v>957</v>
      </c>
      <c r="J277" t="s">
        <v>1502</v>
      </c>
      <c r="K277">
        <v>3.5714285714285698E-2</v>
      </c>
      <c r="L277" t="s">
        <v>959</v>
      </c>
      <c r="M277">
        <v>2.2900763358778602</v>
      </c>
      <c r="N277" t="s">
        <v>960</v>
      </c>
      <c r="O277" t="s">
        <v>5018</v>
      </c>
      <c r="P277">
        <v>0</v>
      </c>
      <c r="Q277">
        <v>0</v>
      </c>
      <c r="R277">
        <v>0</v>
      </c>
    </row>
    <row r="278" spans="1:18" ht="16" x14ac:dyDescent="0.2">
      <c r="A278" s="127" t="s">
        <v>954</v>
      </c>
      <c r="B278" t="s">
        <v>158</v>
      </c>
      <c r="C278" t="s">
        <v>979</v>
      </c>
      <c r="D278" t="s">
        <v>980</v>
      </c>
      <c r="E278">
        <v>3</v>
      </c>
      <c r="F278">
        <v>3</v>
      </c>
      <c r="G278">
        <v>1</v>
      </c>
      <c r="H278">
        <v>5.0367309321099398</v>
      </c>
      <c r="I278" t="s">
        <v>957</v>
      </c>
      <c r="J278" t="s">
        <v>981</v>
      </c>
      <c r="K278">
        <v>9.2857142857142902E-2</v>
      </c>
      <c r="L278" t="s">
        <v>959</v>
      </c>
      <c r="M278">
        <v>2.2900763358778602</v>
      </c>
      <c r="N278" t="s">
        <v>982</v>
      </c>
      <c r="O278">
        <v>0</v>
      </c>
      <c r="P278">
        <v>0</v>
      </c>
      <c r="Q278">
        <v>0</v>
      </c>
      <c r="R278">
        <v>0</v>
      </c>
    </row>
    <row r="279" spans="1:18" ht="16" x14ac:dyDescent="0.2">
      <c r="A279" s="127" t="s">
        <v>954</v>
      </c>
      <c r="B279" t="s">
        <v>158</v>
      </c>
      <c r="C279" t="s">
        <v>2510</v>
      </c>
      <c r="D279" t="s">
        <v>2511</v>
      </c>
      <c r="E279" t="s">
        <v>1230</v>
      </c>
      <c r="F279">
        <v>4</v>
      </c>
      <c r="G279">
        <v>2</v>
      </c>
      <c r="H279">
        <v>7.3504140396124704</v>
      </c>
      <c r="I279" t="s">
        <v>957</v>
      </c>
      <c r="J279" t="s">
        <v>3459</v>
      </c>
      <c r="K279">
        <v>9.2857142857142902E-2</v>
      </c>
      <c r="L279" t="s">
        <v>959</v>
      </c>
      <c r="M279">
        <v>2.2900763358778602</v>
      </c>
      <c r="N279" t="s">
        <v>960</v>
      </c>
      <c r="O279">
        <v>0</v>
      </c>
      <c r="P279">
        <v>0</v>
      </c>
      <c r="Q279">
        <v>0</v>
      </c>
      <c r="R279">
        <v>0</v>
      </c>
    </row>
    <row r="280" spans="1:18" ht="16" x14ac:dyDescent="0.2">
      <c r="A280" s="127" t="s">
        <v>954</v>
      </c>
      <c r="B280" t="s">
        <v>158</v>
      </c>
      <c r="C280" t="s">
        <v>3697</v>
      </c>
      <c r="D280" t="s">
        <v>3698</v>
      </c>
      <c r="E280" t="s">
        <v>2093</v>
      </c>
      <c r="F280">
        <v>6</v>
      </c>
      <c r="G280">
        <v>3</v>
      </c>
      <c r="H280">
        <v>6.2189326516924197</v>
      </c>
      <c r="I280" t="s">
        <v>957</v>
      </c>
      <c r="J280" t="s">
        <v>3699</v>
      </c>
      <c r="K280">
        <v>0.192857142857143</v>
      </c>
      <c r="L280" t="s">
        <v>959</v>
      </c>
      <c r="M280">
        <v>0.76335877862595403</v>
      </c>
      <c r="N280" t="s">
        <v>960</v>
      </c>
      <c r="O280">
        <v>0</v>
      </c>
      <c r="P280">
        <v>0</v>
      </c>
      <c r="Q280">
        <v>0</v>
      </c>
      <c r="R280">
        <v>0</v>
      </c>
    </row>
    <row r="281" spans="1:18" ht="16" x14ac:dyDescent="0.2">
      <c r="A281" s="127" t="s">
        <v>954</v>
      </c>
      <c r="B281" t="s">
        <v>158</v>
      </c>
      <c r="C281" t="s">
        <v>2316</v>
      </c>
      <c r="D281" t="s">
        <v>2317</v>
      </c>
      <c r="E281" t="s">
        <v>2253</v>
      </c>
      <c r="F281">
        <v>4</v>
      </c>
      <c r="G281">
        <v>3</v>
      </c>
      <c r="H281">
        <v>5.9056499635254003</v>
      </c>
      <c r="I281" t="s">
        <v>957</v>
      </c>
      <c r="J281" t="s">
        <v>2318</v>
      </c>
      <c r="K281">
        <v>0.192857142857143</v>
      </c>
      <c r="L281" t="s">
        <v>959</v>
      </c>
      <c r="M281">
        <v>2.2900763358778602</v>
      </c>
      <c r="N281" t="s">
        <v>960</v>
      </c>
      <c r="O281">
        <v>0</v>
      </c>
      <c r="P281">
        <v>0</v>
      </c>
      <c r="Q281">
        <v>0</v>
      </c>
      <c r="R281">
        <v>0</v>
      </c>
    </row>
    <row r="282" spans="1:18" ht="16" x14ac:dyDescent="0.2">
      <c r="A282" s="127" t="s">
        <v>954</v>
      </c>
      <c r="B282" t="s">
        <v>158</v>
      </c>
      <c r="C282" t="s">
        <v>2952</v>
      </c>
      <c r="D282" t="s">
        <v>2953</v>
      </c>
      <c r="E282">
        <v>6</v>
      </c>
      <c r="F282">
        <v>6</v>
      </c>
      <c r="G282">
        <v>1</v>
      </c>
      <c r="H282">
        <v>7.0119135503455698</v>
      </c>
      <c r="I282" t="s">
        <v>957</v>
      </c>
      <c r="J282" t="s">
        <v>3085</v>
      </c>
      <c r="K282">
        <v>0.107142857142857</v>
      </c>
      <c r="L282" t="s">
        <v>959</v>
      </c>
      <c r="M282">
        <v>1.5267175572519101</v>
      </c>
      <c r="N282" t="s">
        <v>960</v>
      </c>
      <c r="O282">
        <v>0</v>
      </c>
      <c r="P282">
        <v>0</v>
      </c>
      <c r="Q282">
        <v>0</v>
      </c>
      <c r="R282">
        <v>0</v>
      </c>
    </row>
    <row r="283" spans="1:18" ht="16" x14ac:dyDescent="0.2">
      <c r="A283" s="127" t="s">
        <v>954</v>
      </c>
      <c r="B283" t="s">
        <v>158</v>
      </c>
      <c r="C283" t="s">
        <v>2727</v>
      </c>
      <c r="D283" t="s">
        <v>2728</v>
      </c>
      <c r="E283" t="s">
        <v>1598</v>
      </c>
      <c r="F283">
        <v>7</v>
      </c>
      <c r="G283">
        <v>2</v>
      </c>
      <c r="H283">
        <v>3.87292423789747</v>
      </c>
      <c r="I283" t="s">
        <v>957</v>
      </c>
      <c r="J283" t="s">
        <v>2729</v>
      </c>
      <c r="K283">
        <v>0.133333333333333</v>
      </c>
      <c r="L283" t="s">
        <v>1004</v>
      </c>
      <c r="M283">
        <v>0.76335877862595403</v>
      </c>
      <c r="N283" t="s">
        <v>982</v>
      </c>
      <c r="O283">
        <v>0</v>
      </c>
      <c r="P283">
        <v>0</v>
      </c>
      <c r="Q283">
        <v>0</v>
      </c>
      <c r="R283">
        <v>0</v>
      </c>
    </row>
    <row r="284" spans="1:18" ht="16" x14ac:dyDescent="0.2">
      <c r="A284" s="127" t="s">
        <v>954</v>
      </c>
      <c r="B284" t="s">
        <v>158</v>
      </c>
      <c r="C284" t="s">
        <v>2757</v>
      </c>
      <c r="D284" t="s">
        <v>2758</v>
      </c>
      <c r="E284">
        <v>4</v>
      </c>
      <c r="F284">
        <v>4</v>
      </c>
      <c r="G284">
        <v>1</v>
      </c>
      <c r="H284">
        <v>5.7145972074422904</v>
      </c>
      <c r="I284" t="s">
        <v>957</v>
      </c>
      <c r="J284" t="s">
        <v>2759</v>
      </c>
      <c r="K284">
        <v>0.114285714285714</v>
      </c>
      <c r="L284" t="s">
        <v>959</v>
      </c>
      <c r="M284">
        <v>1.5267175572519101</v>
      </c>
      <c r="N284" t="s">
        <v>960</v>
      </c>
      <c r="O284">
        <v>0</v>
      </c>
      <c r="P284">
        <v>0</v>
      </c>
      <c r="Q284">
        <v>0</v>
      </c>
      <c r="R284">
        <v>0</v>
      </c>
    </row>
    <row r="285" spans="1:18" ht="16" x14ac:dyDescent="0.2">
      <c r="A285" s="127" t="s">
        <v>954</v>
      </c>
      <c r="B285" t="s">
        <v>158</v>
      </c>
      <c r="C285" t="s">
        <v>2164</v>
      </c>
      <c r="E285">
        <v>4</v>
      </c>
      <c r="F285">
        <v>4</v>
      </c>
      <c r="G285">
        <v>1</v>
      </c>
      <c r="H285">
        <v>7.8123232964309803</v>
      </c>
      <c r="I285" t="s">
        <v>957</v>
      </c>
      <c r="J285" t="s">
        <v>2165</v>
      </c>
      <c r="K285">
        <v>5.7142857142857099E-2</v>
      </c>
      <c r="L285" t="s">
        <v>959</v>
      </c>
      <c r="M285">
        <v>0.76335877862595403</v>
      </c>
      <c r="N285" t="s">
        <v>960</v>
      </c>
      <c r="O285">
        <v>0</v>
      </c>
      <c r="P285">
        <v>0</v>
      </c>
      <c r="Q285">
        <v>0</v>
      </c>
      <c r="R285">
        <v>0</v>
      </c>
    </row>
    <row r="286" spans="1:18" ht="16" x14ac:dyDescent="0.2">
      <c r="A286" s="127" t="s">
        <v>954</v>
      </c>
      <c r="B286" t="s">
        <v>158</v>
      </c>
      <c r="C286" t="s">
        <v>3579</v>
      </c>
      <c r="E286">
        <v>3</v>
      </c>
      <c r="F286">
        <v>3</v>
      </c>
      <c r="G286">
        <v>1</v>
      </c>
      <c r="H286">
        <v>9.8631957611800996</v>
      </c>
      <c r="I286" t="s">
        <v>957</v>
      </c>
      <c r="J286" t="s">
        <v>3580</v>
      </c>
      <c r="K286">
        <v>1.4285714285714299E-2</v>
      </c>
      <c r="L286" t="s">
        <v>959</v>
      </c>
      <c r="M286">
        <v>0.76335877862595403</v>
      </c>
      <c r="N286" t="s">
        <v>960</v>
      </c>
      <c r="O286">
        <v>0</v>
      </c>
      <c r="P286">
        <v>0</v>
      </c>
      <c r="Q286">
        <v>0</v>
      </c>
      <c r="R286">
        <v>0</v>
      </c>
    </row>
    <row r="287" spans="1:18" ht="16" x14ac:dyDescent="0.2">
      <c r="A287" s="127" t="s">
        <v>954</v>
      </c>
      <c r="B287" t="s">
        <v>158</v>
      </c>
      <c r="C287" t="s">
        <v>1558</v>
      </c>
      <c r="D287" t="s">
        <v>1559</v>
      </c>
      <c r="E287" t="s">
        <v>2887</v>
      </c>
      <c r="F287">
        <v>6</v>
      </c>
      <c r="G287">
        <v>2</v>
      </c>
      <c r="H287">
        <v>9.5260013526857392</v>
      </c>
      <c r="I287" t="s">
        <v>957</v>
      </c>
      <c r="J287" t="s">
        <v>3294</v>
      </c>
      <c r="K287">
        <v>2.1428571428571401E-2</v>
      </c>
      <c r="L287" t="s">
        <v>959</v>
      </c>
      <c r="M287">
        <v>1.5267175572519101</v>
      </c>
      <c r="N287" t="s">
        <v>960</v>
      </c>
      <c r="O287">
        <v>0</v>
      </c>
      <c r="P287">
        <v>0</v>
      </c>
      <c r="Q287">
        <v>0</v>
      </c>
      <c r="R287">
        <v>0</v>
      </c>
    </row>
    <row r="288" spans="1:18" ht="16" x14ac:dyDescent="0.2">
      <c r="A288" s="127" t="s">
        <v>954</v>
      </c>
      <c r="B288" t="s">
        <v>158</v>
      </c>
      <c r="C288" t="s">
        <v>2412</v>
      </c>
      <c r="D288" t="s">
        <v>2413</v>
      </c>
      <c r="E288" t="s">
        <v>2414</v>
      </c>
      <c r="F288">
        <v>8</v>
      </c>
      <c r="G288">
        <v>3</v>
      </c>
      <c r="H288">
        <v>10.895114629778799</v>
      </c>
      <c r="I288" t="s">
        <v>957</v>
      </c>
      <c r="J288" t="s">
        <v>2415</v>
      </c>
      <c r="K288">
        <v>5.7142857142857099E-2</v>
      </c>
      <c r="L288" t="s">
        <v>959</v>
      </c>
      <c r="M288">
        <v>0.76335877862595403</v>
      </c>
      <c r="N288" t="s">
        <v>982</v>
      </c>
      <c r="O288">
        <v>0</v>
      </c>
      <c r="P288">
        <v>0</v>
      </c>
      <c r="Q288">
        <v>0</v>
      </c>
      <c r="R288">
        <v>0</v>
      </c>
    </row>
    <row r="289" spans="1:18" ht="16" x14ac:dyDescent="0.2">
      <c r="A289" s="127" t="s">
        <v>954</v>
      </c>
      <c r="B289" t="s">
        <v>158</v>
      </c>
      <c r="C289" t="s">
        <v>1257</v>
      </c>
      <c r="D289" t="s">
        <v>1258</v>
      </c>
      <c r="E289">
        <v>3</v>
      </c>
      <c r="F289">
        <v>3</v>
      </c>
      <c r="G289">
        <v>1</v>
      </c>
      <c r="H289">
        <v>5.9851127208208501</v>
      </c>
      <c r="I289" t="s">
        <v>957</v>
      </c>
      <c r="J289" t="s">
        <v>1259</v>
      </c>
      <c r="K289">
        <v>8.5714285714285701E-2</v>
      </c>
      <c r="L289" t="s">
        <v>959</v>
      </c>
      <c r="M289">
        <v>1.5267175572519101</v>
      </c>
      <c r="N289" t="s">
        <v>982</v>
      </c>
      <c r="O289">
        <v>0</v>
      </c>
      <c r="P289">
        <v>0</v>
      </c>
      <c r="Q289">
        <v>0</v>
      </c>
      <c r="R289">
        <v>0</v>
      </c>
    </row>
    <row r="290" spans="1:18" ht="16" x14ac:dyDescent="0.2">
      <c r="A290" s="127" t="s">
        <v>954</v>
      </c>
      <c r="B290" t="s">
        <v>158</v>
      </c>
      <c r="C290" t="s">
        <v>1238</v>
      </c>
      <c r="D290" t="s">
        <v>1239</v>
      </c>
      <c r="E290" t="s">
        <v>1059</v>
      </c>
      <c r="F290">
        <v>4</v>
      </c>
      <c r="G290">
        <v>2</v>
      </c>
      <c r="H290">
        <v>11.496926125918501</v>
      </c>
      <c r="I290" t="s">
        <v>957</v>
      </c>
      <c r="J290" t="s">
        <v>1240</v>
      </c>
      <c r="K290">
        <v>1.4285714285714299E-2</v>
      </c>
      <c r="L290" t="s">
        <v>959</v>
      </c>
      <c r="M290">
        <v>0.76335877862595403</v>
      </c>
      <c r="N290" t="s">
        <v>960</v>
      </c>
      <c r="O290">
        <v>0</v>
      </c>
      <c r="P290">
        <v>0</v>
      </c>
      <c r="Q290">
        <v>0</v>
      </c>
      <c r="R290">
        <v>0</v>
      </c>
    </row>
    <row r="291" spans="1:18" ht="16" x14ac:dyDescent="0.2">
      <c r="A291" s="127" t="s">
        <v>954</v>
      </c>
      <c r="B291" t="s">
        <v>158</v>
      </c>
      <c r="C291" t="s">
        <v>1814</v>
      </c>
      <c r="D291" t="s">
        <v>1815</v>
      </c>
      <c r="E291" t="s">
        <v>1102</v>
      </c>
      <c r="F291">
        <v>4</v>
      </c>
      <c r="G291">
        <v>2</v>
      </c>
      <c r="H291">
        <v>4.6352695468095897</v>
      </c>
      <c r="I291" t="s">
        <v>957</v>
      </c>
      <c r="J291" t="s">
        <v>3683</v>
      </c>
      <c r="K291">
        <v>0.157142857142857</v>
      </c>
      <c r="L291" t="s">
        <v>959</v>
      </c>
      <c r="M291">
        <v>2.2900763358778602</v>
      </c>
      <c r="N291" t="s">
        <v>960</v>
      </c>
      <c r="O291">
        <v>0</v>
      </c>
      <c r="P291">
        <v>0</v>
      </c>
      <c r="Q291">
        <v>0</v>
      </c>
      <c r="R291">
        <v>0</v>
      </c>
    </row>
    <row r="292" spans="1:18" ht="16" x14ac:dyDescent="0.2">
      <c r="A292" s="127" t="s">
        <v>954</v>
      </c>
      <c r="B292" t="s">
        <v>158</v>
      </c>
      <c r="C292" t="s">
        <v>3305</v>
      </c>
      <c r="D292" t="s">
        <v>3306</v>
      </c>
      <c r="E292" t="s">
        <v>1488</v>
      </c>
      <c r="F292">
        <v>8</v>
      </c>
      <c r="G292">
        <v>2</v>
      </c>
      <c r="H292">
        <v>5.8479972236746001</v>
      </c>
      <c r="I292" t="s">
        <v>957</v>
      </c>
      <c r="J292" t="s">
        <v>3307</v>
      </c>
      <c r="K292">
        <v>0.16428571428571401</v>
      </c>
      <c r="L292" t="s">
        <v>959</v>
      </c>
      <c r="M292">
        <v>0.76335877862595403</v>
      </c>
      <c r="N292" t="s">
        <v>960</v>
      </c>
      <c r="O292">
        <v>0</v>
      </c>
      <c r="P292">
        <v>0</v>
      </c>
      <c r="Q292">
        <v>0</v>
      </c>
      <c r="R292">
        <v>0</v>
      </c>
    </row>
    <row r="293" spans="1:18" ht="16" x14ac:dyDescent="0.2">
      <c r="A293" s="127" t="s">
        <v>954</v>
      </c>
      <c r="B293" t="s">
        <v>158</v>
      </c>
      <c r="C293" t="s">
        <v>2947</v>
      </c>
      <c r="D293" t="s">
        <v>2948</v>
      </c>
      <c r="E293">
        <v>8</v>
      </c>
      <c r="F293">
        <v>8</v>
      </c>
      <c r="G293">
        <v>1</v>
      </c>
      <c r="H293">
        <v>7.8361094875814103</v>
      </c>
      <c r="I293" t="s">
        <v>957</v>
      </c>
      <c r="J293" t="s">
        <v>2949</v>
      </c>
      <c r="K293">
        <v>0.17142857142857101</v>
      </c>
      <c r="L293" t="s">
        <v>959</v>
      </c>
      <c r="M293">
        <v>0.76335877862595403</v>
      </c>
      <c r="N293" t="s">
        <v>960</v>
      </c>
      <c r="O293">
        <v>0</v>
      </c>
      <c r="P293" t="s">
        <v>5018</v>
      </c>
      <c r="Q293">
        <v>0</v>
      </c>
      <c r="R293">
        <v>0</v>
      </c>
    </row>
    <row r="294" spans="1:18" ht="16" x14ac:dyDescent="0.2">
      <c r="A294" s="127" t="s">
        <v>954</v>
      </c>
      <c r="B294" t="s">
        <v>158</v>
      </c>
      <c r="C294" t="s">
        <v>1386</v>
      </c>
      <c r="D294" t="s">
        <v>1387</v>
      </c>
      <c r="E294">
        <v>5</v>
      </c>
      <c r="F294">
        <v>5</v>
      </c>
      <c r="G294">
        <v>1</v>
      </c>
      <c r="H294">
        <v>8.3698339496342893</v>
      </c>
      <c r="I294" t="s">
        <v>957</v>
      </c>
      <c r="J294" t="s">
        <v>2325</v>
      </c>
      <c r="K294">
        <v>3.5714285714285698E-2</v>
      </c>
      <c r="L294" t="s">
        <v>959</v>
      </c>
      <c r="M294">
        <v>2.2900763358778602</v>
      </c>
      <c r="N294" t="s">
        <v>982</v>
      </c>
      <c r="O294">
        <v>0</v>
      </c>
      <c r="P294">
        <v>0</v>
      </c>
      <c r="Q294">
        <v>0</v>
      </c>
      <c r="R294">
        <v>0</v>
      </c>
    </row>
    <row r="295" spans="1:18" ht="16" x14ac:dyDescent="0.2">
      <c r="A295" s="127" t="s">
        <v>954</v>
      </c>
      <c r="B295" t="s">
        <v>158</v>
      </c>
      <c r="C295" t="s">
        <v>2384</v>
      </c>
      <c r="D295" t="s">
        <v>2385</v>
      </c>
      <c r="E295" t="s">
        <v>1598</v>
      </c>
      <c r="F295">
        <v>7</v>
      </c>
      <c r="G295">
        <v>2</v>
      </c>
      <c r="H295">
        <v>6.9234589297523597</v>
      </c>
      <c r="I295" t="s">
        <v>957</v>
      </c>
      <c r="J295" t="s">
        <v>2386</v>
      </c>
      <c r="K295">
        <v>0.14285714285714299</v>
      </c>
      <c r="L295" t="s">
        <v>959</v>
      </c>
      <c r="M295">
        <v>1.5267175572519101</v>
      </c>
      <c r="N295" t="s">
        <v>960</v>
      </c>
      <c r="O295">
        <v>0</v>
      </c>
      <c r="P295">
        <v>0</v>
      </c>
      <c r="Q295">
        <v>0</v>
      </c>
      <c r="R295">
        <v>0</v>
      </c>
    </row>
    <row r="296" spans="1:18" ht="16" x14ac:dyDescent="0.2">
      <c r="A296" s="127" t="s">
        <v>954</v>
      </c>
      <c r="B296" t="s">
        <v>158</v>
      </c>
      <c r="C296" t="s">
        <v>2300</v>
      </c>
      <c r="D296" t="s">
        <v>2301</v>
      </c>
      <c r="E296">
        <v>4</v>
      </c>
      <c r="F296">
        <v>4</v>
      </c>
      <c r="G296">
        <v>1</v>
      </c>
      <c r="H296">
        <v>8.954399343895</v>
      </c>
      <c r="I296" t="s">
        <v>957</v>
      </c>
      <c r="J296" t="s">
        <v>2302</v>
      </c>
      <c r="K296">
        <v>5.7142857142857099E-2</v>
      </c>
      <c r="L296" t="s">
        <v>959</v>
      </c>
      <c r="M296">
        <v>1.5267175572519101</v>
      </c>
      <c r="N296" t="s">
        <v>982</v>
      </c>
      <c r="O296">
        <v>0</v>
      </c>
      <c r="P296">
        <v>0</v>
      </c>
      <c r="Q296">
        <v>0</v>
      </c>
      <c r="R296">
        <v>0</v>
      </c>
    </row>
    <row r="297" spans="1:18" ht="16" x14ac:dyDescent="0.2">
      <c r="A297" s="127" t="s">
        <v>954</v>
      </c>
      <c r="B297" t="s">
        <v>158</v>
      </c>
      <c r="C297" t="s">
        <v>2491</v>
      </c>
      <c r="D297" t="s">
        <v>2492</v>
      </c>
      <c r="E297" t="s">
        <v>2493</v>
      </c>
      <c r="F297">
        <v>10</v>
      </c>
      <c r="G297">
        <v>4</v>
      </c>
      <c r="H297">
        <v>5.9448559682392297</v>
      </c>
      <c r="I297" t="s">
        <v>957</v>
      </c>
      <c r="J297" t="s">
        <v>2494</v>
      </c>
      <c r="K297">
        <v>0.121428571428571</v>
      </c>
      <c r="L297" t="s">
        <v>959</v>
      </c>
      <c r="M297">
        <v>2.2900763358778602</v>
      </c>
      <c r="N297" t="s">
        <v>960</v>
      </c>
      <c r="O297">
        <v>0</v>
      </c>
      <c r="P297">
        <v>0</v>
      </c>
      <c r="Q297">
        <v>0</v>
      </c>
      <c r="R297">
        <v>0</v>
      </c>
    </row>
    <row r="298" spans="1:18" ht="16" x14ac:dyDescent="0.2">
      <c r="A298" s="127" t="s">
        <v>954</v>
      </c>
      <c r="B298" t="s">
        <v>158</v>
      </c>
      <c r="C298" t="s">
        <v>1010</v>
      </c>
      <c r="D298" t="s">
        <v>1011</v>
      </c>
      <c r="E298">
        <v>6</v>
      </c>
      <c r="F298">
        <v>6</v>
      </c>
      <c r="G298">
        <v>1</v>
      </c>
      <c r="H298">
        <v>9.0652401698256995</v>
      </c>
      <c r="I298" t="s">
        <v>957</v>
      </c>
      <c r="J298" t="s">
        <v>1012</v>
      </c>
      <c r="K298">
        <v>7.8571428571428598E-2</v>
      </c>
      <c r="L298" t="s">
        <v>959</v>
      </c>
      <c r="M298">
        <v>0.76335877862595403</v>
      </c>
      <c r="N298" t="s">
        <v>960</v>
      </c>
      <c r="O298">
        <v>0</v>
      </c>
      <c r="P298">
        <v>0</v>
      </c>
      <c r="Q298">
        <v>0</v>
      </c>
      <c r="R298">
        <v>0</v>
      </c>
    </row>
    <row r="299" spans="1:18" ht="16" x14ac:dyDescent="0.2">
      <c r="A299" s="127" t="s">
        <v>954</v>
      </c>
      <c r="B299" t="s">
        <v>158</v>
      </c>
      <c r="C299" t="s">
        <v>2961</v>
      </c>
      <c r="D299" t="s">
        <v>2962</v>
      </c>
      <c r="E299" t="s">
        <v>1039</v>
      </c>
      <c r="F299">
        <v>3</v>
      </c>
      <c r="G299">
        <v>2</v>
      </c>
      <c r="H299">
        <v>9.3263480390463602</v>
      </c>
      <c r="I299" t="s">
        <v>957</v>
      </c>
      <c r="J299" t="s">
        <v>2963</v>
      </c>
      <c r="K299">
        <v>0.05</v>
      </c>
      <c r="L299" t="s">
        <v>959</v>
      </c>
      <c r="M299">
        <v>0.76335877862595403</v>
      </c>
      <c r="N299" t="s">
        <v>960</v>
      </c>
      <c r="O299">
        <v>0</v>
      </c>
      <c r="P299">
        <v>0</v>
      </c>
      <c r="Q299">
        <v>0</v>
      </c>
      <c r="R299">
        <v>0</v>
      </c>
    </row>
    <row r="300" spans="1:18" ht="16" x14ac:dyDescent="0.2">
      <c r="A300" s="127" t="s">
        <v>954</v>
      </c>
      <c r="B300" t="s">
        <v>158</v>
      </c>
      <c r="C300" t="s">
        <v>2684</v>
      </c>
      <c r="D300" t="s">
        <v>2685</v>
      </c>
      <c r="E300" t="s">
        <v>1230</v>
      </c>
      <c r="F300">
        <v>4</v>
      </c>
      <c r="G300">
        <v>2</v>
      </c>
      <c r="H300">
        <v>5.3859033717267604</v>
      </c>
      <c r="I300" t="s">
        <v>957</v>
      </c>
      <c r="J300" t="s">
        <v>2686</v>
      </c>
      <c r="K300">
        <v>0.121428571428571</v>
      </c>
      <c r="L300" t="s">
        <v>959</v>
      </c>
      <c r="M300">
        <v>1.5267175572519101</v>
      </c>
      <c r="N300" t="s">
        <v>982</v>
      </c>
      <c r="O300">
        <v>0</v>
      </c>
      <c r="P300">
        <v>0</v>
      </c>
      <c r="Q300">
        <v>0</v>
      </c>
      <c r="R300">
        <v>0</v>
      </c>
    </row>
    <row r="301" spans="1:18" ht="16" x14ac:dyDescent="0.2">
      <c r="A301" s="127" t="s">
        <v>954</v>
      </c>
      <c r="B301" t="s">
        <v>158</v>
      </c>
      <c r="C301" t="s">
        <v>2649</v>
      </c>
      <c r="D301" t="s">
        <v>2650</v>
      </c>
      <c r="E301">
        <v>3</v>
      </c>
      <c r="F301">
        <v>3</v>
      </c>
      <c r="G301">
        <v>1</v>
      </c>
      <c r="H301">
        <v>7.3070207360200001</v>
      </c>
      <c r="I301" t="s">
        <v>957</v>
      </c>
      <c r="J301" t="s">
        <v>2651</v>
      </c>
      <c r="K301">
        <v>0.107142857142857</v>
      </c>
      <c r="L301" t="s">
        <v>959</v>
      </c>
      <c r="M301">
        <v>0.76335877862595403</v>
      </c>
      <c r="N301" t="s">
        <v>960</v>
      </c>
      <c r="O301">
        <v>0</v>
      </c>
      <c r="P301">
        <v>0</v>
      </c>
      <c r="Q301">
        <v>0</v>
      </c>
      <c r="R301">
        <v>0</v>
      </c>
    </row>
    <row r="302" spans="1:18" ht="16" x14ac:dyDescent="0.2">
      <c r="A302" s="127" t="s">
        <v>954</v>
      </c>
      <c r="B302" t="s">
        <v>158</v>
      </c>
      <c r="C302" t="s">
        <v>1607</v>
      </c>
      <c r="D302" t="s">
        <v>1608</v>
      </c>
      <c r="E302" t="s">
        <v>1609</v>
      </c>
      <c r="F302">
        <v>5</v>
      </c>
      <c r="G302">
        <v>3</v>
      </c>
      <c r="H302">
        <v>8.0118458889158699</v>
      </c>
      <c r="I302" t="s">
        <v>957</v>
      </c>
      <c r="J302" t="s">
        <v>1610</v>
      </c>
      <c r="K302">
        <v>7.8571428571428598E-2</v>
      </c>
      <c r="L302" t="s">
        <v>959</v>
      </c>
      <c r="M302">
        <v>1.5267175572519101</v>
      </c>
      <c r="N302" t="s">
        <v>960</v>
      </c>
      <c r="O302">
        <v>0</v>
      </c>
      <c r="P302">
        <v>0</v>
      </c>
      <c r="Q302">
        <v>0</v>
      </c>
      <c r="R302">
        <v>0</v>
      </c>
    </row>
    <row r="303" spans="1:18" ht="16" x14ac:dyDescent="0.2">
      <c r="A303" s="127" t="s">
        <v>954</v>
      </c>
      <c r="B303" t="s">
        <v>158</v>
      </c>
      <c r="C303" t="s">
        <v>2832</v>
      </c>
      <c r="D303" t="s">
        <v>2833</v>
      </c>
      <c r="E303">
        <v>6</v>
      </c>
      <c r="F303">
        <v>6</v>
      </c>
      <c r="G303">
        <v>1</v>
      </c>
      <c r="H303">
        <v>6.1765293888729804</v>
      </c>
      <c r="I303" t="s">
        <v>957</v>
      </c>
      <c r="J303" t="s">
        <v>3069</v>
      </c>
      <c r="K303">
        <v>0.15</v>
      </c>
      <c r="L303" t="s">
        <v>959</v>
      </c>
      <c r="M303">
        <v>1.5267175572519101</v>
      </c>
      <c r="N303" t="s">
        <v>960</v>
      </c>
      <c r="O303">
        <v>0</v>
      </c>
      <c r="P303">
        <v>0</v>
      </c>
      <c r="Q303">
        <v>0</v>
      </c>
      <c r="R303">
        <v>0</v>
      </c>
    </row>
    <row r="304" spans="1:18" ht="16" x14ac:dyDescent="0.2">
      <c r="A304" s="127" t="s">
        <v>954</v>
      </c>
      <c r="B304" t="s">
        <v>158</v>
      </c>
      <c r="C304" t="s">
        <v>1653</v>
      </c>
      <c r="D304" t="s">
        <v>1654</v>
      </c>
      <c r="E304" t="s">
        <v>3276</v>
      </c>
      <c r="F304">
        <v>6</v>
      </c>
      <c r="G304">
        <v>3</v>
      </c>
      <c r="H304">
        <v>4.7147160842991704</v>
      </c>
      <c r="I304" t="s">
        <v>957</v>
      </c>
      <c r="J304" t="s">
        <v>3277</v>
      </c>
      <c r="K304">
        <v>0.20714285714285699</v>
      </c>
      <c r="L304" t="s">
        <v>959</v>
      </c>
      <c r="M304">
        <v>1.5267175572519101</v>
      </c>
      <c r="N304" t="s">
        <v>960</v>
      </c>
      <c r="O304">
        <v>0</v>
      </c>
      <c r="P304">
        <v>0</v>
      </c>
      <c r="Q304">
        <v>0</v>
      </c>
      <c r="R304">
        <v>0</v>
      </c>
    </row>
    <row r="305" spans="1:18" ht="16" x14ac:dyDescent="0.2">
      <c r="A305" s="127" t="s">
        <v>954</v>
      </c>
      <c r="B305" t="s">
        <v>158</v>
      </c>
      <c r="C305" t="s">
        <v>1855</v>
      </c>
      <c r="D305" t="s">
        <v>1856</v>
      </c>
      <c r="E305">
        <v>4</v>
      </c>
      <c r="F305">
        <v>4</v>
      </c>
      <c r="G305">
        <v>1</v>
      </c>
      <c r="H305">
        <v>10.8424914421106</v>
      </c>
      <c r="I305" t="s">
        <v>957</v>
      </c>
      <c r="J305" t="s">
        <v>1857</v>
      </c>
      <c r="K305">
        <v>2.1428571428571401E-2</v>
      </c>
      <c r="L305" t="s">
        <v>959</v>
      </c>
      <c r="M305">
        <v>0.76335877862595403</v>
      </c>
      <c r="N305" t="s">
        <v>960</v>
      </c>
      <c r="O305">
        <v>0</v>
      </c>
      <c r="P305">
        <v>0</v>
      </c>
      <c r="Q305">
        <v>0</v>
      </c>
      <c r="R305">
        <v>0</v>
      </c>
    </row>
    <row r="306" spans="1:18" ht="16" x14ac:dyDescent="0.2">
      <c r="A306" s="127" t="s">
        <v>954</v>
      </c>
      <c r="B306" t="s">
        <v>158</v>
      </c>
      <c r="C306" t="s">
        <v>2166</v>
      </c>
      <c r="D306" t="s">
        <v>2167</v>
      </c>
      <c r="E306">
        <v>7</v>
      </c>
      <c r="F306">
        <v>7</v>
      </c>
      <c r="G306">
        <v>1</v>
      </c>
      <c r="H306">
        <v>9.2008629223040899</v>
      </c>
      <c r="I306" t="s">
        <v>957</v>
      </c>
      <c r="J306" t="s">
        <v>2168</v>
      </c>
      <c r="K306">
        <v>9.2857142857142902E-2</v>
      </c>
      <c r="L306" t="s">
        <v>959</v>
      </c>
      <c r="M306">
        <v>0.76335877862595403</v>
      </c>
      <c r="N306" t="s">
        <v>982</v>
      </c>
      <c r="O306">
        <v>0</v>
      </c>
      <c r="P306">
        <v>0</v>
      </c>
      <c r="Q306">
        <v>0</v>
      </c>
      <c r="R306">
        <v>0</v>
      </c>
    </row>
    <row r="307" spans="1:18" ht="16" x14ac:dyDescent="0.2">
      <c r="A307" s="127" t="s">
        <v>954</v>
      </c>
      <c r="B307" t="s">
        <v>158</v>
      </c>
      <c r="C307" t="s">
        <v>1838</v>
      </c>
      <c r="D307" t="s">
        <v>1839</v>
      </c>
      <c r="E307" t="s">
        <v>1840</v>
      </c>
      <c r="F307">
        <v>5</v>
      </c>
      <c r="G307">
        <v>3</v>
      </c>
      <c r="H307">
        <v>8.4195458096252995</v>
      </c>
      <c r="I307" t="s">
        <v>957</v>
      </c>
      <c r="J307" t="s">
        <v>1841</v>
      </c>
      <c r="K307">
        <v>6.4285714285714293E-2</v>
      </c>
      <c r="L307" t="s">
        <v>959</v>
      </c>
      <c r="M307">
        <v>1.5267175572519101</v>
      </c>
      <c r="N307" t="s">
        <v>982</v>
      </c>
      <c r="O307">
        <v>0</v>
      </c>
      <c r="P307">
        <v>0</v>
      </c>
      <c r="Q307">
        <v>0</v>
      </c>
      <c r="R307">
        <v>0</v>
      </c>
    </row>
    <row r="308" spans="1:18" ht="16" x14ac:dyDescent="0.2">
      <c r="A308" s="127" t="s">
        <v>954</v>
      </c>
      <c r="B308" t="s">
        <v>158</v>
      </c>
      <c r="C308" t="s">
        <v>3000</v>
      </c>
      <c r="D308" t="s">
        <v>3001</v>
      </c>
      <c r="E308">
        <v>4</v>
      </c>
      <c r="F308">
        <v>4</v>
      </c>
      <c r="G308">
        <v>1</v>
      </c>
      <c r="H308">
        <v>6.0161612911051199</v>
      </c>
      <c r="I308" t="s">
        <v>957</v>
      </c>
      <c r="J308" t="s">
        <v>3042</v>
      </c>
      <c r="K308">
        <v>9.2857142857142902E-2</v>
      </c>
      <c r="L308" t="s">
        <v>959</v>
      </c>
      <c r="M308">
        <v>1.5267175572519101</v>
      </c>
      <c r="N308" t="s">
        <v>960</v>
      </c>
      <c r="O308">
        <v>0</v>
      </c>
      <c r="P308">
        <v>0</v>
      </c>
      <c r="Q308">
        <v>0</v>
      </c>
      <c r="R308">
        <v>0</v>
      </c>
    </row>
    <row r="309" spans="1:18" ht="16" x14ac:dyDescent="0.2">
      <c r="A309" s="127" t="s">
        <v>954</v>
      </c>
      <c r="B309" t="s">
        <v>158</v>
      </c>
      <c r="C309" t="s">
        <v>1825</v>
      </c>
      <c r="D309" t="s">
        <v>1826</v>
      </c>
      <c r="E309">
        <v>3</v>
      </c>
      <c r="F309">
        <v>3</v>
      </c>
      <c r="G309">
        <v>1</v>
      </c>
      <c r="H309">
        <v>5.1900429421669303</v>
      </c>
      <c r="I309" t="s">
        <v>957</v>
      </c>
      <c r="J309" t="s">
        <v>1827</v>
      </c>
      <c r="K309">
        <v>9.2857142857142902E-2</v>
      </c>
      <c r="L309" t="s">
        <v>959</v>
      </c>
      <c r="M309">
        <v>2.2900763358778602</v>
      </c>
      <c r="N309" t="s">
        <v>982</v>
      </c>
      <c r="O309">
        <v>0</v>
      </c>
      <c r="P309">
        <v>0</v>
      </c>
      <c r="Q309">
        <v>0</v>
      </c>
      <c r="R309">
        <v>0</v>
      </c>
    </row>
    <row r="310" spans="1:18" ht="16" x14ac:dyDescent="0.2">
      <c r="A310" s="127" t="s">
        <v>954</v>
      </c>
      <c r="B310" t="s">
        <v>158</v>
      </c>
      <c r="C310" t="s">
        <v>2370</v>
      </c>
      <c r="D310" t="s">
        <v>2371</v>
      </c>
      <c r="E310">
        <v>7</v>
      </c>
      <c r="F310">
        <v>7</v>
      </c>
      <c r="G310">
        <v>1</v>
      </c>
      <c r="H310">
        <v>5.9424484137879503</v>
      </c>
      <c r="I310" t="s">
        <v>957</v>
      </c>
      <c r="J310" t="s">
        <v>2850</v>
      </c>
      <c r="K310">
        <v>9.2857142857142902E-2</v>
      </c>
      <c r="L310" t="s">
        <v>959</v>
      </c>
      <c r="M310">
        <v>1.5267175572519101</v>
      </c>
      <c r="N310" t="s">
        <v>960</v>
      </c>
      <c r="O310">
        <v>0</v>
      </c>
      <c r="P310">
        <v>0</v>
      </c>
      <c r="Q310">
        <v>0</v>
      </c>
      <c r="R310">
        <v>0</v>
      </c>
    </row>
    <row r="311" spans="1:18" ht="16" x14ac:dyDescent="0.2">
      <c r="A311" s="127" t="s">
        <v>954</v>
      </c>
      <c r="B311" t="s">
        <v>158</v>
      </c>
      <c r="C311" t="s">
        <v>1879</v>
      </c>
      <c r="D311" t="s">
        <v>1880</v>
      </c>
      <c r="E311">
        <v>3</v>
      </c>
      <c r="F311">
        <v>3</v>
      </c>
      <c r="G311">
        <v>1</v>
      </c>
      <c r="H311">
        <v>7.2894545827996398</v>
      </c>
      <c r="I311" t="s">
        <v>957</v>
      </c>
      <c r="J311" t="s">
        <v>1881</v>
      </c>
      <c r="K311">
        <v>3.5714285714285698E-2</v>
      </c>
      <c r="L311" t="s">
        <v>959</v>
      </c>
      <c r="M311">
        <v>1.5267175572519101</v>
      </c>
      <c r="N311" t="s">
        <v>960</v>
      </c>
      <c r="O311">
        <v>0</v>
      </c>
      <c r="P311">
        <v>0</v>
      </c>
      <c r="Q311">
        <v>0</v>
      </c>
      <c r="R311">
        <v>0</v>
      </c>
    </row>
    <row r="312" spans="1:18" ht="16" x14ac:dyDescent="0.2">
      <c r="A312" s="127" t="s">
        <v>954</v>
      </c>
      <c r="B312" t="s">
        <v>158</v>
      </c>
      <c r="C312" t="s">
        <v>1926</v>
      </c>
      <c r="D312" t="s">
        <v>1927</v>
      </c>
      <c r="E312">
        <v>3</v>
      </c>
      <c r="F312">
        <v>3</v>
      </c>
      <c r="G312">
        <v>1</v>
      </c>
      <c r="H312">
        <v>4.7586301875251404</v>
      </c>
      <c r="I312" t="s">
        <v>957</v>
      </c>
      <c r="J312" t="s">
        <v>2069</v>
      </c>
      <c r="K312">
        <v>6.4285714285714293E-2</v>
      </c>
      <c r="L312" t="s">
        <v>959</v>
      </c>
      <c r="M312">
        <v>2.2900763358778602</v>
      </c>
      <c r="N312" t="s">
        <v>960</v>
      </c>
      <c r="O312">
        <v>0</v>
      </c>
      <c r="P312">
        <v>0</v>
      </c>
      <c r="Q312">
        <v>0</v>
      </c>
      <c r="R312">
        <v>0</v>
      </c>
    </row>
    <row r="313" spans="1:18" ht="16" x14ac:dyDescent="0.2">
      <c r="A313" s="127" t="s">
        <v>954</v>
      </c>
      <c r="B313" t="s">
        <v>158</v>
      </c>
      <c r="C313" t="s">
        <v>1596</v>
      </c>
      <c r="D313" t="s">
        <v>1597</v>
      </c>
      <c r="E313" t="s">
        <v>1598</v>
      </c>
      <c r="F313">
        <v>7</v>
      </c>
      <c r="G313">
        <v>2</v>
      </c>
      <c r="H313">
        <v>3.7214037685158399</v>
      </c>
      <c r="I313" t="s">
        <v>957</v>
      </c>
      <c r="J313" t="s">
        <v>1599</v>
      </c>
      <c r="K313">
        <v>0.2</v>
      </c>
      <c r="L313" t="s">
        <v>1004</v>
      </c>
      <c r="M313">
        <v>0.76335877862595403</v>
      </c>
      <c r="N313" t="s">
        <v>1005</v>
      </c>
      <c r="O313">
        <v>0</v>
      </c>
      <c r="P313">
        <v>0</v>
      </c>
      <c r="Q313">
        <v>0</v>
      </c>
      <c r="R313">
        <v>0</v>
      </c>
    </row>
    <row r="314" spans="1:18" ht="16" x14ac:dyDescent="0.2">
      <c r="A314" s="127" t="s">
        <v>954</v>
      </c>
      <c r="B314" t="s">
        <v>158</v>
      </c>
      <c r="C314" t="s">
        <v>1493</v>
      </c>
      <c r="D314" t="s">
        <v>1494</v>
      </c>
      <c r="E314" t="s">
        <v>1495</v>
      </c>
      <c r="F314">
        <v>11</v>
      </c>
      <c r="G314">
        <v>3</v>
      </c>
      <c r="H314">
        <v>11.8321595661992</v>
      </c>
      <c r="I314" t="s">
        <v>957</v>
      </c>
      <c r="J314" t="s">
        <v>1496</v>
      </c>
      <c r="K314">
        <v>7.14285714285714E-3</v>
      </c>
      <c r="L314" t="s">
        <v>959</v>
      </c>
      <c r="M314">
        <v>0.76335877862595403</v>
      </c>
      <c r="N314" t="s">
        <v>960</v>
      </c>
      <c r="O314">
        <v>0</v>
      </c>
      <c r="P314">
        <v>0</v>
      </c>
      <c r="Q314">
        <v>0</v>
      </c>
      <c r="R314">
        <v>0</v>
      </c>
    </row>
    <row r="315" spans="1:18" ht="16" x14ac:dyDescent="0.2">
      <c r="A315" s="127" t="s">
        <v>954</v>
      </c>
      <c r="B315" t="s">
        <v>158</v>
      </c>
      <c r="C315" t="s">
        <v>3254</v>
      </c>
      <c r="D315" t="s">
        <v>3255</v>
      </c>
      <c r="E315" t="s">
        <v>3256</v>
      </c>
      <c r="F315">
        <v>19</v>
      </c>
      <c r="G315">
        <v>3</v>
      </c>
      <c r="H315">
        <v>11.674171292643701</v>
      </c>
      <c r="I315" t="s">
        <v>957</v>
      </c>
      <c r="J315" t="s">
        <v>3257</v>
      </c>
      <c r="K315">
        <v>2.8571428571428598E-2</v>
      </c>
      <c r="L315" t="s">
        <v>959</v>
      </c>
      <c r="M315">
        <v>0.76335877862595403</v>
      </c>
      <c r="N315" t="s">
        <v>960</v>
      </c>
      <c r="O315">
        <v>0</v>
      </c>
      <c r="P315">
        <v>0</v>
      </c>
      <c r="Q315">
        <v>0</v>
      </c>
      <c r="R315">
        <v>0</v>
      </c>
    </row>
    <row r="316" spans="1:18" ht="16" x14ac:dyDescent="0.2">
      <c r="A316" s="127" t="s">
        <v>954</v>
      </c>
      <c r="B316" t="s">
        <v>158</v>
      </c>
      <c r="C316" t="s">
        <v>3520</v>
      </c>
      <c r="D316" t="s">
        <v>3521</v>
      </c>
      <c r="E316" t="s">
        <v>3522</v>
      </c>
      <c r="F316">
        <v>30</v>
      </c>
      <c r="G316">
        <v>6</v>
      </c>
      <c r="H316">
        <v>11.8321595661993</v>
      </c>
      <c r="I316" t="s">
        <v>957</v>
      </c>
      <c r="J316" t="s">
        <v>3523</v>
      </c>
      <c r="K316">
        <v>7.14285714285714E-3</v>
      </c>
      <c r="L316" t="s">
        <v>959</v>
      </c>
      <c r="M316">
        <v>0.76335877862595403</v>
      </c>
      <c r="N316" t="s">
        <v>960</v>
      </c>
      <c r="O316">
        <v>0</v>
      </c>
      <c r="P316">
        <v>0</v>
      </c>
      <c r="Q316">
        <v>0</v>
      </c>
      <c r="R316">
        <v>0</v>
      </c>
    </row>
    <row r="317" spans="1:18" ht="16" x14ac:dyDescent="0.2">
      <c r="A317" s="127" t="s">
        <v>954</v>
      </c>
      <c r="B317" t="s">
        <v>158</v>
      </c>
      <c r="C317" t="s">
        <v>2070</v>
      </c>
      <c r="D317" t="s">
        <v>2071</v>
      </c>
      <c r="E317" t="s">
        <v>2072</v>
      </c>
      <c r="F317">
        <v>15</v>
      </c>
      <c r="G317">
        <v>3</v>
      </c>
      <c r="H317">
        <v>11.8321595661992</v>
      </c>
      <c r="I317" t="s">
        <v>957</v>
      </c>
      <c r="J317" t="s">
        <v>2073</v>
      </c>
      <c r="K317">
        <v>7.14285714285714E-3</v>
      </c>
      <c r="L317" t="s">
        <v>959</v>
      </c>
      <c r="M317">
        <v>1.5267175572519101</v>
      </c>
      <c r="N317" t="s">
        <v>960</v>
      </c>
      <c r="O317">
        <v>0</v>
      </c>
      <c r="P317" t="s">
        <v>5017</v>
      </c>
      <c r="Q317">
        <v>0</v>
      </c>
      <c r="R317">
        <v>0</v>
      </c>
    </row>
    <row r="318" spans="1:18" ht="16" x14ac:dyDescent="0.2">
      <c r="A318" s="127" t="s">
        <v>954</v>
      </c>
      <c r="B318" t="s">
        <v>158</v>
      </c>
      <c r="C318" t="s">
        <v>2885</v>
      </c>
      <c r="D318" t="s">
        <v>2886</v>
      </c>
      <c r="E318" t="s">
        <v>2887</v>
      </c>
      <c r="F318">
        <v>6</v>
      </c>
      <c r="G318">
        <v>2</v>
      </c>
      <c r="H318">
        <v>11.8321595661992</v>
      </c>
      <c r="I318" t="s">
        <v>957</v>
      </c>
      <c r="J318" t="s">
        <v>2888</v>
      </c>
      <c r="K318">
        <v>7.14285714285714E-3</v>
      </c>
      <c r="L318" t="s">
        <v>959</v>
      </c>
      <c r="M318">
        <v>0.76335877862595403</v>
      </c>
      <c r="N318" t="s">
        <v>960</v>
      </c>
      <c r="O318">
        <v>0</v>
      </c>
      <c r="P318">
        <v>0</v>
      </c>
      <c r="Q318">
        <v>0</v>
      </c>
      <c r="R318">
        <v>0</v>
      </c>
    </row>
    <row r="319" spans="1:18" ht="16" x14ac:dyDescent="0.2">
      <c r="A319" s="127" t="s">
        <v>954</v>
      </c>
      <c r="B319" t="s">
        <v>158</v>
      </c>
      <c r="C319" t="s">
        <v>2766</v>
      </c>
      <c r="D319" t="s">
        <v>2767</v>
      </c>
      <c r="E319" t="s">
        <v>1052</v>
      </c>
      <c r="F319">
        <v>2</v>
      </c>
      <c r="G319">
        <v>2</v>
      </c>
      <c r="H319">
        <v>5.6105639573607</v>
      </c>
      <c r="I319" t="s">
        <v>957</v>
      </c>
      <c r="J319" t="s">
        <v>3476</v>
      </c>
      <c r="K319">
        <v>9.2857142857142902E-2</v>
      </c>
      <c r="L319" t="s">
        <v>959</v>
      </c>
      <c r="M319">
        <v>1.5267175572519101</v>
      </c>
      <c r="N319" t="s">
        <v>960</v>
      </c>
      <c r="O319">
        <v>0</v>
      </c>
      <c r="P319">
        <v>0</v>
      </c>
      <c r="Q319">
        <v>0</v>
      </c>
      <c r="R319">
        <v>0</v>
      </c>
    </row>
    <row r="320" spans="1:18" ht="16" x14ac:dyDescent="0.2">
      <c r="A320" s="127" t="s">
        <v>954</v>
      </c>
      <c r="B320" t="s">
        <v>158</v>
      </c>
      <c r="C320" t="s">
        <v>1321</v>
      </c>
      <c r="D320" t="s">
        <v>1322</v>
      </c>
      <c r="E320">
        <v>3</v>
      </c>
      <c r="F320">
        <v>3</v>
      </c>
      <c r="G320">
        <v>1</v>
      </c>
      <c r="H320">
        <v>5.70244442867358</v>
      </c>
      <c r="I320" t="s">
        <v>957</v>
      </c>
      <c r="J320" t="s">
        <v>1323</v>
      </c>
      <c r="K320">
        <v>8.5714285714285701E-2</v>
      </c>
      <c r="L320" t="s">
        <v>959</v>
      </c>
      <c r="M320">
        <v>0.76335877862595403</v>
      </c>
      <c r="N320" t="s">
        <v>960</v>
      </c>
      <c r="O320">
        <v>0</v>
      </c>
      <c r="P320">
        <v>0</v>
      </c>
      <c r="Q320">
        <v>0</v>
      </c>
      <c r="R320">
        <v>0</v>
      </c>
    </row>
    <row r="321" spans="1:18" ht="16" x14ac:dyDescent="0.2">
      <c r="A321" s="127" t="s">
        <v>954</v>
      </c>
      <c r="B321" t="s">
        <v>158</v>
      </c>
      <c r="C321" t="s">
        <v>2227</v>
      </c>
      <c r="D321" t="s">
        <v>2228</v>
      </c>
      <c r="E321">
        <v>4</v>
      </c>
      <c r="F321">
        <v>4</v>
      </c>
      <c r="G321">
        <v>1</v>
      </c>
      <c r="H321">
        <v>7.9080220807897499</v>
      </c>
      <c r="I321" t="s">
        <v>957</v>
      </c>
      <c r="J321" t="s">
        <v>2229</v>
      </c>
      <c r="K321">
        <v>7.8571428571428598E-2</v>
      </c>
      <c r="L321" t="s">
        <v>959</v>
      </c>
      <c r="M321">
        <v>0.76335877862595403</v>
      </c>
      <c r="N321" t="s">
        <v>960</v>
      </c>
      <c r="O321">
        <v>0</v>
      </c>
      <c r="P321" t="s">
        <v>5018</v>
      </c>
      <c r="Q321">
        <v>0</v>
      </c>
      <c r="R321">
        <v>0</v>
      </c>
    </row>
    <row r="322" spans="1:18" ht="16" x14ac:dyDescent="0.2">
      <c r="A322" s="127" t="s">
        <v>954</v>
      </c>
      <c r="B322" t="s">
        <v>158</v>
      </c>
      <c r="C322" t="s">
        <v>2821</v>
      </c>
      <c r="D322" t="s">
        <v>2822</v>
      </c>
      <c r="E322" t="s">
        <v>1059</v>
      </c>
      <c r="F322">
        <v>4</v>
      </c>
      <c r="G322">
        <v>2</v>
      </c>
      <c r="H322">
        <v>6.45127966289275</v>
      </c>
      <c r="I322" t="s">
        <v>957</v>
      </c>
      <c r="J322" t="s">
        <v>2823</v>
      </c>
      <c r="K322">
        <v>0.157142857142857</v>
      </c>
      <c r="L322" t="s">
        <v>959</v>
      </c>
      <c r="M322">
        <v>0.76335877862595403</v>
      </c>
      <c r="N322" t="s">
        <v>960</v>
      </c>
      <c r="O322">
        <v>0</v>
      </c>
      <c r="P322">
        <v>0</v>
      </c>
      <c r="Q322">
        <v>0</v>
      </c>
      <c r="R322">
        <v>0</v>
      </c>
    </row>
    <row r="323" spans="1:18" ht="16" x14ac:dyDescent="0.2">
      <c r="A323" s="127" t="s">
        <v>954</v>
      </c>
      <c r="B323" t="s">
        <v>158</v>
      </c>
      <c r="C323" t="s">
        <v>2394</v>
      </c>
      <c r="D323" t="s">
        <v>2395</v>
      </c>
      <c r="E323">
        <v>3</v>
      </c>
      <c r="F323">
        <v>3</v>
      </c>
      <c r="G323">
        <v>1</v>
      </c>
      <c r="H323">
        <v>6.3095462232565902</v>
      </c>
      <c r="I323" t="s">
        <v>957</v>
      </c>
      <c r="J323" t="s">
        <v>2396</v>
      </c>
      <c r="K323">
        <v>7.8571428571428598E-2</v>
      </c>
      <c r="L323" t="s">
        <v>959</v>
      </c>
      <c r="M323">
        <v>1.5267175572519101</v>
      </c>
      <c r="N323" t="s">
        <v>960</v>
      </c>
      <c r="O323">
        <v>0</v>
      </c>
      <c r="P323">
        <v>0</v>
      </c>
      <c r="Q323">
        <v>0</v>
      </c>
      <c r="R323">
        <v>0</v>
      </c>
    </row>
    <row r="324" spans="1:18" ht="16" x14ac:dyDescent="0.2">
      <c r="A324" s="127" t="s">
        <v>954</v>
      </c>
      <c r="B324" t="s">
        <v>158</v>
      </c>
      <c r="C324" t="s">
        <v>3144</v>
      </c>
      <c r="D324" t="s">
        <v>3145</v>
      </c>
      <c r="E324">
        <v>3</v>
      </c>
      <c r="F324">
        <v>3</v>
      </c>
      <c r="G324">
        <v>1</v>
      </c>
      <c r="H324">
        <v>6.0499762943744404</v>
      </c>
      <c r="I324" t="s">
        <v>957</v>
      </c>
      <c r="J324" t="s">
        <v>3146</v>
      </c>
      <c r="K324">
        <v>7.1428571428571397E-2</v>
      </c>
      <c r="L324" t="s">
        <v>959</v>
      </c>
      <c r="M324">
        <v>0.76335877862595403</v>
      </c>
      <c r="N324" t="s">
        <v>960</v>
      </c>
      <c r="O324">
        <v>0</v>
      </c>
      <c r="P324">
        <v>0</v>
      </c>
      <c r="Q324">
        <v>0</v>
      </c>
      <c r="R324">
        <v>0</v>
      </c>
    </row>
    <row r="325" spans="1:18" ht="16" x14ac:dyDescent="0.2">
      <c r="A325" s="127" t="s">
        <v>954</v>
      </c>
      <c r="B325" t="s">
        <v>158</v>
      </c>
      <c r="C325" t="s">
        <v>2433</v>
      </c>
      <c r="D325" t="s">
        <v>2434</v>
      </c>
      <c r="E325">
        <v>8</v>
      </c>
      <c r="F325">
        <v>8</v>
      </c>
      <c r="G325">
        <v>1</v>
      </c>
      <c r="H325">
        <v>5.9094501696759698</v>
      </c>
      <c r="I325" t="s">
        <v>957</v>
      </c>
      <c r="J325" t="s">
        <v>2435</v>
      </c>
      <c r="K325">
        <v>0.114285714285714</v>
      </c>
      <c r="L325" t="s">
        <v>959</v>
      </c>
      <c r="M325">
        <v>1.5267175572519101</v>
      </c>
      <c r="N325" t="s">
        <v>960</v>
      </c>
      <c r="O325">
        <v>0</v>
      </c>
      <c r="P325">
        <v>0</v>
      </c>
      <c r="Q325">
        <v>0</v>
      </c>
      <c r="R325">
        <v>0</v>
      </c>
    </row>
    <row r="326" spans="1:18" ht="16" x14ac:dyDescent="0.2">
      <c r="A326" s="127" t="s">
        <v>954</v>
      </c>
      <c r="B326" t="s">
        <v>158</v>
      </c>
      <c r="C326" t="s">
        <v>2749</v>
      </c>
      <c r="D326" t="s">
        <v>2750</v>
      </c>
      <c r="E326" t="s">
        <v>1074</v>
      </c>
      <c r="F326">
        <v>6</v>
      </c>
      <c r="G326">
        <v>2</v>
      </c>
      <c r="H326">
        <v>5.1100296866871098</v>
      </c>
      <c r="I326" t="s">
        <v>957</v>
      </c>
      <c r="J326" t="s">
        <v>2752</v>
      </c>
      <c r="K326">
        <v>0.128571428571429</v>
      </c>
      <c r="L326" t="s">
        <v>959</v>
      </c>
      <c r="M326">
        <v>1.5267175572519101</v>
      </c>
      <c r="N326" t="s">
        <v>960</v>
      </c>
      <c r="O326">
        <v>0</v>
      </c>
      <c r="P326">
        <v>0</v>
      </c>
      <c r="Q326">
        <v>0</v>
      </c>
      <c r="R326">
        <v>0</v>
      </c>
    </row>
    <row r="327" spans="1:18" ht="16" x14ac:dyDescent="0.2">
      <c r="A327" s="127" t="s">
        <v>954</v>
      </c>
      <c r="B327" t="s">
        <v>158</v>
      </c>
      <c r="C327" t="s">
        <v>1712</v>
      </c>
      <c r="D327" t="s">
        <v>1713</v>
      </c>
      <c r="E327">
        <v>4</v>
      </c>
      <c r="F327">
        <v>4</v>
      </c>
      <c r="G327">
        <v>1</v>
      </c>
      <c r="H327">
        <v>8.8123974790186903</v>
      </c>
      <c r="I327" t="s">
        <v>957</v>
      </c>
      <c r="J327" t="s">
        <v>1714</v>
      </c>
      <c r="K327">
        <v>8.5714285714285701E-2</v>
      </c>
      <c r="L327" t="s">
        <v>959</v>
      </c>
      <c r="M327">
        <v>0.76335877862595403</v>
      </c>
      <c r="N327" t="s">
        <v>960</v>
      </c>
      <c r="O327">
        <v>0</v>
      </c>
      <c r="P327">
        <v>0</v>
      </c>
      <c r="Q327">
        <v>0</v>
      </c>
      <c r="R327">
        <v>0</v>
      </c>
    </row>
    <row r="328" spans="1:18" ht="16" x14ac:dyDescent="0.2">
      <c r="A328" s="127" t="s">
        <v>954</v>
      </c>
      <c r="B328" t="s">
        <v>158</v>
      </c>
      <c r="C328" t="s">
        <v>2091</v>
      </c>
      <c r="D328" t="s">
        <v>2092</v>
      </c>
      <c r="E328">
        <v>5</v>
      </c>
      <c r="F328">
        <v>5</v>
      </c>
      <c r="G328">
        <v>1</v>
      </c>
      <c r="H328">
        <v>4.8413866185467898</v>
      </c>
      <c r="I328" t="s">
        <v>957</v>
      </c>
      <c r="J328" t="s">
        <v>3763</v>
      </c>
      <c r="K328">
        <v>0.14285714285714299</v>
      </c>
      <c r="L328" t="s">
        <v>959</v>
      </c>
      <c r="M328">
        <v>2.2900763358778602</v>
      </c>
      <c r="N328" t="s">
        <v>960</v>
      </c>
      <c r="O328">
        <v>0</v>
      </c>
      <c r="P328">
        <v>0</v>
      </c>
      <c r="Q328">
        <v>0</v>
      </c>
      <c r="R328">
        <v>0</v>
      </c>
    </row>
    <row r="329" spans="1:18" ht="16" x14ac:dyDescent="0.2">
      <c r="A329" s="127" t="s">
        <v>954</v>
      </c>
      <c r="B329" t="s">
        <v>158</v>
      </c>
      <c r="C329" t="s">
        <v>2835</v>
      </c>
      <c r="D329" t="s">
        <v>2836</v>
      </c>
      <c r="E329">
        <v>3</v>
      </c>
      <c r="F329">
        <v>3</v>
      </c>
      <c r="G329">
        <v>1</v>
      </c>
      <c r="H329">
        <v>11.246412354404701</v>
      </c>
      <c r="I329" t="s">
        <v>957</v>
      </c>
      <c r="J329" t="s">
        <v>2837</v>
      </c>
      <c r="K329">
        <v>1.4285714285714299E-2</v>
      </c>
      <c r="L329" t="s">
        <v>959</v>
      </c>
      <c r="M329">
        <v>0.76335877862595403</v>
      </c>
      <c r="N329" t="s">
        <v>960</v>
      </c>
      <c r="O329">
        <v>0</v>
      </c>
      <c r="P329">
        <v>0</v>
      </c>
      <c r="Q329">
        <v>0</v>
      </c>
      <c r="R329">
        <v>0</v>
      </c>
    </row>
    <row r="330" spans="1:18" ht="16" x14ac:dyDescent="0.2">
      <c r="A330" s="127" t="s">
        <v>954</v>
      </c>
      <c r="B330" t="s">
        <v>158</v>
      </c>
      <c r="C330" t="s">
        <v>1911</v>
      </c>
      <c r="D330" t="s">
        <v>1912</v>
      </c>
      <c r="E330">
        <v>4</v>
      </c>
      <c r="F330">
        <v>4</v>
      </c>
      <c r="G330">
        <v>1</v>
      </c>
      <c r="H330">
        <v>11.6175821091428</v>
      </c>
      <c r="I330" t="s">
        <v>957</v>
      </c>
      <c r="J330" t="s">
        <v>1913</v>
      </c>
      <c r="K330">
        <v>1.4285714285714299E-2</v>
      </c>
      <c r="L330" t="s">
        <v>959</v>
      </c>
      <c r="M330">
        <v>0.76335877862595403</v>
      </c>
      <c r="N330" t="s">
        <v>960</v>
      </c>
      <c r="O330">
        <v>0</v>
      </c>
      <c r="P330">
        <v>0</v>
      </c>
      <c r="Q330">
        <v>0</v>
      </c>
      <c r="R330">
        <v>0</v>
      </c>
    </row>
    <row r="331" spans="1:18" ht="16" x14ac:dyDescent="0.2">
      <c r="A331" s="127" t="s">
        <v>954</v>
      </c>
      <c r="B331" t="s">
        <v>158</v>
      </c>
      <c r="C331" t="s">
        <v>3261</v>
      </c>
      <c r="D331" t="s">
        <v>3262</v>
      </c>
      <c r="E331" t="s">
        <v>1022</v>
      </c>
      <c r="F331">
        <v>3</v>
      </c>
      <c r="G331">
        <v>2</v>
      </c>
      <c r="H331">
        <v>11.8321595661992</v>
      </c>
      <c r="I331" t="s">
        <v>957</v>
      </c>
      <c r="J331" t="s">
        <v>3263</v>
      </c>
      <c r="K331">
        <v>7.14285714285714E-3</v>
      </c>
      <c r="L331" t="s">
        <v>959</v>
      </c>
      <c r="M331">
        <v>0.76335877862595403</v>
      </c>
      <c r="N331" t="s">
        <v>960</v>
      </c>
      <c r="O331">
        <v>0</v>
      </c>
      <c r="P331">
        <v>0</v>
      </c>
      <c r="Q331">
        <v>0</v>
      </c>
      <c r="R331">
        <v>0</v>
      </c>
    </row>
    <row r="332" spans="1:18" ht="16" x14ac:dyDescent="0.2">
      <c r="A332" s="127" t="s">
        <v>954</v>
      </c>
      <c r="B332" t="s">
        <v>158</v>
      </c>
      <c r="C332" t="s">
        <v>1301</v>
      </c>
      <c r="D332" t="s">
        <v>1302</v>
      </c>
      <c r="E332">
        <v>4</v>
      </c>
      <c r="F332">
        <v>4</v>
      </c>
      <c r="G332">
        <v>1</v>
      </c>
      <c r="H332">
        <v>7.7550517621344301</v>
      </c>
      <c r="I332" t="s">
        <v>957</v>
      </c>
      <c r="J332" t="s">
        <v>1303</v>
      </c>
      <c r="K332">
        <v>7.1428571428571397E-2</v>
      </c>
      <c r="L332" t="s">
        <v>959</v>
      </c>
      <c r="M332">
        <v>1.5267175572519101</v>
      </c>
      <c r="N332" t="s">
        <v>960</v>
      </c>
      <c r="O332">
        <v>0</v>
      </c>
      <c r="P332">
        <v>0</v>
      </c>
      <c r="Q332">
        <v>0</v>
      </c>
      <c r="R332">
        <v>0</v>
      </c>
    </row>
    <row r="333" spans="1:18" ht="16" x14ac:dyDescent="0.2">
      <c r="A333" s="127" t="s">
        <v>954</v>
      </c>
      <c r="B333" t="s">
        <v>158</v>
      </c>
      <c r="C333" t="s">
        <v>2798</v>
      </c>
      <c r="D333" t="s">
        <v>2799</v>
      </c>
      <c r="E333" t="s">
        <v>1052</v>
      </c>
      <c r="F333">
        <v>2</v>
      </c>
      <c r="G333">
        <v>2</v>
      </c>
      <c r="H333">
        <v>6.1504060524591599</v>
      </c>
      <c r="I333" t="s">
        <v>957</v>
      </c>
      <c r="J333" t="s">
        <v>2800</v>
      </c>
      <c r="K333">
        <v>4.2857142857142899E-2</v>
      </c>
      <c r="L333" t="s">
        <v>959</v>
      </c>
      <c r="M333">
        <v>0.76335877862595403</v>
      </c>
      <c r="N333" t="s">
        <v>960</v>
      </c>
      <c r="O333">
        <v>0</v>
      </c>
      <c r="P333">
        <v>0</v>
      </c>
      <c r="Q333">
        <v>0</v>
      </c>
      <c r="R333">
        <v>0</v>
      </c>
    </row>
    <row r="334" spans="1:18" ht="16" x14ac:dyDescent="0.2">
      <c r="A334" s="127" t="s">
        <v>954</v>
      </c>
      <c r="B334" t="s">
        <v>158</v>
      </c>
      <c r="C334" t="s">
        <v>1677</v>
      </c>
      <c r="D334" t="s">
        <v>1678</v>
      </c>
      <c r="E334">
        <v>3</v>
      </c>
      <c r="F334">
        <v>3</v>
      </c>
      <c r="G334">
        <v>1</v>
      </c>
      <c r="H334">
        <v>11.246412354404701</v>
      </c>
      <c r="I334" t="s">
        <v>957</v>
      </c>
      <c r="J334" t="s">
        <v>1679</v>
      </c>
      <c r="K334">
        <v>1.4285714285714299E-2</v>
      </c>
      <c r="L334" t="s">
        <v>959</v>
      </c>
      <c r="M334">
        <v>0.76335877862595403</v>
      </c>
      <c r="N334" t="s">
        <v>960</v>
      </c>
      <c r="O334">
        <v>0</v>
      </c>
      <c r="P334">
        <v>0</v>
      </c>
      <c r="Q334">
        <v>0</v>
      </c>
      <c r="R334">
        <v>0</v>
      </c>
    </row>
    <row r="335" spans="1:18" ht="16" x14ac:dyDescent="0.2">
      <c r="A335" s="127" t="s">
        <v>954</v>
      </c>
      <c r="B335" t="s">
        <v>158</v>
      </c>
      <c r="C335" t="s">
        <v>1748</v>
      </c>
      <c r="D335" t="s">
        <v>1749</v>
      </c>
      <c r="E335">
        <v>5</v>
      </c>
      <c r="F335">
        <v>5</v>
      </c>
      <c r="G335">
        <v>1</v>
      </c>
      <c r="H335">
        <v>6.4384306329937004</v>
      </c>
      <c r="I335" t="s">
        <v>957</v>
      </c>
      <c r="J335" t="s">
        <v>1750</v>
      </c>
      <c r="K335">
        <v>0.114285714285714</v>
      </c>
      <c r="L335" t="s">
        <v>959</v>
      </c>
      <c r="M335">
        <v>1.5267175572519101</v>
      </c>
      <c r="N335" t="s">
        <v>960</v>
      </c>
      <c r="O335">
        <v>0</v>
      </c>
      <c r="P335">
        <v>0</v>
      </c>
      <c r="Q335">
        <v>0</v>
      </c>
      <c r="R335">
        <v>0</v>
      </c>
    </row>
    <row r="336" spans="1:18" ht="16" x14ac:dyDescent="0.2">
      <c r="A336" s="127" t="s">
        <v>954</v>
      </c>
      <c r="B336" t="s">
        <v>162</v>
      </c>
      <c r="C336" t="s">
        <v>2804</v>
      </c>
      <c r="D336" t="s">
        <v>2805</v>
      </c>
      <c r="E336" t="s">
        <v>1646</v>
      </c>
      <c r="F336">
        <v>8</v>
      </c>
      <c r="G336">
        <v>2</v>
      </c>
      <c r="H336">
        <v>3.8729833462074201</v>
      </c>
      <c r="I336" t="s">
        <v>957</v>
      </c>
      <c r="J336" t="s">
        <v>2806</v>
      </c>
      <c r="K336">
        <v>6.6666666666666693E-2</v>
      </c>
      <c r="L336" t="s">
        <v>1004</v>
      </c>
      <c r="M336">
        <v>0.76335877862595403</v>
      </c>
      <c r="N336" t="s">
        <v>982</v>
      </c>
      <c r="O336">
        <v>0</v>
      </c>
      <c r="P336">
        <v>0</v>
      </c>
      <c r="Q336">
        <v>0</v>
      </c>
      <c r="R336">
        <v>0</v>
      </c>
    </row>
    <row r="337" spans="1:18" ht="16" x14ac:dyDescent="0.2">
      <c r="A337" s="127" t="s">
        <v>954</v>
      </c>
      <c r="B337" t="s">
        <v>162</v>
      </c>
      <c r="C337" t="s">
        <v>3181</v>
      </c>
      <c r="D337" t="s">
        <v>3182</v>
      </c>
      <c r="E337" t="s">
        <v>2103</v>
      </c>
      <c r="F337">
        <v>35</v>
      </c>
      <c r="G337">
        <v>3</v>
      </c>
      <c r="H337">
        <v>3.8729833462074099</v>
      </c>
      <c r="I337" t="s">
        <v>957</v>
      </c>
      <c r="J337" t="s">
        <v>3183</v>
      </c>
      <c r="K337">
        <v>6.6666666666666693E-2</v>
      </c>
      <c r="L337" t="s">
        <v>1004</v>
      </c>
      <c r="M337">
        <v>0.76335877862595403</v>
      </c>
      <c r="N337" t="s">
        <v>1005</v>
      </c>
      <c r="O337">
        <v>0</v>
      </c>
      <c r="P337">
        <v>0</v>
      </c>
      <c r="Q337">
        <v>0</v>
      </c>
      <c r="R337">
        <v>0</v>
      </c>
    </row>
    <row r="338" spans="1:18" ht="16" x14ac:dyDescent="0.2">
      <c r="A338" s="127" t="s">
        <v>954</v>
      </c>
      <c r="B338" t="s">
        <v>162</v>
      </c>
      <c r="C338" t="s">
        <v>3207</v>
      </c>
      <c r="D338" t="s">
        <v>3208</v>
      </c>
      <c r="E338" t="s">
        <v>3209</v>
      </c>
      <c r="F338">
        <v>74</v>
      </c>
      <c r="G338">
        <v>11</v>
      </c>
      <c r="H338">
        <v>3.8729833462074201</v>
      </c>
      <c r="I338" t="s">
        <v>957</v>
      </c>
      <c r="J338" t="s">
        <v>3210</v>
      </c>
      <c r="K338" t="s">
        <v>2039</v>
      </c>
      <c r="L338" t="s">
        <v>1175</v>
      </c>
      <c r="M338">
        <v>0.76335877862595403</v>
      </c>
      <c r="N338" t="s">
        <v>982</v>
      </c>
      <c r="O338">
        <v>0</v>
      </c>
      <c r="P338">
        <v>0</v>
      </c>
      <c r="Q338">
        <v>0</v>
      </c>
      <c r="R338">
        <v>0</v>
      </c>
    </row>
    <row r="339" spans="1:18" ht="16" x14ac:dyDescent="0.2">
      <c r="A339" s="127" t="s">
        <v>954</v>
      </c>
      <c r="B339" t="s">
        <v>162</v>
      </c>
      <c r="C339" t="s">
        <v>3096</v>
      </c>
      <c r="D339" t="s">
        <v>3097</v>
      </c>
      <c r="E339" t="s">
        <v>3098</v>
      </c>
      <c r="F339">
        <v>26</v>
      </c>
      <c r="G339">
        <v>2</v>
      </c>
      <c r="H339">
        <v>3.8729833462074201</v>
      </c>
      <c r="I339" t="s">
        <v>957</v>
      </c>
      <c r="J339" t="s">
        <v>3099</v>
      </c>
      <c r="K339">
        <v>6.6666666666666693E-2</v>
      </c>
      <c r="L339" t="s">
        <v>1004</v>
      </c>
      <c r="M339">
        <v>0.76335877862595403</v>
      </c>
      <c r="N339" t="s">
        <v>982</v>
      </c>
      <c r="O339">
        <v>0</v>
      </c>
      <c r="P339">
        <v>0</v>
      </c>
      <c r="Q339">
        <v>0</v>
      </c>
      <c r="R339" t="s">
        <v>5019</v>
      </c>
    </row>
    <row r="340" spans="1:18" ht="16" x14ac:dyDescent="0.2">
      <c r="A340" s="127" t="s">
        <v>954</v>
      </c>
      <c r="B340" t="s">
        <v>162</v>
      </c>
      <c r="C340" t="s">
        <v>2041</v>
      </c>
      <c r="D340" t="s">
        <v>2042</v>
      </c>
      <c r="E340">
        <v>5</v>
      </c>
      <c r="F340">
        <v>5</v>
      </c>
      <c r="G340">
        <v>1</v>
      </c>
      <c r="H340">
        <v>11.234849084696201</v>
      </c>
      <c r="I340" t="s">
        <v>957</v>
      </c>
      <c r="J340" t="s">
        <v>2043</v>
      </c>
      <c r="K340">
        <v>2.8571428571428598E-2</v>
      </c>
      <c r="L340" t="s">
        <v>959</v>
      </c>
      <c r="M340">
        <v>0.76335877862595403</v>
      </c>
      <c r="N340" t="s">
        <v>960</v>
      </c>
      <c r="O340">
        <v>0</v>
      </c>
      <c r="P340">
        <v>0</v>
      </c>
      <c r="Q340">
        <v>0</v>
      </c>
      <c r="R340">
        <v>0</v>
      </c>
    </row>
    <row r="341" spans="1:18" ht="16" x14ac:dyDescent="0.2">
      <c r="A341" s="127" t="s">
        <v>954</v>
      </c>
      <c r="B341" t="s">
        <v>162</v>
      </c>
      <c r="C341" t="s">
        <v>1737</v>
      </c>
      <c r="D341" t="s">
        <v>1738</v>
      </c>
      <c r="E341" t="s">
        <v>1739</v>
      </c>
      <c r="F341">
        <v>6</v>
      </c>
      <c r="G341">
        <v>4</v>
      </c>
      <c r="H341">
        <v>7.2866005133419502</v>
      </c>
      <c r="I341" t="s">
        <v>957</v>
      </c>
      <c r="J341" t="s">
        <v>1740</v>
      </c>
      <c r="K341">
        <v>0.157142857142857</v>
      </c>
      <c r="L341" t="s">
        <v>959</v>
      </c>
      <c r="M341">
        <v>0.76335877862595403</v>
      </c>
      <c r="N341" t="s">
        <v>960</v>
      </c>
      <c r="O341">
        <v>0</v>
      </c>
      <c r="P341">
        <v>0</v>
      </c>
      <c r="Q341">
        <v>0</v>
      </c>
      <c r="R341">
        <v>0</v>
      </c>
    </row>
    <row r="342" spans="1:18" ht="16" x14ac:dyDescent="0.2">
      <c r="A342" s="127" t="s">
        <v>954</v>
      </c>
      <c r="B342" t="s">
        <v>162</v>
      </c>
      <c r="C342" t="s">
        <v>2720</v>
      </c>
      <c r="D342" t="s">
        <v>2721</v>
      </c>
      <c r="E342" t="s">
        <v>2722</v>
      </c>
      <c r="F342">
        <v>40</v>
      </c>
      <c r="G342">
        <v>2</v>
      </c>
      <c r="H342">
        <v>3.8489853409146901</v>
      </c>
      <c r="I342" t="s">
        <v>957</v>
      </c>
      <c r="J342" t="s">
        <v>2723</v>
      </c>
      <c r="K342">
        <v>0.133333333333333</v>
      </c>
      <c r="L342" t="s">
        <v>1004</v>
      </c>
      <c r="M342">
        <v>0.76335877862595403</v>
      </c>
      <c r="N342" t="s">
        <v>1005</v>
      </c>
      <c r="O342">
        <v>0</v>
      </c>
      <c r="P342">
        <v>0</v>
      </c>
      <c r="Q342">
        <v>0</v>
      </c>
      <c r="R342">
        <v>0</v>
      </c>
    </row>
    <row r="343" spans="1:18" ht="16" x14ac:dyDescent="0.2">
      <c r="A343" s="127" t="s">
        <v>954</v>
      </c>
      <c r="B343" t="s">
        <v>162</v>
      </c>
      <c r="C343" t="s">
        <v>2097</v>
      </c>
      <c r="D343" t="s">
        <v>2098</v>
      </c>
      <c r="E343">
        <v>4</v>
      </c>
      <c r="F343">
        <v>4</v>
      </c>
      <c r="G343">
        <v>1</v>
      </c>
      <c r="H343">
        <v>6.7477366071708698</v>
      </c>
      <c r="I343" t="s">
        <v>957</v>
      </c>
      <c r="J343" t="s">
        <v>2099</v>
      </c>
      <c r="K343">
        <v>9.2857142857142902E-2</v>
      </c>
      <c r="L343" t="s">
        <v>959</v>
      </c>
      <c r="M343">
        <v>1.5267175572519101</v>
      </c>
      <c r="N343" t="s">
        <v>960</v>
      </c>
      <c r="O343">
        <v>0</v>
      </c>
      <c r="P343">
        <v>0</v>
      </c>
      <c r="Q343">
        <v>0</v>
      </c>
      <c r="R343">
        <v>0</v>
      </c>
    </row>
    <row r="344" spans="1:18" ht="16" x14ac:dyDescent="0.2">
      <c r="A344" s="127" t="s">
        <v>954</v>
      </c>
      <c r="B344" t="s">
        <v>162</v>
      </c>
      <c r="C344" t="s">
        <v>2572</v>
      </c>
      <c r="D344" t="s">
        <v>2573</v>
      </c>
      <c r="E344" t="s">
        <v>1085</v>
      </c>
      <c r="F344">
        <v>5</v>
      </c>
      <c r="G344">
        <v>2</v>
      </c>
      <c r="H344">
        <v>3.8729833462074201</v>
      </c>
      <c r="I344" t="s">
        <v>957</v>
      </c>
      <c r="J344" t="s">
        <v>2574</v>
      </c>
      <c r="K344">
        <v>6.6666666666666693E-2</v>
      </c>
      <c r="L344" t="s">
        <v>1004</v>
      </c>
      <c r="M344">
        <v>0.76335877862595403</v>
      </c>
      <c r="N344" t="s">
        <v>1005</v>
      </c>
      <c r="O344">
        <v>0</v>
      </c>
      <c r="P344">
        <v>0</v>
      </c>
      <c r="Q344">
        <v>0</v>
      </c>
      <c r="R344">
        <v>0</v>
      </c>
    </row>
    <row r="345" spans="1:18" ht="16" x14ac:dyDescent="0.2">
      <c r="A345" s="127" t="s">
        <v>954</v>
      </c>
      <c r="B345" t="s">
        <v>162</v>
      </c>
      <c r="C345" t="s">
        <v>2035</v>
      </c>
      <c r="D345" t="s">
        <v>2036</v>
      </c>
      <c r="E345" t="s">
        <v>2037</v>
      </c>
      <c r="F345">
        <v>71</v>
      </c>
      <c r="G345">
        <v>7</v>
      </c>
      <c r="H345">
        <v>3.8729833462074201</v>
      </c>
      <c r="I345" t="s">
        <v>957</v>
      </c>
      <c r="J345" t="s">
        <v>2038</v>
      </c>
      <c r="K345" t="s">
        <v>2039</v>
      </c>
      <c r="L345" t="s">
        <v>1175</v>
      </c>
      <c r="M345">
        <v>0.76335877862595403</v>
      </c>
      <c r="N345" t="s">
        <v>982</v>
      </c>
      <c r="O345">
        <v>0</v>
      </c>
      <c r="P345" t="s">
        <v>5018</v>
      </c>
      <c r="Q345">
        <v>0</v>
      </c>
      <c r="R345">
        <v>0</v>
      </c>
    </row>
    <row r="346" spans="1:18" ht="16" x14ac:dyDescent="0.2">
      <c r="A346" s="127" t="s">
        <v>954</v>
      </c>
      <c r="B346" t="s">
        <v>162</v>
      </c>
      <c r="C346" t="s">
        <v>3265</v>
      </c>
      <c r="D346" t="s">
        <v>3266</v>
      </c>
      <c r="E346" t="s">
        <v>1230</v>
      </c>
      <c r="F346">
        <v>4</v>
      </c>
      <c r="G346">
        <v>2</v>
      </c>
      <c r="H346">
        <v>5.7661275503269396</v>
      </c>
      <c r="I346" t="s">
        <v>957</v>
      </c>
      <c r="J346" t="s">
        <v>3267</v>
      </c>
      <c r="K346">
        <v>8.5714285714285701E-2</v>
      </c>
      <c r="L346" t="s">
        <v>959</v>
      </c>
      <c r="M346">
        <v>0.76335877862595403</v>
      </c>
      <c r="N346" t="s">
        <v>960</v>
      </c>
      <c r="O346">
        <v>0</v>
      </c>
      <c r="P346">
        <v>0</v>
      </c>
      <c r="Q346">
        <v>0</v>
      </c>
      <c r="R346">
        <v>0</v>
      </c>
    </row>
    <row r="347" spans="1:18" ht="16" x14ac:dyDescent="0.2">
      <c r="A347" s="127" t="s">
        <v>954</v>
      </c>
      <c r="B347" t="s">
        <v>162</v>
      </c>
      <c r="C347" t="s">
        <v>1983</v>
      </c>
      <c r="D347" t="s">
        <v>1984</v>
      </c>
      <c r="E347" t="s">
        <v>985</v>
      </c>
      <c r="F347">
        <v>7</v>
      </c>
      <c r="G347">
        <v>2</v>
      </c>
      <c r="H347">
        <v>3.74549453100227</v>
      </c>
      <c r="I347" t="s">
        <v>957</v>
      </c>
      <c r="J347" t="s">
        <v>1985</v>
      </c>
      <c r="K347">
        <v>0.33333333333333298</v>
      </c>
      <c r="L347" t="s">
        <v>1004</v>
      </c>
      <c r="M347">
        <v>3.0534351145038201</v>
      </c>
      <c r="N347" t="s">
        <v>1005</v>
      </c>
      <c r="O347">
        <v>0</v>
      </c>
      <c r="P347">
        <v>0</v>
      </c>
      <c r="Q347">
        <v>0</v>
      </c>
      <c r="R347">
        <v>0</v>
      </c>
    </row>
    <row r="348" spans="1:18" ht="16" x14ac:dyDescent="0.2">
      <c r="A348" s="127" t="s">
        <v>954</v>
      </c>
      <c r="B348" t="s">
        <v>162</v>
      </c>
      <c r="C348" t="s">
        <v>2710</v>
      </c>
      <c r="D348" t="s">
        <v>2711</v>
      </c>
      <c r="E348">
        <v>5</v>
      </c>
      <c r="F348">
        <v>5</v>
      </c>
      <c r="G348">
        <v>1</v>
      </c>
      <c r="H348">
        <v>9.1591903152063097</v>
      </c>
      <c r="I348" t="s">
        <v>957</v>
      </c>
      <c r="J348" t="s">
        <v>2745</v>
      </c>
      <c r="K348">
        <v>6.4285714285714293E-2</v>
      </c>
      <c r="L348" t="s">
        <v>959</v>
      </c>
      <c r="M348">
        <v>1.5267175572519101</v>
      </c>
      <c r="N348" t="s">
        <v>960</v>
      </c>
      <c r="O348">
        <v>0</v>
      </c>
      <c r="P348">
        <v>0</v>
      </c>
      <c r="Q348">
        <v>0</v>
      </c>
      <c r="R348">
        <v>0</v>
      </c>
    </row>
    <row r="349" spans="1:18" ht="16" x14ac:dyDescent="0.2">
      <c r="A349" s="127" t="s">
        <v>954</v>
      </c>
      <c r="B349" t="s">
        <v>162</v>
      </c>
      <c r="C349" t="s">
        <v>3595</v>
      </c>
      <c r="D349" t="s">
        <v>3596</v>
      </c>
      <c r="E349" t="s">
        <v>3597</v>
      </c>
      <c r="F349">
        <v>30</v>
      </c>
      <c r="G349">
        <v>6</v>
      </c>
      <c r="H349">
        <v>3.8729833462074299</v>
      </c>
      <c r="I349" t="s">
        <v>957</v>
      </c>
      <c r="J349" t="s">
        <v>3598</v>
      </c>
      <c r="K349" t="s">
        <v>2039</v>
      </c>
      <c r="L349" t="s">
        <v>1175</v>
      </c>
      <c r="M349">
        <v>0.76335877862595403</v>
      </c>
      <c r="N349" t="s">
        <v>982</v>
      </c>
      <c r="O349">
        <v>0</v>
      </c>
      <c r="P349">
        <v>0</v>
      </c>
      <c r="Q349">
        <v>0</v>
      </c>
      <c r="R349">
        <v>0</v>
      </c>
    </row>
    <row r="350" spans="1:18" ht="16" x14ac:dyDescent="0.2">
      <c r="A350" s="127" t="s">
        <v>954</v>
      </c>
      <c r="B350" t="s">
        <v>45</v>
      </c>
      <c r="C350" t="s">
        <v>1339</v>
      </c>
      <c r="D350" t="s">
        <v>1340</v>
      </c>
      <c r="E350">
        <v>4</v>
      </c>
      <c r="F350">
        <v>4</v>
      </c>
      <c r="G350">
        <v>1</v>
      </c>
      <c r="H350">
        <v>5.2523648240141796</v>
      </c>
      <c r="I350" t="s">
        <v>957</v>
      </c>
      <c r="J350" t="s">
        <v>1341</v>
      </c>
      <c r="K350">
        <v>8.5714285714285701E-2</v>
      </c>
      <c r="L350" t="s">
        <v>959</v>
      </c>
      <c r="M350">
        <v>2.2900763358778602</v>
      </c>
      <c r="N350" t="s">
        <v>960</v>
      </c>
      <c r="O350">
        <v>0</v>
      </c>
      <c r="P350">
        <v>0</v>
      </c>
      <c r="Q350">
        <v>0</v>
      </c>
      <c r="R350">
        <v>0</v>
      </c>
    </row>
    <row r="351" spans="1:18" ht="16" x14ac:dyDescent="0.2">
      <c r="A351" s="127" t="s">
        <v>954</v>
      </c>
      <c r="B351" t="s">
        <v>45</v>
      </c>
      <c r="C351" t="s">
        <v>2787</v>
      </c>
      <c r="D351" t="s">
        <v>2788</v>
      </c>
      <c r="E351">
        <v>4</v>
      </c>
      <c r="F351">
        <v>4</v>
      </c>
      <c r="G351">
        <v>1</v>
      </c>
      <c r="H351">
        <v>8.6142030015360902</v>
      </c>
      <c r="I351" t="s">
        <v>957</v>
      </c>
      <c r="J351" t="s">
        <v>2789</v>
      </c>
      <c r="K351">
        <v>7.8571428571428598E-2</v>
      </c>
      <c r="L351" t="s">
        <v>959</v>
      </c>
      <c r="M351">
        <v>0.76335877862595403</v>
      </c>
      <c r="N351" t="s">
        <v>960</v>
      </c>
      <c r="O351">
        <v>0</v>
      </c>
      <c r="P351">
        <v>0</v>
      </c>
      <c r="Q351">
        <v>0</v>
      </c>
      <c r="R351">
        <v>0</v>
      </c>
    </row>
    <row r="352" spans="1:18" ht="16" x14ac:dyDescent="0.2">
      <c r="A352" s="127" t="s">
        <v>954</v>
      </c>
      <c r="B352" t="s">
        <v>45</v>
      </c>
      <c r="C352" t="s">
        <v>1983</v>
      </c>
      <c r="D352" t="s">
        <v>1984</v>
      </c>
      <c r="E352">
        <v>4</v>
      </c>
      <c r="F352">
        <v>4</v>
      </c>
      <c r="G352">
        <v>1</v>
      </c>
      <c r="H352">
        <v>6.3261718590124003</v>
      </c>
      <c r="I352" t="s">
        <v>957</v>
      </c>
      <c r="J352" t="s">
        <v>3541</v>
      </c>
      <c r="K352">
        <v>0.114285714285714</v>
      </c>
      <c r="L352" t="s">
        <v>959</v>
      </c>
      <c r="M352">
        <v>3.0534351145038201</v>
      </c>
      <c r="N352" t="s">
        <v>960</v>
      </c>
      <c r="O352">
        <v>0</v>
      </c>
      <c r="P352">
        <v>0</v>
      </c>
      <c r="Q352">
        <v>0</v>
      </c>
      <c r="R352">
        <v>0</v>
      </c>
    </row>
    <row r="353" spans="1:18" ht="16" x14ac:dyDescent="0.2">
      <c r="A353" s="127" t="s">
        <v>954</v>
      </c>
      <c r="B353" t="s">
        <v>170</v>
      </c>
      <c r="C353" t="s">
        <v>2655</v>
      </c>
      <c r="D353" t="s">
        <v>2656</v>
      </c>
      <c r="E353">
        <v>6</v>
      </c>
      <c r="F353">
        <v>6</v>
      </c>
      <c r="G353">
        <v>1</v>
      </c>
      <c r="H353">
        <v>4.1231056256176597</v>
      </c>
      <c r="I353" t="s">
        <v>957</v>
      </c>
      <c r="J353" t="s">
        <v>2657</v>
      </c>
      <c r="K353">
        <v>5.8823529411764698E-2</v>
      </c>
      <c r="L353" t="s">
        <v>1099</v>
      </c>
      <c r="M353">
        <v>0.76335877862595403</v>
      </c>
      <c r="N353" t="s">
        <v>973</v>
      </c>
      <c r="O353">
        <v>0</v>
      </c>
      <c r="P353">
        <v>0</v>
      </c>
      <c r="Q353">
        <v>0</v>
      </c>
      <c r="R353">
        <v>0</v>
      </c>
    </row>
    <row r="354" spans="1:18" ht="16" x14ac:dyDescent="0.2">
      <c r="A354" s="127" t="s">
        <v>954</v>
      </c>
      <c r="B354" t="s">
        <v>170</v>
      </c>
      <c r="C354" t="s">
        <v>1483</v>
      </c>
      <c r="D354" t="s">
        <v>1484</v>
      </c>
      <c r="E354">
        <v>3</v>
      </c>
      <c r="F354">
        <v>3</v>
      </c>
      <c r="G354">
        <v>1</v>
      </c>
      <c r="H354">
        <v>4.5292295231619999</v>
      </c>
      <c r="I354" t="s">
        <v>957</v>
      </c>
      <c r="J354" t="s">
        <v>1485</v>
      </c>
      <c r="K354">
        <v>5.7142857142857099E-2</v>
      </c>
      <c r="L354" t="s">
        <v>959</v>
      </c>
      <c r="M354">
        <v>3.0534351145038201</v>
      </c>
      <c r="N354" t="s">
        <v>960</v>
      </c>
      <c r="O354">
        <v>0</v>
      </c>
      <c r="P354">
        <v>0</v>
      </c>
      <c r="Q354">
        <v>0</v>
      </c>
      <c r="R354">
        <v>0</v>
      </c>
    </row>
    <row r="355" spans="1:18" ht="16" x14ac:dyDescent="0.2">
      <c r="A355" s="127" t="s">
        <v>954</v>
      </c>
      <c r="B355" t="s">
        <v>170</v>
      </c>
      <c r="C355" t="s">
        <v>2549</v>
      </c>
      <c r="D355" t="s">
        <v>2550</v>
      </c>
      <c r="E355" t="s">
        <v>1002</v>
      </c>
      <c r="F355">
        <v>12</v>
      </c>
      <c r="G355">
        <v>2</v>
      </c>
      <c r="H355">
        <v>3.8729833462074201</v>
      </c>
      <c r="I355" t="s">
        <v>957</v>
      </c>
      <c r="J355" t="s">
        <v>2551</v>
      </c>
      <c r="K355">
        <v>6.6666666666666693E-2</v>
      </c>
      <c r="L355" t="s">
        <v>1004</v>
      </c>
      <c r="M355">
        <v>0.76335877862595403</v>
      </c>
      <c r="N355" t="s">
        <v>1005</v>
      </c>
      <c r="O355">
        <v>0</v>
      </c>
      <c r="P355">
        <v>0</v>
      </c>
      <c r="Q355">
        <v>0</v>
      </c>
      <c r="R355">
        <v>0</v>
      </c>
    </row>
    <row r="356" spans="1:18" ht="16" x14ac:dyDescent="0.2">
      <c r="A356" s="127" t="s">
        <v>954</v>
      </c>
      <c r="B356" t="s">
        <v>175</v>
      </c>
      <c r="C356" t="s">
        <v>2520</v>
      </c>
      <c r="D356" t="s">
        <v>2521</v>
      </c>
      <c r="E356" t="s">
        <v>1008</v>
      </c>
      <c r="F356">
        <v>7</v>
      </c>
      <c r="G356">
        <v>2</v>
      </c>
      <c r="H356">
        <v>5.3851648071344904</v>
      </c>
      <c r="I356" t="s">
        <v>957</v>
      </c>
      <c r="J356" t="s">
        <v>3295</v>
      </c>
      <c r="K356">
        <v>3.4482758620689703E-2</v>
      </c>
      <c r="L356" t="s">
        <v>972</v>
      </c>
      <c r="M356">
        <v>2.2900763358778602</v>
      </c>
      <c r="N356" t="s">
        <v>973</v>
      </c>
      <c r="O356">
        <v>0</v>
      </c>
      <c r="P356">
        <v>0</v>
      </c>
      <c r="Q356">
        <v>0</v>
      </c>
      <c r="R356">
        <v>0</v>
      </c>
    </row>
    <row r="357" spans="1:18" ht="16" x14ac:dyDescent="0.2">
      <c r="A357" s="127" t="s">
        <v>954</v>
      </c>
      <c r="B357" t="s">
        <v>175</v>
      </c>
      <c r="C357" t="s">
        <v>86</v>
      </c>
      <c r="D357" t="s">
        <v>2824</v>
      </c>
      <c r="E357" t="s">
        <v>2825</v>
      </c>
      <c r="F357">
        <v>10</v>
      </c>
      <c r="G357">
        <v>4</v>
      </c>
      <c r="H357">
        <v>5.38516480713451</v>
      </c>
      <c r="I357" t="s">
        <v>957</v>
      </c>
      <c r="J357" t="s">
        <v>2826</v>
      </c>
      <c r="K357" t="s">
        <v>2023</v>
      </c>
      <c r="L357" t="s">
        <v>2024</v>
      </c>
      <c r="M357">
        <v>0.76335877862595403</v>
      </c>
      <c r="N357" t="s">
        <v>987</v>
      </c>
      <c r="O357">
        <v>0</v>
      </c>
      <c r="P357">
        <v>0</v>
      </c>
      <c r="Q357">
        <v>0</v>
      </c>
      <c r="R357">
        <v>0</v>
      </c>
    </row>
    <row r="358" spans="1:18" ht="16" x14ac:dyDescent="0.2">
      <c r="A358" s="127" t="s">
        <v>954</v>
      </c>
      <c r="B358" t="s">
        <v>175</v>
      </c>
      <c r="C358" t="s">
        <v>1170</v>
      </c>
      <c r="D358" t="s">
        <v>1171</v>
      </c>
      <c r="E358" t="s">
        <v>2326</v>
      </c>
      <c r="F358">
        <v>23</v>
      </c>
      <c r="G358">
        <v>2</v>
      </c>
      <c r="H358">
        <v>5.4576928728336203</v>
      </c>
      <c r="I358" t="s">
        <v>957</v>
      </c>
      <c r="J358" t="s">
        <v>2327</v>
      </c>
      <c r="K358">
        <v>4.2857142857142899E-2</v>
      </c>
      <c r="L358" t="s">
        <v>959</v>
      </c>
      <c r="M358">
        <v>2.2900763358778602</v>
      </c>
      <c r="N358" t="s">
        <v>987</v>
      </c>
      <c r="O358">
        <v>0</v>
      </c>
      <c r="P358">
        <v>0</v>
      </c>
      <c r="Q358">
        <v>0</v>
      </c>
      <c r="R358">
        <v>0</v>
      </c>
    </row>
    <row r="359" spans="1:18" ht="16" x14ac:dyDescent="0.2">
      <c r="A359" s="127" t="s">
        <v>954</v>
      </c>
      <c r="B359" t="s">
        <v>175</v>
      </c>
      <c r="C359" t="s">
        <v>514</v>
      </c>
      <c r="D359" t="s">
        <v>3137</v>
      </c>
      <c r="E359" t="s">
        <v>2945</v>
      </c>
      <c r="F359">
        <v>10</v>
      </c>
      <c r="G359">
        <v>2</v>
      </c>
      <c r="H359">
        <v>5.3851648071345002</v>
      </c>
      <c r="I359" t="s">
        <v>957</v>
      </c>
      <c r="J359" t="s">
        <v>3138</v>
      </c>
      <c r="K359">
        <v>3.4482758620689703E-2</v>
      </c>
      <c r="L359" t="s">
        <v>972</v>
      </c>
      <c r="M359">
        <v>0.76335877862595403</v>
      </c>
      <c r="N359" t="s">
        <v>973</v>
      </c>
      <c r="O359">
        <v>0</v>
      </c>
      <c r="P359">
        <v>0</v>
      </c>
      <c r="Q359">
        <v>0</v>
      </c>
      <c r="R359">
        <v>0</v>
      </c>
    </row>
    <row r="360" spans="1:18" ht="16" x14ac:dyDescent="0.2">
      <c r="A360" s="127" t="s">
        <v>954</v>
      </c>
      <c r="B360" t="s">
        <v>175</v>
      </c>
      <c r="C360" t="s">
        <v>961</v>
      </c>
      <c r="D360" t="s">
        <v>962</v>
      </c>
      <c r="E360">
        <v>3</v>
      </c>
      <c r="F360">
        <v>3</v>
      </c>
      <c r="G360">
        <v>1</v>
      </c>
      <c r="H360">
        <v>5.2455067091183798</v>
      </c>
      <c r="I360" t="s">
        <v>957</v>
      </c>
      <c r="J360" t="s">
        <v>963</v>
      </c>
      <c r="K360">
        <v>1.4285714285714299E-2</v>
      </c>
      <c r="L360" t="s">
        <v>959</v>
      </c>
      <c r="M360">
        <v>0.76335877862595403</v>
      </c>
      <c r="N360" t="s">
        <v>960</v>
      </c>
      <c r="O360">
        <v>0</v>
      </c>
      <c r="P360">
        <v>0</v>
      </c>
      <c r="Q360">
        <v>0</v>
      </c>
      <c r="R360">
        <v>0</v>
      </c>
    </row>
    <row r="361" spans="1:18" ht="16" x14ac:dyDescent="0.2">
      <c r="A361" s="127" t="s">
        <v>954</v>
      </c>
      <c r="B361" t="s">
        <v>49</v>
      </c>
      <c r="C361" t="s">
        <v>306</v>
      </c>
      <c r="D361" t="s">
        <v>2159</v>
      </c>
      <c r="E361">
        <v>5</v>
      </c>
      <c r="F361">
        <v>5</v>
      </c>
      <c r="G361">
        <v>1</v>
      </c>
      <c r="H361">
        <v>11.8321595661992</v>
      </c>
      <c r="I361" t="s">
        <v>957</v>
      </c>
      <c r="J361" t="s">
        <v>2160</v>
      </c>
      <c r="K361">
        <v>7.14285714285714E-3</v>
      </c>
      <c r="L361" t="s">
        <v>959</v>
      </c>
      <c r="M361">
        <v>0.76335877862595403</v>
      </c>
      <c r="N361" t="s">
        <v>960</v>
      </c>
      <c r="O361" t="s">
        <v>5017</v>
      </c>
      <c r="P361">
        <v>0</v>
      </c>
      <c r="Q361">
        <v>0</v>
      </c>
      <c r="R361">
        <v>0</v>
      </c>
    </row>
    <row r="362" spans="1:18" ht="16" x14ac:dyDescent="0.2">
      <c r="A362" s="127" t="s">
        <v>954</v>
      </c>
      <c r="B362" t="s">
        <v>49</v>
      </c>
      <c r="C362" t="s">
        <v>1267</v>
      </c>
      <c r="D362" t="s">
        <v>1268</v>
      </c>
      <c r="E362" t="s">
        <v>1269</v>
      </c>
      <c r="F362">
        <v>18</v>
      </c>
      <c r="G362">
        <v>3</v>
      </c>
      <c r="H362">
        <v>11.8321595661992</v>
      </c>
      <c r="I362" t="s">
        <v>957</v>
      </c>
      <c r="J362" t="s">
        <v>1270</v>
      </c>
      <c r="K362">
        <v>7.14285714285714E-3</v>
      </c>
      <c r="L362" t="s">
        <v>959</v>
      </c>
      <c r="M362">
        <v>0.76335877862595403</v>
      </c>
      <c r="N362" t="s">
        <v>960</v>
      </c>
      <c r="O362" t="s">
        <v>5017</v>
      </c>
      <c r="P362">
        <v>0</v>
      </c>
      <c r="Q362">
        <v>0</v>
      </c>
      <c r="R362">
        <v>0</v>
      </c>
    </row>
    <row r="363" spans="1:18" ht="16" x14ac:dyDescent="0.2">
      <c r="A363" s="127" t="s">
        <v>954</v>
      </c>
      <c r="B363" t="s">
        <v>53</v>
      </c>
      <c r="C363" t="s">
        <v>1872</v>
      </c>
      <c r="D363" t="s">
        <v>1873</v>
      </c>
      <c r="E363">
        <v>5</v>
      </c>
      <c r="F363">
        <v>5</v>
      </c>
      <c r="G363">
        <v>1</v>
      </c>
      <c r="H363">
        <v>7.0654337938369398</v>
      </c>
      <c r="I363" t="s">
        <v>957</v>
      </c>
      <c r="J363" t="s">
        <v>2381</v>
      </c>
      <c r="K363">
        <v>2.1428571428571401E-2</v>
      </c>
      <c r="L363" t="s">
        <v>959</v>
      </c>
      <c r="M363">
        <v>2.2900763358778602</v>
      </c>
      <c r="N363" t="s">
        <v>960</v>
      </c>
      <c r="O363">
        <v>0</v>
      </c>
      <c r="P363">
        <v>0</v>
      </c>
      <c r="Q363">
        <v>0</v>
      </c>
      <c r="R363">
        <v>0</v>
      </c>
    </row>
    <row r="364" spans="1:18" ht="16" x14ac:dyDescent="0.2">
      <c r="A364" s="127" t="s">
        <v>954</v>
      </c>
      <c r="B364" t="s">
        <v>53</v>
      </c>
      <c r="C364" t="s">
        <v>1090</v>
      </c>
      <c r="D364" t="s">
        <v>1091</v>
      </c>
      <c r="E364">
        <v>3</v>
      </c>
      <c r="F364">
        <v>3</v>
      </c>
      <c r="G364">
        <v>1</v>
      </c>
      <c r="H364">
        <v>9.9474762761194704</v>
      </c>
      <c r="I364" t="s">
        <v>957</v>
      </c>
      <c r="J364" t="s">
        <v>1092</v>
      </c>
      <c r="K364">
        <v>3.5714285714285698E-2</v>
      </c>
      <c r="L364" t="s">
        <v>959</v>
      </c>
      <c r="M364">
        <v>0.76335877862595403</v>
      </c>
      <c r="N364" t="s">
        <v>960</v>
      </c>
      <c r="O364">
        <v>0</v>
      </c>
      <c r="P364">
        <v>0</v>
      </c>
      <c r="Q364">
        <v>0</v>
      </c>
      <c r="R364">
        <v>0</v>
      </c>
    </row>
    <row r="365" spans="1:18" ht="16" x14ac:dyDescent="0.2">
      <c r="A365" s="127" t="s">
        <v>954</v>
      </c>
      <c r="B365" t="s">
        <v>53</v>
      </c>
      <c r="C365" t="s">
        <v>3524</v>
      </c>
      <c r="D365" t="s">
        <v>3525</v>
      </c>
      <c r="E365" t="s">
        <v>3526</v>
      </c>
      <c r="F365">
        <v>23</v>
      </c>
      <c r="G365">
        <v>3</v>
      </c>
      <c r="H365">
        <v>11.3151741956371</v>
      </c>
      <c r="I365" t="s">
        <v>957</v>
      </c>
      <c r="J365" t="s">
        <v>3527</v>
      </c>
      <c r="K365">
        <v>4.2857142857142899E-2</v>
      </c>
      <c r="L365" t="s">
        <v>959</v>
      </c>
      <c r="M365">
        <v>0.76335877862595403</v>
      </c>
      <c r="N365" t="s">
        <v>960</v>
      </c>
      <c r="O365">
        <v>0</v>
      </c>
      <c r="P365">
        <v>0</v>
      </c>
      <c r="Q365">
        <v>0</v>
      </c>
      <c r="R365">
        <v>0</v>
      </c>
    </row>
    <row r="366" spans="1:18" ht="16" x14ac:dyDescent="0.2">
      <c r="A366" s="127" t="s">
        <v>954</v>
      </c>
      <c r="B366" t="s">
        <v>53</v>
      </c>
      <c r="C366" t="s">
        <v>1118</v>
      </c>
      <c r="D366" t="s">
        <v>1119</v>
      </c>
      <c r="E366" t="s">
        <v>1052</v>
      </c>
      <c r="F366">
        <v>2</v>
      </c>
      <c r="G366">
        <v>2</v>
      </c>
      <c r="H366">
        <v>5.1730290957361102</v>
      </c>
      <c r="I366" t="s">
        <v>957</v>
      </c>
      <c r="J366" t="s">
        <v>1120</v>
      </c>
      <c r="K366">
        <v>0.05</v>
      </c>
      <c r="L366" t="s">
        <v>959</v>
      </c>
      <c r="M366">
        <v>1.5267175572519101</v>
      </c>
      <c r="N366" t="s">
        <v>960</v>
      </c>
      <c r="O366">
        <v>0</v>
      </c>
      <c r="P366">
        <v>0</v>
      </c>
      <c r="Q366">
        <v>0</v>
      </c>
      <c r="R366">
        <v>0</v>
      </c>
    </row>
    <row r="367" spans="1:18" ht="16" x14ac:dyDescent="0.2">
      <c r="A367" s="127" t="s">
        <v>954</v>
      </c>
      <c r="B367" t="s">
        <v>53</v>
      </c>
      <c r="C367" t="s">
        <v>2066</v>
      </c>
      <c r="D367" t="s">
        <v>2067</v>
      </c>
      <c r="E367" t="s">
        <v>1052</v>
      </c>
      <c r="F367">
        <v>2</v>
      </c>
      <c r="G367">
        <v>2</v>
      </c>
      <c r="H367">
        <v>5.0046793858204</v>
      </c>
      <c r="I367" t="s">
        <v>957</v>
      </c>
      <c r="J367" t="s">
        <v>2068</v>
      </c>
      <c r="K367">
        <v>2.8571428571428598E-2</v>
      </c>
      <c r="L367" t="s">
        <v>959</v>
      </c>
      <c r="M367">
        <v>1.5267175572519101</v>
      </c>
      <c r="N367" t="s">
        <v>960</v>
      </c>
      <c r="O367">
        <v>0</v>
      </c>
      <c r="P367">
        <v>0</v>
      </c>
      <c r="Q367">
        <v>0</v>
      </c>
      <c r="R367">
        <v>0</v>
      </c>
    </row>
    <row r="368" spans="1:18" ht="16" x14ac:dyDescent="0.2">
      <c r="A368" s="127" t="s">
        <v>954</v>
      </c>
      <c r="B368" t="s">
        <v>53</v>
      </c>
      <c r="C368" t="s">
        <v>1147</v>
      </c>
      <c r="D368" t="s">
        <v>1148</v>
      </c>
      <c r="E368">
        <v>4</v>
      </c>
      <c r="F368">
        <v>4</v>
      </c>
      <c r="G368">
        <v>1</v>
      </c>
      <c r="H368">
        <v>5.2204646109736101</v>
      </c>
      <c r="I368" t="s">
        <v>957</v>
      </c>
      <c r="J368" t="s">
        <v>2012</v>
      </c>
      <c r="K368">
        <v>9.2857142857142902E-2</v>
      </c>
      <c r="L368" t="s">
        <v>959</v>
      </c>
      <c r="M368">
        <v>3.8167938931297698</v>
      </c>
      <c r="N368" t="s">
        <v>960</v>
      </c>
      <c r="O368">
        <v>0</v>
      </c>
      <c r="P368">
        <v>0</v>
      </c>
      <c r="Q368">
        <v>0</v>
      </c>
      <c r="R368">
        <v>0</v>
      </c>
    </row>
    <row r="369" spans="1:18" ht="16" x14ac:dyDescent="0.2">
      <c r="A369" s="127" t="s">
        <v>954</v>
      </c>
      <c r="B369" t="s">
        <v>57</v>
      </c>
      <c r="C369" t="s">
        <v>1047</v>
      </c>
      <c r="D369" t="s">
        <v>1048</v>
      </c>
      <c r="E369" t="s">
        <v>1039</v>
      </c>
      <c r="F369">
        <v>3</v>
      </c>
      <c r="G369">
        <v>2</v>
      </c>
      <c r="H369">
        <v>6.8142860371199703</v>
      </c>
      <c r="I369" t="s">
        <v>957</v>
      </c>
      <c r="J369" t="s">
        <v>1049</v>
      </c>
      <c r="K369">
        <v>0.114285714285714</v>
      </c>
      <c r="L369" t="s">
        <v>959</v>
      </c>
      <c r="M369">
        <v>0.76335877862595403</v>
      </c>
      <c r="N369" t="s">
        <v>960</v>
      </c>
      <c r="O369">
        <v>0</v>
      </c>
      <c r="P369">
        <v>0</v>
      </c>
      <c r="Q369">
        <v>0</v>
      </c>
      <c r="R369">
        <v>0</v>
      </c>
    </row>
    <row r="370" spans="1:18" ht="16" x14ac:dyDescent="0.2">
      <c r="A370" s="127" t="s">
        <v>954</v>
      </c>
      <c r="B370" t="s">
        <v>57</v>
      </c>
      <c r="C370" t="s">
        <v>1079</v>
      </c>
      <c r="D370" t="s">
        <v>1080</v>
      </c>
      <c r="E370" t="s">
        <v>1081</v>
      </c>
      <c r="F370">
        <v>39</v>
      </c>
      <c r="G370">
        <v>2</v>
      </c>
      <c r="H370">
        <v>11.8321595661992</v>
      </c>
      <c r="I370" t="s">
        <v>957</v>
      </c>
      <c r="J370" t="s">
        <v>1082</v>
      </c>
      <c r="K370">
        <v>7.14285714285714E-3</v>
      </c>
      <c r="L370" t="s">
        <v>959</v>
      </c>
      <c r="M370">
        <v>0.76335877862595403</v>
      </c>
      <c r="N370" t="s">
        <v>960</v>
      </c>
      <c r="O370">
        <v>0</v>
      </c>
      <c r="P370">
        <v>0</v>
      </c>
      <c r="Q370">
        <v>0</v>
      </c>
      <c r="R370">
        <v>0</v>
      </c>
    </row>
    <row r="371" spans="1:18" ht="16" x14ac:dyDescent="0.2">
      <c r="A371" s="127" t="s">
        <v>954</v>
      </c>
      <c r="B371" t="s">
        <v>57</v>
      </c>
      <c r="C371" t="s">
        <v>1863</v>
      </c>
      <c r="D371" t="s">
        <v>1864</v>
      </c>
      <c r="E371" t="s">
        <v>1052</v>
      </c>
      <c r="F371">
        <v>2</v>
      </c>
      <c r="G371">
        <v>2</v>
      </c>
      <c r="H371">
        <v>11.8321595661992</v>
      </c>
      <c r="I371" t="s">
        <v>957</v>
      </c>
      <c r="J371" t="s">
        <v>1865</v>
      </c>
      <c r="K371">
        <v>7.14285714285714E-3</v>
      </c>
      <c r="L371" t="s">
        <v>959</v>
      </c>
      <c r="M371">
        <v>0.76335877862595403</v>
      </c>
      <c r="N371" t="s">
        <v>960</v>
      </c>
      <c r="O371">
        <v>0</v>
      </c>
      <c r="P371">
        <v>0</v>
      </c>
      <c r="Q371">
        <v>0</v>
      </c>
      <c r="R371">
        <v>0</v>
      </c>
    </row>
    <row r="372" spans="1:18" ht="16" x14ac:dyDescent="0.2">
      <c r="A372" s="127" t="s">
        <v>954</v>
      </c>
      <c r="B372" t="s">
        <v>57</v>
      </c>
      <c r="C372" t="s">
        <v>1225</v>
      </c>
      <c r="D372" t="s">
        <v>1226</v>
      </c>
      <c r="E372">
        <v>3</v>
      </c>
      <c r="F372">
        <v>3</v>
      </c>
      <c r="G372">
        <v>1</v>
      </c>
      <c r="H372">
        <v>5.7777571796201004</v>
      </c>
      <c r="I372" t="s">
        <v>957</v>
      </c>
      <c r="J372" t="s">
        <v>1227</v>
      </c>
      <c r="K372">
        <v>0.05</v>
      </c>
      <c r="L372" t="s">
        <v>959</v>
      </c>
      <c r="M372">
        <v>2.2900763358778602</v>
      </c>
      <c r="N372" t="s">
        <v>960</v>
      </c>
      <c r="O372">
        <v>0</v>
      </c>
      <c r="P372">
        <v>0</v>
      </c>
      <c r="Q372">
        <v>0</v>
      </c>
      <c r="R372">
        <v>0</v>
      </c>
    </row>
    <row r="373" spans="1:18" ht="16" x14ac:dyDescent="0.2">
      <c r="A373" s="127" t="s">
        <v>954</v>
      </c>
      <c r="B373" t="s">
        <v>57</v>
      </c>
      <c r="C373" t="s">
        <v>1748</v>
      </c>
      <c r="D373" t="s">
        <v>1749</v>
      </c>
      <c r="E373">
        <v>4</v>
      </c>
      <c r="F373">
        <v>4</v>
      </c>
      <c r="G373">
        <v>1</v>
      </c>
      <c r="H373">
        <v>5.0850067762082398</v>
      </c>
      <c r="I373" t="s">
        <v>957</v>
      </c>
      <c r="J373" t="s">
        <v>3751</v>
      </c>
      <c r="K373">
        <v>0.114285714285714</v>
      </c>
      <c r="L373" t="s">
        <v>959</v>
      </c>
      <c r="M373">
        <v>1.5267175572519101</v>
      </c>
      <c r="N373" t="s">
        <v>960</v>
      </c>
      <c r="O373">
        <v>0</v>
      </c>
      <c r="P373">
        <v>0</v>
      </c>
      <c r="Q373">
        <v>0</v>
      </c>
      <c r="R373">
        <v>0</v>
      </c>
    </row>
    <row r="374" spans="1:18" ht="16" x14ac:dyDescent="0.2">
      <c r="A374" s="127" t="s">
        <v>954</v>
      </c>
      <c r="B374" t="s">
        <v>61</v>
      </c>
      <c r="C374" t="s">
        <v>2384</v>
      </c>
      <c r="D374" t="s">
        <v>2385</v>
      </c>
      <c r="E374">
        <v>5</v>
      </c>
      <c r="F374">
        <v>5</v>
      </c>
      <c r="G374">
        <v>1</v>
      </c>
      <c r="H374">
        <v>4.8434498092259002</v>
      </c>
      <c r="I374" t="s">
        <v>957</v>
      </c>
      <c r="J374" t="s">
        <v>2386</v>
      </c>
      <c r="K374">
        <v>0.14285714285714299</v>
      </c>
      <c r="L374" t="s">
        <v>959</v>
      </c>
      <c r="M374">
        <v>1.5267175572519101</v>
      </c>
      <c r="N374" t="s">
        <v>960</v>
      </c>
      <c r="O374">
        <v>0</v>
      </c>
      <c r="P374">
        <v>0</v>
      </c>
      <c r="Q374">
        <v>0</v>
      </c>
      <c r="R374">
        <v>0</v>
      </c>
    </row>
    <row r="375" spans="1:18" ht="16" x14ac:dyDescent="0.2">
      <c r="A375" s="127" t="s">
        <v>954</v>
      </c>
      <c r="B375" t="s">
        <v>61</v>
      </c>
      <c r="C375" t="s">
        <v>2105</v>
      </c>
      <c r="D375" t="s">
        <v>2106</v>
      </c>
      <c r="E375">
        <v>5</v>
      </c>
      <c r="F375">
        <v>5</v>
      </c>
      <c r="G375">
        <v>1</v>
      </c>
      <c r="H375">
        <v>5.2809301395649602</v>
      </c>
      <c r="I375" t="s">
        <v>957</v>
      </c>
      <c r="J375" t="s">
        <v>2107</v>
      </c>
      <c r="K375">
        <v>0.13571428571428601</v>
      </c>
      <c r="L375" t="s">
        <v>959</v>
      </c>
      <c r="M375">
        <v>0.76335877862595403</v>
      </c>
      <c r="N375" t="s">
        <v>960</v>
      </c>
      <c r="O375">
        <v>0</v>
      </c>
      <c r="P375">
        <v>0</v>
      </c>
      <c r="Q375">
        <v>0</v>
      </c>
      <c r="R375">
        <v>0</v>
      </c>
    </row>
    <row r="376" spans="1:18" ht="16" x14ac:dyDescent="0.2">
      <c r="A376" s="127" t="s">
        <v>954</v>
      </c>
      <c r="B376" t="s">
        <v>61</v>
      </c>
      <c r="C376" t="s">
        <v>2749</v>
      </c>
      <c r="D376" t="s">
        <v>2750</v>
      </c>
      <c r="E376" t="s">
        <v>2751</v>
      </c>
      <c r="F376">
        <v>8</v>
      </c>
      <c r="G376">
        <v>4</v>
      </c>
      <c r="H376">
        <v>6.9257762758652603</v>
      </c>
      <c r="I376" t="s">
        <v>957</v>
      </c>
      <c r="J376" t="s">
        <v>2752</v>
      </c>
      <c r="K376">
        <v>0.128571428571429</v>
      </c>
      <c r="L376" t="s">
        <v>959</v>
      </c>
      <c r="M376">
        <v>1.5267175572519101</v>
      </c>
      <c r="N376" t="s">
        <v>960</v>
      </c>
      <c r="O376">
        <v>0</v>
      </c>
      <c r="P376">
        <v>0</v>
      </c>
      <c r="Q376">
        <v>0</v>
      </c>
      <c r="R376">
        <v>0</v>
      </c>
    </row>
    <row r="377" spans="1:18" ht="16" x14ac:dyDescent="0.2">
      <c r="A377" s="127" t="s">
        <v>954</v>
      </c>
      <c r="B377" t="s">
        <v>61</v>
      </c>
      <c r="C377" t="s">
        <v>1983</v>
      </c>
      <c r="D377" t="s">
        <v>1984</v>
      </c>
      <c r="E377" t="s">
        <v>1039</v>
      </c>
      <c r="F377">
        <v>3</v>
      </c>
      <c r="G377">
        <v>2</v>
      </c>
      <c r="H377">
        <v>4.6676249296833001</v>
      </c>
      <c r="I377" t="s">
        <v>957</v>
      </c>
      <c r="J377" t="s">
        <v>2584</v>
      </c>
      <c r="K377">
        <v>0.114285714285714</v>
      </c>
      <c r="L377" t="s">
        <v>959</v>
      </c>
      <c r="M377">
        <v>3.0534351145038201</v>
      </c>
      <c r="N377" t="s">
        <v>960</v>
      </c>
      <c r="O377">
        <v>0</v>
      </c>
      <c r="P377">
        <v>0</v>
      </c>
      <c r="Q377">
        <v>0</v>
      </c>
      <c r="R377">
        <v>0</v>
      </c>
    </row>
    <row r="378" spans="1:18" ht="16" x14ac:dyDescent="0.2">
      <c r="A378" s="127" t="s">
        <v>954</v>
      </c>
      <c r="B378" t="s">
        <v>61</v>
      </c>
      <c r="C378" t="s">
        <v>3031</v>
      </c>
      <c r="D378" t="s">
        <v>3032</v>
      </c>
      <c r="E378">
        <v>4</v>
      </c>
      <c r="F378">
        <v>4</v>
      </c>
      <c r="G378">
        <v>1</v>
      </c>
      <c r="H378">
        <v>11.234849084696201</v>
      </c>
      <c r="I378" t="s">
        <v>957</v>
      </c>
      <c r="J378" t="s">
        <v>3033</v>
      </c>
      <c r="K378">
        <v>2.8571428571428598E-2</v>
      </c>
      <c r="L378" t="s">
        <v>959</v>
      </c>
      <c r="M378">
        <v>0.76335877862595403</v>
      </c>
      <c r="N378" t="s">
        <v>960</v>
      </c>
      <c r="O378">
        <v>0</v>
      </c>
      <c r="P378">
        <v>0</v>
      </c>
      <c r="Q378">
        <v>0</v>
      </c>
      <c r="R378">
        <v>0</v>
      </c>
    </row>
    <row r="379" spans="1:18" ht="16" x14ac:dyDescent="0.2">
      <c r="A379" s="127" t="s">
        <v>954</v>
      </c>
      <c r="B379" t="s">
        <v>61</v>
      </c>
      <c r="C379" t="s">
        <v>2074</v>
      </c>
      <c r="D379" t="s">
        <v>2075</v>
      </c>
      <c r="E379">
        <v>4</v>
      </c>
      <c r="F379">
        <v>4</v>
      </c>
      <c r="G379">
        <v>1</v>
      </c>
      <c r="H379">
        <v>5.5482862586070496</v>
      </c>
      <c r="I379" t="s">
        <v>957</v>
      </c>
      <c r="J379" t="s">
        <v>2076</v>
      </c>
      <c r="K379">
        <v>0.128571428571429</v>
      </c>
      <c r="L379" t="s">
        <v>959</v>
      </c>
      <c r="M379">
        <v>0.76335877862595403</v>
      </c>
      <c r="N379" t="s">
        <v>960</v>
      </c>
      <c r="O379">
        <v>0</v>
      </c>
      <c r="P379">
        <v>0</v>
      </c>
      <c r="Q379">
        <v>0</v>
      </c>
      <c r="R379">
        <v>0</v>
      </c>
    </row>
    <row r="380" spans="1:18" ht="16" x14ac:dyDescent="0.2">
      <c r="A380" s="127" t="s">
        <v>954</v>
      </c>
      <c r="B380" t="s">
        <v>61</v>
      </c>
      <c r="C380" t="s">
        <v>3118</v>
      </c>
      <c r="D380" t="s">
        <v>3119</v>
      </c>
      <c r="E380">
        <v>6</v>
      </c>
      <c r="F380">
        <v>6</v>
      </c>
      <c r="G380">
        <v>1</v>
      </c>
      <c r="H380">
        <v>11.8321595661992</v>
      </c>
      <c r="I380" t="s">
        <v>957</v>
      </c>
      <c r="J380" t="s">
        <v>3120</v>
      </c>
      <c r="K380">
        <v>7.14285714285714E-3</v>
      </c>
      <c r="L380" t="s">
        <v>959</v>
      </c>
      <c r="M380">
        <v>0.76335877862595403</v>
      </c>
      <c r="N380" t="s">
        <v>960</v>
      </c>
      <c r="O380">
        <v>0</v>
      </c>
      <c r="P380">
        <v>0</v>
      </c>
      <c r="Q380">
        <v>0</v>
      </c>
      <c r="R380">
        <v>0</v>
      </c>
    </row>
    <row r="381" spans="1:18" ht="16" x14ac:dyDescent="0.2">
      <c r="A381" s="127" t="s">
        <v>954</v>
      </c>
      <c r="B381" t="s">
        <v>61</v>
      </c>
      <c r="C381" t="s">
        <v>3437</v>
      </c>
      <c r="D381" t="s">
        <v>3438</v>
      </c>
      <c r="E381" t="s">
        <v>1692</v>
      </c>
      <c r="F381">
        <v>5</v>
      </c>
      <c r="G381">
        <v>2</v>
      </c>
      <c r="H381">
        <v>7.8812228415085599</v>
      </c>
      <c r="I381" t="s">
        <v>957</v>
      </c>
      <c r="J381" t="s">
        <v>3439</v>
      </c>
      <c r="K381">
        <v>0.107142857142857</v>
      </c>
      <c r="L381" t="s">
        <v>959</v>
      </c>
      <c r="M381">
        <v>0.76335877862595403</v>
      </c>
      <c r="N381" t="s">
        <v>960</v>
      </c>
      <c r="O381">
        <v>0</v>
      </c>
      <c r="P381">
        <v>0</v>
      </c>
      <c r="Q381">
        <v>0</v>
      </c>
      <c r="R381">
        <v>0</v>
      </c>
    </row>
    <row r="382" spans="1:18" ht="16" x14ac:dyDescent="0.2">
      <c r="A382" s="127" t="s">
        <v>954</v>
      </c>
      <c r="B382" t="s">
        <v>61</v>
      </c>
      <c r="C382" t="s">
        <v>1476</v>
      </c>
      <c r="D382" t="s">
        <v>1477</v>
      </c>
      <c r="E382" t="s">
        <v>1478</v>
      </c>
      <c r="F382">
        <v>15</v>
      </c>
      <c r="G382">
        <v>4</v>
      </c>
      <c r="H382">
        <v>11.5755565920309</v>
      </c>
      <c r="I382" t="s">
        <v>957</v>
      </c>
      <c r="J382" t="s">
        <v>1479</v>
      </c>
      <c r="K382">
        <v>7.1428571428571397E-2</v>
      </c>
      <c r="L382" t="s">
        <v>959</v>
      </c>
      <c r="M382">
        <v>0.76335877862595403</v>
      </c>
      <c r="N382" t="s">
        <v>960</v>
      </c>
      <c r="O382">
        <v>0</v>
      </c>
      <c r="P382">
        <v>0</v>
      </c>
      <c r="Q382">
        <v>0</v>
      </c>
      <c r="R382">
        <v>0</v>
      </c>
    </row>
    <row r="383" spans="1:18" ht="16" x14ac:dyDescent="0.2">
      <c r="A383" s="127" t="s">
        <v>954</v>
      </c>
      <c r="B383" t="s">
        <v>179</v>
      </c>
      <c r="C383" t="s">
        <v>1866</v>
      </c>
      <c r="D383" t="s">
        <v>1867</v>
      </c>
      <c r="E383">
        <v>4</v>
      </c>
      <c r="F383">
        <v>4</v>
      </c>
      <c r="G383">
        <v>1</v>
      </c>
      <c r="H383">
        <v>9.3408951435946097</v>
      </c>
      <c r="I383" t="s">
        <v>957</v>
      </c>
      <c r="J383" t="s">
        <v>3034</v>
      </c>
      <c r="K383">
        <v>4.2857142857142899E-2</v>
      </c>
      <c r="L383" t="s">
        <v>959</v>
      </c>
      <c r="M383">
        <v>1.5267175572519101</v>
      </c>
      <c r="N383" t="s">
        <v>960</v>
      </c>
      <c r="O383">
        <v>0</v>
      </c>
      <c r="P383">
        <v>0</v>
      </c>
      <c r="Q383">
        <v>0</v>
      </c>
      <c r="R383">
        <v>0</v>
      </c>
    </row>
    <row r="384" spans="1:18" ht="16" x14ac:dyDescent="0.2">
      <c r="A384" s="127" t="s">
        <v>954</v>
      </c>
      <c r="B384" t="s">
        <v>179</v>
      </c>
      <c r="C384" t="s">
        <v>2828</v>
      </c>
      <c r="D384" t="s">
        <v>2829</v>
      </c>
      <c r="E384">
        <v>3</v>
      </c>
      <c r="F384">
        <v>3</v>
      </c>
      <c r="G384">
        <v>1</v>
      </c>
      <c r="H384">
        <v>10.605878528655399</v>
      </c>
      <c r="I384" t="s">
        <v>957</v>
      </c>
      <c r="J384" t="s">
        <v>2830</v>
      </c>
      <c r="K384">
        <v>1.4285714285714299E-2</v>
      </c>
      <c r="L384" t="s">
        <v>959</v>
      </c>
      <c r="M384">
        <v>1.5267175572519101</v>
      </c>
      <c r="N384" t="s">
        <v>960</v>
      </c>
      <c r="O384">
        <v>0</v>
      </c>
      <c r="P384">
        <v>0</v>
      </c>
      <c r="Q384">
        <v>0</v>
      </c>
      <c r="R384">
        <v>0</v>
      </c>
    </row>
    <row r="385" spans="1:18" ht="16" x14ac:dyDescent="0.2">
      <c r="A385" s="127" t="s">
        <v>954</v>
      </c>
      <c r="B385" t="s">
        <v>179</v>
      </c>
      <c r="C385" t="s">
        <v>991</v>
      </c>
      <c r="D385" t="s">
        <v>992</v>
      </c>
      <c r="E385">
        <v>3</v>
      </c>
      <c r="F385">
        <v>3</v>
      </c>
      <c r="G385">
        <v>1</v>
      </c>
      <c r="H385">
        <v>4.7379988353274998</v>
      </c>
      <c r="I385" t="s">
        <v>957</v>
      </c>
      <c r="J385" t="s">
        <v>993</v>
      </c>
      <c r="K385">
        <v>0.107142857142857</v>
      </c>
      <c r="L385" t="s">
        <v>959</v>
      </c>
      <c r="M385">
        <v>3.0534351145038201</v>
      </c>
      <c r="N385" t="s">
        <v>960</v>
      </c>
      <c r="O385">
        <v>0</v>
      </c>
      <c r="P385">
        <v>0</v>
      </c>
      <c r="Q385">
        <v>0</v>
      </c>
      <c r="R385">
        <v>0</v>
      </c>
    </row>
    <row r="386" spans="1:18" ht="16" x14ac:dyDescent="0.2">
      <c r="A386" s="127" t="s">
        <v>954</v>
      </c>
      <c r="B386" t="s">
        <v>179</v>
      </c>
      <c r="C386" t="s">
        <v>2016</v>
      </c>
      <c r="D386" t="s">
        <v>2017</v>
      </c>
      <c r="E386" t="s">
        <v>1052</v>
      </c>
      <c r="F386">
        <v>2</v>
      </c>
      <c r="G386">
        <v>2</v>
      </c>
      <c r="H386">
        <v>8.00142801446062</v>
      </c>
      <c r="I386" t="s">
        <v>957</v>
      </c>
      <c r="J386" t="s">
        <v>2018</v>
      </c>
      <c r="K386">
        <v>4.2857142857142899E-2</v>
      </c>
      <c r="L386" t="s">
        <v>959</v>
      </c>
      <c r="M386">
        <v>0.76335877862595403</v>
      </c>
      <c r="N386" t="s">
        <v>960</v>
      </c>
      <c r="O386">
        <v>0</v>
      </c>
      <c r="P386">
        <v>0</v>
      </c>
      <c r="Q386">
        <v>0</v>
      </c>
      <c r="R386">
        <v>0</v>
      </c>
    </row>
    <row r="387" spans="1:18" ht="16" x14ac:dyDescent="0.2">
      <c r="A387" s="127" t="s">
        <v>954</v>
      </c>
      <c r="B387" t="s">
        <v>179</v>
      </c>
      <c r="C387" t="s">
        <v>1953</v>
      </c>
      <c r="D387" t="s">
        <v>1954</v>
      </c>
      <c r="E387">
        <v>5</v>
      </c>
      <c r="F387">
        <v>5</v>
      </c>
      <c r="G387">
        <v>1</v>
      </c>
      <c r="H387">
        <v>8.3064534234350607</v>
      </c>
      <c r="I387" t="s">
        <v>957</v>
      </c>
      <c r="J387" t="s">
        <v>1955</v>
      </c>
      <c r="K387">
        <v>0.05</v>
      </c>
      <c r="L387" t="s">
        <v>959</v>
      </c>
      <c r="M387">
        <v>1.5267175572519101</v>
      </c>
      <c r="N387" t="s">
        <v>960</v>
      </c>
      <c r="O387">
        <v>0</v>
      </c>
      <c r="P387" t="s">
        <v>5017</v>
      </c>
      <c r="Q387">
        <v>0</v>
      </c>
      <c r="R387">
        <v>0</v>
      </c>
    </row>
    <row r="388" spans="1:18" ht="16" x14ac:dyDescent="0.2">
      <c r="A388" s="127" t="s">
        <v>954</v>
      </c>
      <c r="B388" t="s">
        <v>179</v>
      </c>
      <c r="C388" t="s">
        <v>3635</v>
      </c>
      <c r="D388" t="s">
        <v>3636</v>
      </c>
      <c r="E388">
        <v>3</v>
      </c>
      <c r="F388">
        <v>3</v>
      </c>
      <c r="G388">
        <v>1</v>
      </c>
      <c r="H388">
        <v>6.7167327129313801</v>
      </c>
      <c r="I388" t="s">
        <v>957</v>
      </c>
      <c r="J388" t="s">
        <v>3637</v>
      </c>
      <c r="K388">
        <v>9.2857142857142902E-2</v>
      </c>
      <c r="L388" t="s">
        <v>959</v>
      </c>
      <c r="M388">
        <v>0.76335877862595403</v>
      </c>
      <c r="N388" t="s">
        <v>960</v>
      </c>
      <c r="O388">
        <v>0</v>
      </c>
      <c r="P388">
        <v>0</v>
      </c>
      <c r="Q388">
        <v>0</v>
      </c>
      <c r="R388">
        <v>0</v>
      </c>
    </row>
    <row r="389" spans="1:18" ht="16" x14ac:dyDescent="0.2">
      <c r="A389" s="127" t="s">
        <v>954</v>
      </c>
      <c r="B389" t="s">
        <v>179</v>
      </c>
      <c r="C389" t="s">
        <v>3301</v>
      </c>
      <c r="D389" t="s">
        <v>3302</v>
      </c>
      <c r="E389">
        <v>8</v>
      </c>
      <c r="F389">
        <v>8</v>
      </c>
      <c r="G389">
        <v>1</v>
      </c>
      <c r="H389">
        <v>5.0303286649289802</v>
      </c>
      <c r="I389" t="s">
        <v>957</v>
      </c>
      <c r="J389" t="s">
        <v>3303</v>
      </c>
      <c r="K389">
        <v>0.128571428571429</v>
      </c>
      <c r="L389" t="s">
        <v>959</v>
      </c>
      <c r="M389">
        <v>1.5267175572519101</v>
      </c>
      <c r="N389" t="s">
        <v>960</v>
      </c>
      <c r="O389">
        <v>0</v>
      </c>
      <c r="P389">
        <v>0</v>
      </c>
      <c r="Q389">
        <v>0</v>
      </c>
      <c r="R389">
        <v>0</v>
      </c>
    </row>
    <row r="390" spans="1:18" ht="16" x14ac:dyDescent="0.2">
      <c r="A390" s="127" t="s">
        <v>954</v>
      </c>
      <c r="B390" t="s">
        <v>179</v>
      </c>
      <c r="C390" t="s">
        <v>1083</v>
      </c>
      <c r="D390" t="s">
        <v>1084</v>
      </c>
      <c r="E390">
        <v>7</v>
      </c>
      <c r="F390">
        <v>7</v>
      </c>
      <c r="G390">
        <v>1</v>
      </c>
      <c r="H390">
        <v>8.4195713015759601</v>
      </c>
      <c r="I390" t="s">
        <v>957</v>
      </c>
      <c r="J390" t="s">
        <v>1587</v>
      </c>
      <c r="K390">
        <v>9.2857142857142902E-2</v>
      </c>
      <c r="L390" t="s">
        <v>959</v>
      </c>
      <c r="M390">
        <v>1.5267175572519101</v>
      </c>
      <c r="N390" t="s">
        <v>960</v>
      </c>
      <c r="O390">
        <v>0</v>
      </c>
      <c r="P390">
        <v>0</v>
      </c>
      <c r="Q390">
        <v>0</v>
      </c>
      <c r="R390">
        <v>0</v>
      </c>
    </row>
    <row r="391" spans="1:18" ht="16" x14ac:dyDescent="0.2">
      <c r="A391" s="127" t="s">
        <v>954</v>
      </c>
      <c r="B391" t="s">
        <v>179</v>
      </c>
      <c r="C391" t="s">
        <v>2754</v>
      </c>
      <c r="D391" t="s">
        <v>2755</v>
      </c>
      <c r="E391">
        <v>5</v>
      </c>
      <c r="F391">
        <v>5</v>
      </c>
      <c r="G391">
        <v>1</v>
      </c>
      <c r="H391">
        <v>7.4377960990343697</v>
      </c>
      <c r="I391" t="s">
        <v>957</v>
      </c>
      <c r="J391" t="s">
        <v>2933</v>
      </c>
      <c r="K391">
        <v>3.5714285714285698E-2</v>
      </c>
      <c r="L391" t="s">
        <v>959</v>
      </c>
      <c r="M391">
        <v>1.5267175572519101</v>
      </c>
      <c r="N391" t="s">
        <v>960</v>
      </c>
      <c r="O391">
        <v>0</v>
      </c>
      <c r="P391">
        <v>0</v>
      </c>
      <c r="Q391">
        <v>0</v>
      </c>
      <c r="R391">
        <v>0</v>
      </c>
    </row>
    <row r="392" spans="1:18" ht="16" x14ac:dyDescent="0.2">
      <c r="A392" s="127" t="s">
        <v>954</v>
      </c>
      <c r="B392" t="s">
        <v>211</v>
      </c>
      <c r="C392" t="s">
        <v>215</v>
      </c>
      <c r="D392" t="s">
        <v>2013</v>
      </c>
      <c r="E392" t="s">
        <v>2014</v>
      </c>
      <c r="F392">
        <v>11</v>
      </c>
      <c r="G392">
        <v>2</v>
      </c>
      <c r="H392">
        <v>3.8729833462074201</v>
      </c>
      <c r="I392" t="s">
        <v>957</v>
      </c>
      <c r="J392" t="s">
        <v>2015</v>
      </c>
      <c r="K392">
        <v>6.6666666666666693E-2</v>
      </c>
      <c r="L392" t="s">
        <v>1004</v>
      </c>
      <c r="M392">
        <v>0.76335877862595403</v>
      </c>
      <c r="N392" t="s">
        <v>1005</v>
      </c>
      <c r="O392">
        <v>0</v>
      </c>
      <c r="P392">
        <v>0</v>
      </c>
      <c r="Q392">
        <v>0</v>
      </c>
      <c r="R392">
        <v>0</v>
      </c>
    </row>
    <row r="393" spans="1:18" ht="16" x14ac:dyDescent="0.2">
      <c r="A393" s="127" t="s">
        <v>954</v>
      </c>
      <c r="B393" t="s">
        <v>211</v>
      </c>
      <c r="C393" t="s">
        <v>260</v>
      </c>
      <c r="D393" t="s">
        <v>1775</v>
      </c>
      <c r="E393">
        <v>3</v>
      </c>
      <c r="F393">
        <v>3</v>
      </c>
      <c r="G393">
        <v>1</v>
      </c>
      <c r="H393">
        <v>5.8325992272454803</v>
      </c>
      <c r="I393" t="s">
        <v>957</v>
      </c>
      <c r="J393" t="s">
        <v>3238</v>
      </c>
      <c r="K393">
        <v>1.4285714285714299E-2</v>
      </c>
      <c r="L393" t="s">
        <v>959</v>
      </c>
      <c r="M393">
        <v>1.5267175572519101</v>
      </c>
      <c r="N393" t="s">
        <v>960</v>
      </c>
      <c r="O393">
        <v>0</v>
      </c>
      <c r="P393">
        <v>0</v>
      </c>
      <c r="Q393">
        <v>0</v>
      </c>
      <c r="R393">
        <v>0</v>
      </c>
    </row>
    <row r="394" spans="1:18" ht="16" x14ac:dyDescent="0.2">
      <c r="A394" s="127" t="s">
        <v>954</v>
      </c>
      <c r="B394" t="s">
        <v>211</v>
      </c>
      <c r="C394" t="s">
        <v>1006</v>
      </c>
      <c r="D394" t="s">
        <v>1007</v>
      </c>
      <c r="E394" t="s">
        <v>1008</v>
      </c>
      <c r="F394">
        <v>7</v>
      </c>
      <c r="G394">
        <v>2</v>
      </c>
      <c r="H394">
        <v>3.8729833462074201</v>
      </c>
      <c r="I394" t="s">
        <v>957</v>
      </c>
      <c r="J394" t="s">
        <v>1009</v>
      </c>
      <c r="K394">
        <v>6.6666666666666693E-2</v>
      </c>
      <c r="L394" t="s">
        <v>1004</v>
      </c>
      <c r="M394">
        <v>1.5267175572519101</v>
      </c>
      <c r="N394" t="s">
        <v>1005</v>
      </c>
      <c r="O394">
        <v>0</v>
      </c>
      <c r="P394">
        <v>0</v>
      </c>
      <c r="Q394">
        <v>0</v>
      </c>
      <c r="R394">
        <v>0</v>
      </c>
    </row>
    <row r="395" spans="1:18" ht="16" x14ac:dyDescent="0.2">
      <c r="A395" s="127" t="s">
        <v>954</v>
      </c>
      <c r="B395" t="s">
        <v>211</v>
      </c>
      <c r="C395" t="s">
        <v>450</v>
      </c>
      <c r="D395" t="s">
        <v>1456</v>
      </c>
      <c r="E395" t="s">
        <v>1457</v>
      </c>
      <c r="F395">
        <v>9</v>
      </c>
      <c r="G395">
        <v>2</v>
      </c>
      <c r="H395">
        <v>7.2363499385233299</v>
      </c>
      <c r="I395" t="s">
        <v>957</v>
      </c>
      <c r="J395" t="s">
        <v>1458</v>
      </c>
      <c r="K395">
        <v>4.2857142857142899E-2</v>
      </c>
      <c r="L395" t="s">
        <v>959</v>
      </c>
      <c r="M395">
        <v>1.5267175572519101</v>
      </c>
      <c r="N395" t="s">
        <v>960</v>
      </c>
      <c r="O395">
        <v>0</v>
      </c>
      <c r="P395">
        <v>0</v>
      </c>
      <c r="Q395">
        <v>0</v>
      </c>
      <c r="R395">
        <v>0</v>
      </c>
    </row>
    <row r="396" spans="1:18" ht="16" x14ac:dyDescent="0.2">
      <c r="A396" s="127" t="s">
        <v>954</v>
      </c>
      <c r="B396" t="s">
        <v>211</v>
      </c>
      <c r="C396" t="s">
        <v>2476</v>
      </c>
      <c r="D396" t="s">
        <v>2477</v>
      </c>
      <c r="E396" t="s">
        <v>1265</v>
      </c>
      <c r="F396">
        <v>6</v>
      </c>
      <c r="G396">
        <v>2</v>
      </c>
      <c r="H396">
        <v>3.83688765336752</v>
      </c>
      <c r="I396" t="s">
        <v>957</v>
      </c>
      <c r="J396" t="s">
        <v>2478</v>
      </c>
      <c r="K396">
        <v>0.33333333333333298</v>
      </c>
      <c r="L396" t="s">
        <v>1004</v>
      </c>
      <c r="M396">
        <v>1.5267175572519101</v>
      </c>
      <c r="N396" t="s">
        <v>1005</v>
      </c>
      <c r="O396">
        <v>0</v>
      </c>
      <c r="P396">
        <v>0</v>
      </c>
      <c r="Q396">
        <v>0</v>
      </c>
      <c r="R396">
        <v>0</v>
      </c>
    </row>
    <row r="397" spans="1:18" ht="16" x14ac:dyDescent="0.2">
      <c r="A397" s="127" t="s">
        <v>954</v>
      </c>
      <c r="B397" t="s">
        <v>211</v>
      </c>
      <c r="C397" t="s">
        <v>1741</v>
      </c>
      <c r="D397" t="s">
        <v>3039</v>
      </c>
      <c r="E397" t="s">
        <v>1482</v>
      </c>
      <c r="F397">
        <v>16</v>
      </c>
      <c r="G397">
        <v>2</v>
      </c>
      <c r="H397">
        <v>3.8720880657178398</v>
      </c>
      <c r="I397" t="s">
        <v>957</v>
      </c>
      <c r="J397" t="s">
        <v>3040</v>
      </c>
      <c r="K397">
        <v>0.133333333333333</v>
      </c>
      <c r="L397" t="s">
        <v>1004</v>
      </c>
      <c r="M397">
        <v>1.5267175572519101</v>
      </c>
      <c r="N397" t="s">
        <v>1005</v>
      </c>
      <c r="O397">
        <v>0</v>
      </c>
      <c r="P397">
        <v>0</v>
      </c>
      <c r="Q397">
        <v>0</v>
      </c>
      <c r="R397">
        <v>0</v>
      </c>
    </row>
    <row r="398" spans="1:18" ht="16" x14ac:dyDescent="0.2">
      <c r="A398" s="127" t="s">
        <v>954</v>
      </c>
      <c r="B398" t="s">
        <v>215</v>
      </c>
      <c r="C398" t="s">
        <v>3589</v>
      </c>
      <c r="D398" t="s">
        <v>3590</v>
      </c>
      <c r="E398" t="s">
        <v>1008</v>
      </c>
      <c r="F398">
        <v>7</v>
      </c>
      <c r="G398">
        <v>2</v>
      </c>
      <c r="H398">
        <v>4.0205757634383801</v>
      </c>
      <c r="I398" t="s">
        <v>957</v>
      </c>
      <c r="J398" t="s">
        <v>3591</v>
      </c>
      <c r="K398">
        <v>0.11764705882352899</v>
      </c>
      <c r="L398" t="s">
        <v>1099</v>
      </c>
      <c r="M398">
        <v>0.76335877862595403</v>
      </c>
      <c r="N398" t="s">
        <v>973</v>
      </c>
      <c r="O398">
        <v>0</v>
      </c>
      <c r="P398">
        <v>0</v>
      </c>
      <c r="Q398">
        <v>0</v>
      </c>
      <c r="R398">
        <v>0</v>
      </c>
    </row>
    <row r="399" spans="1:18" ht="16" x14ac:dyDescent="0.2">
      <c r="A399" s="127" t="s">
        <v>954</v>
      </c>
      <c r="B399" t="s">
        <v>215</v>
      </c>
      <c r="C399" t="s">
        <v>2733</v>
      </c>
      <c r="D399" t="s">
        <v>2734</v>
      </c>
      <c r="E399" t="s">
        <v>1039</v>
      </c>
      <c r="F399">
        <v>3</v>
      </c>
      <c r="G399">
        <v>2</v>
      </c>
      <c r="H399">
        <v>3.9738950519529501</v>
      </c>
      <c r="I399" t="s">
        <v>957</v>
      </c>
      <c r="J399" t="s">
        <v>2735</v>
      </c>
      <c r="K399">
        <v>0.11764705882352899</v>
      </c>
      <c r="L399" t="s">
        <v>1099</v>
      </c>
      <c r="M399">
        <v>0.76335877862595403</v>
      </c>
      <c r="N399" t="s">
        <v>973</v>
      </c>
      <c r="O399">
        <v>0</v>
      </c>
      <c r="P399">
        <v>0</v>
      </c>
      <c r="Q399">
        <v>0</v>
      </c>
      <c r="R399">
        <v>0</v>
      </c>
    </row>
    <row r="400" spans="1:18" ht="16" x14ac:dyDescent="0.2">
      <c r="A400" s="127" t="s">
        <v>954</v>
      </c>
      <c r="B400" t="s">
        <v>215</v>
      </c>
      <c r="C400" t="s">
        <v>1842</v>
      </c>
      <c r="D400" t="s">
        <v>1843</v>
      </c>
      <c r="E400">
        <v>3</v>
      </c>
      <c r="F400">
        <v>3</v>
      </c>
      <c r="G400">
        <v>1</v>
      </c>
      <c r="H400">
        <v>4.1231056256176597</v>
      </c>
      <c r="I400" t="s">
        <v>957</v>
      </c>
      <c r="J400" t="s">
        <v>1844</v>
      </c>
      <c r="K400">
        <v>5.8823529411764698E-2</v>
      </c>
      <c r="L400" t="s">
        <v>1099</v>
      </c>
      <c r="M400">
        <v>1.5267175572519101</v>
      </c>
      <c r="N400" t="s">
        <v>973</v>
      </c>
      <c r="O400">
        <v>0</v>
      </c>
      <c r="P400">
        <v>0</v>
      </c>
      <c r="Q400">
        <v>0</v>
      </c>
      <c r="R400">
        <v>0</v>
      </c>
    </row>
    <row r="401" spans="1:18" ht="16" x14ac:dyDescent="0.2">
      <c r="A401" s="127" t="s">
        <v>954</v>
      </c>
      <c r="B401" t="s">
        <v>215</v>
      </c>
      <c r="C401" t="s">
        <v>1041</v>
      </c>
      <c r="E401" t="s">
        <v>1039</v>
      </c>
      <c r="F401">
        <v>3</v>
      </c>
      <c r="G401">
        <v>2</v>
      </c>
      <c r="H401">
        <v>4.0713173920148797</v>
      </c>
      <c r="I401" t="s">
        <v>957</v>
      </c>
      <c r="J401" t="s">
        <v>2306</v>
      </c>
      <c r="K401">
        <v>0.17647058823529399</v>
      </c>
      <c r="L401" t="s">
        <v>1099</v>
      </c>
      <c r="M401">
        <v>2.2900763358778602</v>
      </c>
      <c r="N401" t="s">
        <v>973</v>
      </c>
      <c r="O401">
        <v>0</v>
      </c>
      <c r="P401">
        <v>0</v>
      </c>
      <c r="Q401">
        <v>0</v>
      </c>
      <c r="R401">
        <v>0</v>
      </c>
    </row>
    <row r="402" spans="1:18" ht="16" x14ac:dyDescent="0.2">
      <c r="A402" s="127" t="s">
        <v>954</v>
      </c>
      <c r="B402" t="s">
        <v>215</v>
      </c>
      <c r="C402" t="s">
        <v>529</v>
      </c>
      <c r="D402" t="s">
        <v>3224</v>
      </c>
      <c r="E402">
        <v>31</v>
      </c>
      <c r="F402">
        <v>31</v>
      </c>
      <c r="G402">
        <v>1</v>
      </c>
      <c r="H402">
        <v>4.1231056256176499</v>
      </c>
      <c r="I402" t="s">
        <v>957</v>
      </c>
      <c r="J402" t="s">
        <v>3225</v>
      </c>
      <c r="K402">
        <v>5.8823529411764698E-2</v>
      </c>
      <c r="L402" t="s">
        <v>1099</v>
      </c>
      <c r="M402">
        <v>0.76335877862595403</v>
      </c>
      <c r="N402" t="s">
        <v>973</v>
      </c>
      <c r="O402">
        <v>0</v>
      </c>
      <c r="P402">
        <v>0</v>
      </c>
      <c r="Q402">
        <v>0</v>
      </c>
      <c r="R402">
        <v>0</v>
      </c>
    </row>
    <row r="403" spans="1:18" ht="16" x14ac:dyDescent="0.2">
      <c r="A403" s="127" t="s">
        <v>954</v>
      </c>
      <c r="B403" t="s">
        <v>215</v>
      </c>
      <c r="C403" t="s">
        <v>2599</v>
      </c>
      <c r="D403" t="s">
        <v>2600</v>
      </c>
      <c r="E403" t="s">
        <v>1039</v>
      </c>
      <c r="F403">
        <v>3</v>
      </c>
      <c r="G403">
        <v>2</v>
      </c>
      <c r="H403">
        <v>4.1231056256176597</v>
      </c>
      <c r="I403" t="s">
        <v>957</v>
      </c>
      <c r="J403" t="s">
        <v>2601</v>
      </c>
      <c r="K403">
        <v>5.8823529411764698E-2</v>
      </c>
      <c r="L403" t="s">
        <v>1099</v>
      </c>
      <c r="M403">
        <v>1.5267175572519101</v>
      </c>
      <c r="N403" t="s">
        <v>973</v>
      </c>
      <c r="O403">
        <v>0</v>
      </c>
      <c r="P403">
        <v>0</v>
      </c>
      <c r="Q403">
        <v>0</v>
      </c>
      <c r="R403">
        <v>0</v>
      </c>
    </row>
    <row r="404" spans="1:18" ht="16" x14ac:dyDescent="0.2">
      <c r="A404" s="127" t="s">
        <v>954</v>
      </c>
      <c r="B404" t="s">
        <v>219</v>
      </c>
      <c r="C404" t="s">
        <v>1156</v>
      </c>
      <c r="D404" t="s">
        <v>1157</v>
      </c>
      <c r="E404">
        <v>26</v>
      </c>
      <c r="F404">
        <v>26</v>
      </c>
      <c r="G404">
        <v>1</v>
      </c>
      <c r="H404">
        <v>5.0990195135927801</v>
      </c>
      <c r="I404">
        <v>0.95</v>
      </c>
      <c r="J404" t="s">
        <v>957</v>
      </c>
      <c r="K404">
        <v>25</v>
      </c>
      <c r="L404" t="s">
        <v>977</v>
      </c>
      <c r="M404">
        <v>0.76335877862595403</v>
      </c>
      <c r="N404" t="s">
        <v>978</v>
      </c>
      <c r="O404">
        <v>0</v>
      </c>
      <c r="P404">
        <v>0</v>
      </c>
      <c r="Q404">
        <v>0</v>
      </c>
      <c r="R404" t="s">
        <v>5019</v>
      </c>
    </row>
    <row r="405" spans="1:18" ht="16" x14ac:dyDescent="0.2">
      <c r="A405" s="127" t="s">
        <v>954</v>
      </c>
      <c r="B405" t="s">
        <v>219</v>
      </c>
      <c r="C405" t="s">
        <v>3006</v>
      </c>
      <c r="D405" t="s">
        <v>3007</v>
      </c>
      <c r="E405" t="s">
        <v>3008</v>
      </c>
      <c r="F405">
        <v>10</v>
      </c>
      <c r="G405">
        <v>2</v>
      </c>
      <c r="H405">
        <v>2.2360679774997898</v>
      </c>
      <c r="I405">
        <v>0.48</v>
      </c>
      <c r="J405" t="s">
        <v>957</v>
      </c>
      <c r="K405">
        <v>50</v>
      </c>
      <c r="L405" t="s">
        <v>977</v>
      </c>
      <c r="M405">
        <v>0.76335877862595403</v>
      </c>
      <c r="N405" t="s">
        <v>978</v>
      </c>
      <c r="O405">
        <v>0</v>
      </c>
      <c r="P405">
        <v>0</v>
      </c>
      <c r="Q405">
        <v>0</v>
      </c>
      <c r="R405">
        <v>0</v>
      </c>
    </row>
    <row r="406" spans="1:18" ht="16" x14ac:dyDescent="0.2">
      <c r="A406" s="127" t="s">
        <v>954</v>
      </c>
      <c r="B406" t="s">
        <v>219</v>
      </c>
      <c r="C406" t="s">
        <v>1383</v>
      </c>
      <c r="D406" t="s">
        <v>2889</v>
      </c>
      <c r="E406">
        <v>23</v>
      </c>
      <c r="F406">
        <v>23</v>
      </c>
      <c r="G406">
        <v>1</v>
      </c>
      <c r="H406">
        <v>5.1961524227066302</v>
      </c>
      <c r="I406">
        <v>0.37</v>
      </c>
      <c r="J406" t="s">
        <v>957</v>
      </c>
      <c r="K406">
        <v>37.5</v>
      </c>
      <c r="L406" t="s">
        <v>977</v>
      </c>
      <c r="M406">
        <v>2.2900763358778602</v>
      </c>
      <c r="N406" t="s">
        <v>978</v>
      </c>
      <c r="O406">
        <v>0</v>
      </c>
      <c r="P406">
        <v>0</v>
      </c>
      <c r="Q406">
        <v>0</v>
      </c>
      <c r="R406">
        <v>0</v>
      </c>
    </row>
    <row r="407" spans="1:18" ht="16" x14ac:dyDescent="0.2">
      <c r="A407" s="127" t="s">
        <v>954</v>
      </c>
      <c r="B407" t="s">
        <v>219</v>
      </c>
      <c r="C407" t="s">
        <v>3078</v>
      </c>
      <c r="D407" t="s">
        <v>3079</v>
      </c>
      <c r="E407">
        <v>10</v>
      </c>
      <c r="F407">
        <v>10</v>
      </c>
      <c r="G407">
        <v>1</v>
      </c>
      <c r="H407">
        <v>3.16227766016838</v>
      </c>
      <c r="I407">
        <v>1</v>
      </c>
      <c r="J407" t="s">
        <v>957</v>
      </c>
      <c r="K407">
        <v>18.75</v>
      </c>
      <c r="L407" t="s">
        <v>977</v>
      </c>
      <c r="M407">
        <v>0.76335877862595403</v>
      </c>
      <c r="N407" t="s">
        <v>978</v>
      </c>
      <c r="O407">
        <v>0</v>
      </c>
      <c r="P407">
        <v>0</v>
      </c>
      <c r="Q407">
        <v>0</v>
      </c>
      <c r="R407">
        <v>0</v>
      </c>
    </row>
    <row r="408" spans="1:18" ht="16" x14ac:dyDescent="0.2">
      <c r="A408" s="127" t="s">
        <v>954</v>
      </c>
      <c r="B408" t="s">
        <v>219</v>
      </c>
      <c r="C408" t="s">
        <v>2613</v>
      </c>
      <c r="D408" t="s">
        <v>2983</v>
      </c>
      <c r="E408">
        <v>16</v>
      </c>
      <c r="F408">
        <v>16</v>
      </c>
      <c r="G408">
        <v>1</v>
      </c>
      <c r="H408">
        <v>4.3588989435406704</v>
      </c>
      <c r="I408">
        <v>0.64</v>
      </c>
      <c r="J408" t="s">
        <v>957</v>
      </c>
      <c r="K408">
        <v>31.25</v>
      </c>
      <c r="L408" t="s">
        <v>977</v>
      </c>
      <c r="M408">
        <v>2.2900763358778602</v>
      </c>
      <c r="N408" t="s">
        <v>978</v>
      </c>
      <c r="O408">
        <v>0</v>
      </c>
      <c r="P408">
        <v>0</v>
      </c>
      <c r="Q408">
        <v>0</v>
      </c>
      <c r="R408">
        <v>0</v>
      </c>
    </row>
    <row r="409" spans="1:18" ht="16" x14ac:dyDescent="0.2">
      <c r="A409" s="127" t="s">
        <v>954</v>
      </c>
      <c r="B409" t="s">
        <v>219</v>
      </c>
      <c r="C409" t="s">
        <v>1515</v>
      </c>
      <c r="D409" t="s">
        <v>1516</v>
      </c>
      <c r="E409" t="s">
        <v>1517</v>
      </c>
      <c r="F409">
        <v>25</v>
      </c>
      <c r="G409">
        <v>2</v>
      </c>
      <c r="H409">
        <v>5.8309518948452999</v>
      </c>
      <c r="I409">
        <v>1</v>
      </c>
      <c r="J409" t="s">
        <v>957</v>
      </c>
      <c r="K409">
        <v>43.75</v>
      </c>
      <c r="L409" t="s">
        <v>977</v>
      </c>
      <c r="M409">
        <v>1.5267175572519101</v>
      </c>
      <c r="N409" t="s">
        <v>978</v>
      </c>
      <c r="O409">
        <v>0</v>
      </c>
      <c r="P409">
        <v>0</v>
      </c>
      <c r="Q409">
        <v>0</v>
      </c>
      <c r="R409">
        <v>0</v>
      </c>
    </row>
    <row r="410" spans="1:18" ht="16" x14ac:dyDescent="0.2">
      <c r="A410" s="127" t="s">
        <v>954</v>
      </c>
      <c r="B410" t="s">
        <v>219</v>
      </c>
      <c r="C410" t="s">
        <v>2137</v>
      </c>
      <c r="D410" t="s">
        <v>2138</v>
      </c>
      <c r="E410" t="s">
        <v>1216</v>
      </c>
      <c r="F410">
        <v>7</v>
      </c>
      <c r="G410">
        <v>2</v>
      </c>
      <c r="H410">
        <v>1.87082869338697</v>
      </c>
      <c r="I410">
        <v>0.94</v>
      </c>
      <c r="J410" t="s">
        <v>957</v>
      </c>
      <c r="K410">
        <v>50</v>
      </c>
      <c r="L410" t="s">
        <v>977</v>
      </c>
      <c r="M410">
        <v>0.76335877862595403</v>
      </c>
      <c r="N410" t="s">
        <v>978</v>
      </c>
      <c r="O410">
        <v>0</v>
      </c>
      <c r="P410">
        <v>0</v>
      </c>
      <c r="Q410">
        <v>0</v>
      </c>
      <c r="R410">
        <v>0</v>
      </c>
    </row>
    <row r="411" spans="1:18" ht="16" x14ac:dyDescent="0.2">
      <c r="A411" s="127" t="s">
        <v>954</v>
      </c>
      <c r="B411" t="s">
        <v>219</v>
      </c>
      <c r="C411" t="s">
        <v>2801</v>
      </c>
      <c r="D411" t="s">
        <v>2802</v>
      </c>
      <c r="E411">
        <v>23</v>
      </c>
      <c r="F411">
        <v>23</v>
      </c>
      <c r="G411">
        <v>1</v>
      </c>
      <c r="H411">
        <v>5.3851648071345002</v>
      </c>
      <c r="I411">
        <v>1</v>
      </c>
      <c r="J411" t="s">
        <v>957</v>
      </c>
      <c r="K411">
        <v>50</v>
      </c>
      <c r="L411" t="s">
        <v>977</v>
      </c>
      <c r="M411">
        <v>0.76335877862595403</v>
      </c>
      <c r="N411" t="s">
        <v>978</v>
      </c>
      <c r="O411">
        <v>0</v>
      </c>
      <c r="P411">
        <v>0</v>
      </c>
      <c r="Q411">
        <v>0</v>
      </c>
      <c r="R411">
        <v>0</v>
      </c>
    </row>
    <row r="412" spans="1:18" ht="16" x14ac:dyDescent="0.2">
      <c r="A412" s="127" t="s">
        <v>954</v>
      </c>
      <c r="B412" t="s">
        <v>219</v>
      </c>
      <c r="C412" t="s">
        <v>1632</v>
      </c>
      <c r="D412" t="s">
        <v>1633</v>
      </c>
      <c r="E412" t="s">
        <v>1039</v>
      </c>
      <c r="F412">
        <v>3</v>
      </c>
      <c r="G412">
        <v>2</v>
      </c>
      <c r="H412">
        <v>1.7320508075688801</v>
      </c>
      <c r="I412">
        <v>0.62</v>
      </c>
      <c r="J412" t="s">
        <v>957</v>
      </c>
      <c r="K412">
        <v>12.5</v>
      </c>
      <c r="L412" t="s">
        <v>977</v>
      </c>
      <c r="M412">
        <v>0.76335877862595403</v>
      </c>
      <c r="N412" t="s">
        <v>978</v>
      </c>
      <c r="O412">
        <v>0</v>
      </c>
      <c r="P412">
        <v>0</v>
      </c>
      <c r="Q412">
        <v>0</v>
      </c>
      <c r="R412">
        <v>0</v>
      </c>
    </row>
    <row r="413" spans="1:18" ht="16" x14ac:dyDescent="0.2">
      <c r="A413" s="127" t="s">
        <v>954</v>
      </c>
      <c r="B413" t="s">
        <v>219</v>
      </c>
      <c r="C413" t="s">
        <v>3423</v>
      </c>
      <c r="D413" t="s">
        <v>3424</v>
      </c>
      <c r="E413" t="s">
        <v>3425</v>
      </c>
      <c r="F413">
        <v>18</v>
      </c>
      <c r="G413">
        <v>2</v>
      </c>
      <c r="H413">
        <v>4.2426406871192803</v>
      </c>
      <c r="I413">
        <v>1</v>
      </c>
      <c r="J413" t="s">
        <v>957</v>
      </c>
      <c r="K413">
        <v>25</v>
      </c>
      <c r="L413" t="s">
        <v>977</v>
      </c>
      <c r="M413">
        <v>0.76335877862595403</v>
      </c>
      <c r="N413" t="s">
        <v>978</v>
      </c>
      <c r="O413">
        <v>0</v>
      </c>
      <c r="P413">
        <v>0</v>
      </c>
      <c r="Q413">
        <v>0</v>
      </c>
      <c r="R413">
        <v>0</v>
      </c>
    </row>
    <row r="414" spans="1:18" ht="16" x14ac:dyDescent="0.2">
      <c r="A414" s="127" t="s">
        <v>954</v>
      </c>
      <c r="B414" t="s">
        <v>219</v>
      </c>
      <c r="C414" t="s">
        <v>1795</v>
      </c>
      <c r="D414" t="s">
        <v>1796</v>
      </c>
      <c r="E414" t="s">
        <v>1074</v>
      </c>
      <c r="F414">
        <v>6</v>
      </c>
      <c r="G414">
        <v>2</v>
      </c>
      <c r="H414">
        <v>2.4494897427831801</v>
      </c>
      <c r="I414">
        <v>0.73</v>
      </c>
      <c r="J414" t="s">
        <v>957</v>
      </c>
      <c r="K414">
        <v>12.5</v>
      </c>
      <c r="L414" t="s">
        <v>977</v>
      </c>
      <c r="M414">
        <v>0.76335877862595403</v>
      </c>
      <c r="N414" t="s">
        <v>978</v>
      </c>
      <c r="O414">
        <v>0</v>
      </c>
      <c r="P414">
        <v>0</v>
      </c>
      <c r="Q414">
        <v>0</v>
      </c>
      <c r="R414">
        <v>0</v>
      </c>
    </row>
    <row r="415" spans="1:18" ht="16" x14ac:dyDescent="0.2">
      <c r="A415" s="127" t="s">
        <v>954</v>
      </c>
      <c r="B415" t="s">
        <v>219</v>
      </c>
      <c r="C415" t="s">
        <v>474</v>
      </c>
      <c r="D415" t="s">
        <v>2694</v>
      </c>
      <c r="E415">
        <v>22</v>
      </c>
      <c r="F415">
        <v>22</v>
      </c>
      <c r="G415">
        <v>1</v>
      </c>
      <c r="H415">
        <v>2.70801280154532</v>
      </c>
      <c r="I415">
        <v>0.5</v>
      </c>
      <c r="J415" t="s">
        <v>957</v>
      </c>
      <c r="K415">
        <v>37.5</v>
      </c>
      <c r="L415" t="s">
        <v>977</v>
      </c>
      <c r="M415">
        <v>2.2900763358778602</v>
      </c>
      <c r="N415" t="s">
        <v>978</v>
      </c>
      <c r="O415">
        <v>0</v>
      </c>
      <c r="P415">
        <v>0</v>
      </c>
      <c r="Q415">
        <v>0</v>
      </c>
      <c r="R415">
        <v>0</v>
      </c>
    </row>
    <row r="416" spans="1:18" ht="16" x14ac:dyDescent="0.2">
      <c r="A416" s="127" t="s">
        <v>954</v>
      </c>
      <c r="B416" t="s">
        <v>219</v>
      </c>
      <c r="C416" t="s">
        <v>2162</v>
      </c>
      <c r="D416" t="s">
        <v>2163</v>
      </c>
      <c r="E416" t="s">
        <v>1216</v>
      </c>
      <c r="F416">
        <v>7</v>
      </c>
      <c r="G416">
        <v>2</v>
      </c>
      <c r="H416">
        <v>2.6457513110645898</v>
      </c>
      <c r="I416">
        <v>0.84</v>
      </c>
      <c r="J416" t="s">
        <v>957</v>
      </c>
      <c r="K416">
        <v>37.5</v>
      </c>
      <c r="L416" t="s">
        <v>977</v>
      </c>
      <c r="M416">
        <v>0.76335877862595403</v>
      </c>
      <c r="N416" t="s">
        <v>978</v>
      </c>
      <c r="O416">
        <v>0</v>
      </c>
      <c r="P416">
        <v>0</v>
      </c>
      <c r="Q416">
        <v>0</v>
      </c>
      <c r="R416">
        <v>0</v>
      </c>
    </row>
    <row r="417" spans="1:18" ht="16" x14ac:dyDescent="0.2">
      <c r="A417" s="127" t="s">
        <v>954</v>
      </c>
      <c r="B417" t="s">
        <v>219</v>
      </c>
      <c r="C417" t="s">
        <v>1480</v>
      </c>
      <c r="D417" t="s">
        <v>1481</v>
      </c>
      <c r="E417" t="s">
        <v>1482</v>
      </c>
      <c r="F417">
        <v>16</v>
      </c>
      <c r="G417">
        <v>2</v>
      </c>
      <c r="H417">
        <v>4.1231056256176597</v>
      </c>
      <c r="I417">
        <v>0.97</v>
      </c>
      <c r="J417" t="s">
        <v>957</v>
      </c>
      <c r="K417">
        <v>25</v>
      </c>
      <c r="L417" t="s">
        <v>977</v>
      </c>
      <c r="M417">
        <v>2.2900763358778602</v>
      </c>
      <c r="N417" t="s">
        <v>978</v>
      </c>
      <c r="O417">
        <v>0</v>
      </c>
      <c r="P417">
        <v>0</v>
      </c>
      <c r="Q417">
        <v>0</v>
      </c>
      <c r="R417" t="s">
        <v>5019</v>
      </c>
    </row>
    <row r="418" spans="1:18" ht="16" x14ac:dyDescent="0.2">
      <c r="A418" s="127" t="s">
        <v>954</v>
      </c>
      <c r="B418" t="s">
        <v>219</v>
      </c>
      <c r="C418" t="s">
        <v>3083</v>
      </c>
      <c r="D418" t="s">
        <v>3084</v>
      </c>
      <c r="E418" t="s">
        <v>1488</v>
      </c>
      <c r="F418">
        <v>8</v>
      </c>
      <c r="G418">
        <v>2</v>
      </c>
      <c r="H418">
        <v>3</v>
      </c>
      <c r="I418">
        <v>0.72</v>
      </c>
      <c r="J418" t="s">
        <v>957</v>
      </c>
      <c r="K418">
        <v>50</v>
      </c>
      <c r="L418" t="s">
        <v>977</v>
      </c>
      <c r="M418">
        <v>0.76335877862595403</v>
      </c>
      <c r="N418" t="s">
        <v>978</v>
      </c>
      <c r="O418">
        <v>0</v>
      </c>
      <c r="P418">
        <v>0</v>
      </c>
      <c r="Q418">
        <v>0</v>
      </c>
      <c r="R418">
        <v>0</v>
      </c>
    </row>
    <row r="419" spans="1:18" ht="16" x14ac:dyDescent="0.2">
      <c r="A419" s="127" t="s">
        <v>954</v>
      </c>
      <c r="B419" t="s">
        <v>219</v>
      </c>
      <c r="C419" t="s">
        <v>3324</v>
      </c>
      <c r="D419" t="s">
        <v>3325</v>
      </c>
      <c r="E419" t="s">
        <v>2887</v>
      </c>
      <c r="F419">
        <v>6</v>
      </c>
      <c r="G419">
        <v>2</v>
      </c>
      <c r="H419">
        <v>1.0954451150103299</v>
      </c>
      <c r="I419">
        <v>0.49</v>
      </c>
      <c r="J419" t="s">
        <v>957</v>
      </c>
      <c r="K419">
        <v>31.25</v>
      </c>
      <c r="L419" t="s">
        <v>977</v>
      </c>
      <c r="M419">
        <v>0.76335877862595403</v>
      </c>
      <c r="N419" t="s">
        <v>978</v>
      </c>
      <c r="O419">
        <v>0</v>
      </c>
      <c r="P419">
        <v>0</v>
      </c>
      <c r="Q419">
        <v>0</v>
      </c>
      <c r="R419">
        <v>0</v>
      </c>
    </row>
    <row r="420" spans="1:18" ht="16" x14ac:dyDescent="0.2">
      <c r="A420" s="127" t="s">
        <v>954</v>
      </c>
      <c r="B420" t="s">
        <v>219</v>
      </c>
      <c r="C420" t="s">
        <v>974</v>
      </c>
      <c r="D420" t="s">
        <v>975</v>
      </c>
      <c r="E420" t="s">
        <v>976</v>
      </c>
      <c r="F420">
        <v>17</v>
      </c>
      <c r="G420">
        <v>2</v>
      </c>
      <c r="H420">
        <v>4.1231056256176597</v>
      </c>
      <c r="I420">
        <v>1</v>
      </c>
      <c r="J420" t="s">
        <v>957</v>
      </c>
      <c r="K420">
        <v>50</v>
      </c>
      <c r="L420" t="s">
        <v>977</v>
      </c>
      <c r="M420">
        <v>0.76335877862595403</v>
      </c>
      <c r="N420" t="s">
        <v>978</v>
      </c>
      <c r="O420">
        <v>0</v>
      </c>
      <c r="P420">
        <v>0</v>
      </c>
      <c r="Q420">
        <v>0</v>
      </c>
      <c r="R420">
        <v>0</v>
      </c>
    </row>
    <row r="421" spans="1:18" ht="16" x14ac:dyDescent="0.2">
      <c r="A421" s="127" t="s">
        <v>954</v>
      </c>
      <c r="B421" t="s">
        <v>219</v>
      </c>
      <c r="C421" t="s">
        <v>1110</v>
      </c>
      <c r="D421" t="s">
        <v>1111</v>
      </c>
      <c r="E421" t="s">
        <v>1112</v>
      </c>
      <c r="F421">
        <v>22</v>
      </c>
      <c r="G421">
        <v>3</v>
      </c>
      <c r="H421">
        <v>4.8989794855663602</v>
      </c>
      <c r="I421">
        <v>0.97</v>
      </c>
      <c r="J421" t="s">
        <v>957</v>
      </c>
      <c r="K421">
        <v>43.75</v>
      </c>
      <c r="L421" t="s">
        <v>977</v>
      </c>
      <c r="M421">
        <v>1.5267175572519101</v>
      </c>
      <c r="N421" t="s">
        <v>978</v>
      </c>
      <c r="O421">
        <v>0</v>
      </c>
      <c r="P421">
        <v>0</v>
      </c>
      <c r="Q421">
        <v>0</v>
      </c>
      <c r="R421">
        <v>0</v>
      </c>
    </row>
    <row r="422" spans="1:18" ht="16" x14ac:dyDescent="0.2">
      <c r="A422" s="127" t="s">
        <v>954</v>
      </c>
      <c r="B422" t="s">
        <v>219</v>
      </c>
      <c r="C422" t="s">
        <v>2407</v>
      </c>
      <c r="D422" t="s">
        <v>2914</v>
      </c>
      <c r="E422" t="s">
        <v>2915</v>
      </c>
      <c r="F422">
        <v>13</v>
      </c>
      <c r="G422">
        <v>2</v>
      </c>
      <c r="H422">
        <v>3.74165738677394</v>
      </c>
      <c r="I422">
        <v>1</v>
      </c>
      <c r="J422" t="s">
        <v>957</v>
      </c>
      <c r="K422">
        <v>12.5</v>
      </c>
      <c r="L422" t="s">
        <v>977</v>
      </c>
      <c r="M422">
        <v>3.8167938931297698</v>
      </c>
      <c r="N422" t="s">
        <v>2505</v>
      </c>
      <c r="O422">
        <v>0</v>
      </c>
      <c r="P422">
        <v>0</v>
      </c>
      <c r="Q422">
        <v>0</v>
      </c>
      <c r="R422">
        <v>0</v>
      </c>
    </row>
    <row r="423" spans="1:18" ht="16" x14ac:dyDescent="0.2">
      <c r="A423" s="127" t="s">
        <v>954</v>
      </c>
      <c r="B423" t="s">
        <v>219</v>
      </c>
      <c r="C423" t="s">
        <v>2114</v>
      </c>
      <c r="D423" t="s">
        <v>2115</v>
      </c>
      <c r="E423">
        <v>11</v>
      </c>
      <c r="F423">
        <v>11</v>
      </c>
      <c r="G423">
        <v>1</v>
      </c>
      <c r="H423">
        <v>3.3166247903553998</v>
      </c>
      <c r="I423">
        <v>0.79</v>
      </c>
      <c r="J423" t="s">
        <v>957</v>
      </c>
      <c r="K423">
        <v>37.5</v>
      </c>
      <c r="L423" t="s">
        <v>977</v>
      </c>
      <c r="M423">
        <v>0.76335877862595403</v>
      </c>
      <c r="N423" t="s">
        <v>978</v>
      </c>
      <c r="O423">
        <v>0</v>
      </c>
      <c r="P423">
        <v>0</v>
      </c>
      <c r="Q423">
        <v>0</v>
      </c>
      <c r="R423">
        <v>0</v>
      </c>
    </row>
    <row r="424" spans="1:18" ht="16" x14ac:dyDescent="0.2">
      <c r="A424" s="127" t="s">
        <v>954</v>
      </c>
      <c r="B424" t="s">
        <v>223</v>
      </c>
      <c r="C424" t="s">
        <v>219</v>
      </c>
      <c r="D424" t="s">
        <v>1979</v>
      </c>
      <c r="E424" t="s">
        <v>1425</v>
      </c>
      <c r="F424">
        <v>8</v>
      </c>
      <c r="G424">
        <v>2</v>
      </c>
      <c r="H424">
        <v>6.9282032302755097</v>
      </c>
      <c r="I424">
        <v>0.33</v>
      </c>
      <c r="J424" t="s">
        <v>957</v>
      </c>
      <c r="K424">
        <v>43.75</v>
      </c>
      <c r="L424" t="s">
        <v>977</v>
      </c>
      <c r="M424">
        <v>2.2900763358778602</v>
      </c>
      <c r="N424" t="s">
        <v>978</v>
      </c>
      <c r="O424" t="s">
        <v>5017</v>
      </c>
      <c r="P424">
        <v>0</v>
      </c>
      <c r="Q424">
        <v>0</v>
      </c>
      <c r="R424">
        <v>0</v>
      </c>
    </row>
    <row r="425" spans="1:18" ht="16" x14ac:dyDescent="0.2">
      <c r="A425" s="127" t="s">
        <v>954</v>
      </c>
      <c r="B425" t="s">
        <v>223</v>
      </c>
      <c r="C425" t="s">
        <v>1754</v>
      </c>
      <c r="D425" t="s">
        <v>1755</v>
      </c>
      <c r="E425" t="s">
        <v>985</v>
      </c>
      <c r="F425">
        <v>7</v>
      </c>
      <c r="G425">
        <v>2</v>
      </c>
      <c r="H425">
        <v>5.8813083498683696</v>
      </c>
      <c r="I425" t="s">
        <v>957</v>
      </c>
      <c r="J425" t="s">
        <v>2970</v>
      </c>
      <c r="K425">
        <v>2.1428571428571401E-2</v>
      </c>
      <c r="L425" t="s">
        <v>959</v>
      </c>
      <c r="M425">
        <v>2.2900763358778602</v>
      </c>
      <c r="N425" t="s">
        <v>960</v>
      </c>
      <c r="O425" t="s">
        <v>5017</v>
      </c>
      <c r="P425">
        <v>0</v>
      </c>
      <c r="Q425">
        <v>0</v>
      </c>
      <c r="R425" t="s">
        <v>5019</v>
      </c>
    </row>
    <row r="426" spans="1:18" ht="16" x14ac:dyDescent="0.2">
      <c r="A426" s="127" t="s">
        <v>954</v>
      </c>
      <c r="B426" t="s">
        <v>223</v>
      </c>
      <c r="C426" t="s">
        <v>474</v>
      </c>
      <c r="D426" t="s">
        <v>2694</v>
      </c>
      <c r="E426">
        <v>112</v>
      </c>
      <c r="F426">
        <v>112</v>
      </c>
      <c r="G426">
        <v>1</v>
      </c>
      <c r="H426">
        <v>6.1373175465073198</v>
      </c>
      <c r="I426">
        <v>0.33</v>
      </c>
      <c r="J426" t="s">
        <v>957</v>
      </c>
      <c r="K426">
        <v>37.5</v>
      </c>
      <c r="L426" t="s">
        <v>977</v>
      </c>
      <c r="M426">
        <v>2.2900763358778602</v>
      </c>
      <c r="N426" t="s">
        <v>978</v>
      </c>
      <c r="O426" t="s">
        <v>5017</v>
      </c>
      <c r="P426">
        <v>0</v>
      </c>
      <c r="Q426">
        <v>0</v>
      </c>
      <c r="R426">
        <v>0</v>
      </c>
    </row>
    <row r="427" spans="1:18" ht="16" x14ac:dyDescent="0.2">
      <c r="A427" s="127" t="s">
        <v>954</v>
      </c>
      <c r="B427" t="s">
        <v>227</v>
      </c>
      <c r="C427" t="s">
        <v>1214</v>
      </c>
      <c r="D427" t="s">
        <v>1215</v>
      </c>
      <c r="E427" t="s">
        <v>1216</v>
      </c>
      <c r="F427">
        <v>7</v>
      </c>
      <c r="G427">
        <v>2</v>
      </c>
      <c r="H427">
        <v>6.5608786482989903</v>
      </c>
      <c r="I427" t="s">
        <v>957</v>
      </c>
      <c r="J427" t="s">
        <v>1217</v>
      </c>
      <c r="K427">
        <v>7.8571428571428598E-2</v>
      </c>
      <c r="L427" t="s">
        <v>959</v>
      </c>
      <c r="M427">
        <v>2.2900763358778602</v>
      </c>
      <c r="N427" t="s">
        <v>960</v>
      </c>
      <c r="O427">
        <v>0</v>
      </c>
      <c r="P427">
        <v>0</v>
      </c>
      <c r="Q427">
        <v>0</v>
      </c>
      <c r="R427">
        <v>0</v>
      </c>
    </row>
    <row r="428" spans="1:18" ht="16" x14ac:dyDescent="0.2">
      <c r="A428" s="127" t="s">
        <v>954</v>
      </c>
      <c r="B428" t="s">
        <v>227</v>
      </c>
      <c r="C428" t="s">
        <v>2705</v>
      </c>
      <c r="D428" t="s">
        <v>2706</v>
      </c>
      <c r="E428" t="s">
        <v>3490</v>
      </c>
      <c r="F428">
        <v>20</v>
      </c>
      <c r="G428">
        <v>2</v>
      </c>
      <c r="H428">
        <v>11.2036181617589</v>
      </c>
      <c r="I428" t="s">
        <v>957</v>
      </c>
      <c r="J428" t="s">
        <v>3491</v>
      </c>
      <c r="K428">
        <v>0.05</v>
      </c>
      <c r="L428" t="s">
        <v>959</v>
      </c>
      <c r="M428">
        <v>1.5267175572519101</v>
      </c>
      <c r="N428" t="s">
        <v>960</v>
      </c>
      <c r="O428">
        <v>0</v>
      </c>
      <c r="P428" t="s">
        <v>5018</v>
      </c>
      <c r="Q428">
        <v>0</v>
      </c>
      <c r="R428" t="s">
        <v>5019</v>
      </c>
    </row>
    <row r="429" spans="1:18" ht="16" x14ac:dyDescent="0.2">
      <c r="A429" s="127" t="s">
        <v>954</v>
      </c>
      <c r="B429" t="s">
        <v>227</v>
      </c>
      <c r="C429" t="s">
        <v>1721</v>
      </c>
      <c r="D429" t="s">
        <v>1722</v>
      </c>
      <c r="E429" t="s">
        <v>1052</v>
      </c>
      <c r="F429">
        <v>2</v>
      </c>
      <c r="G429">
        <v>2</v>
      </c>
      <c r="H429">
        <v>5.1172774497196496</v>
      </c>
      <c r="I429" t="s">
        <v>957</v>
      </c>
      <c r="J429" t="s">
        <v>1723</v>
      </c>
      <c r="K429">
        <v>7.1428571428571397E-2</v>
      </c>
      <c r="L429" t="s">
        <v>959</v>
      </c>
      <c r="M429">
        <v>1.5267175572519101</v>
      </c>
      <c r="N429" t="s">
        <v>960</v>
      </c>
      <c r="O429">
        <v>0</v>
      </c>
      <c r="P429">
        <v>0</v>
      </c>
      <c r="Q429">
        <v>0</v>
      </c>
      <c r="R429">
        <v>0</v>
      </c>
    </row>
    <row r="430" spans="1:18" ht="16" x14ac:dyDescent="0.2">
      <c r="A430" s="127" t="s">
        <v>954</v>
      </c>
      <c r="B430" t="s">
        <v>227</v>
      </c>
      <c r="C430" t="s">
        <v>1371</v>
      </c>
      <c r="D430" t="s">
        <v>1372</v>
      </c>
      <c r="E430" t="s">
        <v>3339</v>
      </c>
      <c r="F430">
        <v>13</v>
      </c>
      <c r="G430">
        <v>2</v>
      </c>
      <c r="H430">
        <v>10.0787086317685</v>
      </c>
      <c r="I430" t="s">
        <v>957</v>
      </c>
      <c r="J430" t="s">
        <v>3340</v>
      </c>
      <c r="K430">
        <v>3.5714285714285698E-2</v>
      </c>
      <c r="L430" t="s">
        <v>959</v>
      </c>
      <c r="M430">
        <v>1.5267175572519101</v>
      </c>
      <c r="N430" t="s">
        <v>960</v>
      </c>
      <c r="O430">
        <v>0</v>
      </c>
      <c r="P430" t="s">
        <v>5018</v>
      </c>
      <c r="Q430">
        <v>0</v>
      </c>
      <c r="R430" t="s">
        <v>5019</v>
      </c>
    </row>
    <row r="431" spans="1:18" ht="16" x14ac:dyDescent="0.2">
      <c r="A431" s="127" t="s">
        <v>954</v>
      </c>
      <c r="B431" t="s">
        <v>227</v>
      </c>
      <c r="C431" t="s">
        <v>1561</v>
      </c>
      <c r="D431" t="s">
        <v>1562</v>
      </c>
      <c r="E431">
        <v>8</v>
      </c>
      <c r="F431">
        <v>8</v>
      </c>
      <c r="G431">
        <v>1</v>
      </c>
      <c r="H431">
        <v>4.08370836396114</v>
      </c>
      <c r="I431" t="s">
        <v>957</v>
      </c>
      <c r="J431" t="s">
        <v>1563</v>
      </c>
      <c r="K431">
        <v>0.11764705882352899</v>
      </c>
      <c r="L431" t="s">
        <v>1099</v>
      </c>
      <c r="M431">
        <v>3.0534351145038201</v>
      </c>
      <c r="N431" t="s">
        <v>973</v>
      </c>
      <c r="O431">
        <v>0</v>
      </c>
      <c r="P431">
        <v>0</v>
      </c>
      <c r="Q431">
        <v>0</v>
      </c>
      <c r="R431">
        <v>0</v>
      </c>
    </row>
    <row r="432" spans="1:18" ht="16" x14ac:dyDescent="0.2">
      <c r="A432" s="127" t="s">
        <v>954</v>
      </c>
      <c r="B432" t="s">
        <v>227</v>
      </c>
      <c r="C432" t="s">
        <v>1394</v>
      </c>
      <c r="D432" t="s">
        <v>1395</v>
      </c>
      <c r="E432">
        <v>3</v>
      </c>
      <c r="F432">
        <v>3</v>
      </c>
      <c r="G432">
        <v>1</v>
      </c>
      <c r="H432">
        <v>5.5460547499238899</v>
      </c>
      <c r="I432" t="s">
        <v>957</v>
      </c>
      <c r="J432" t="s">
        <v>1396</v>
      </c>
      <c r="K432">
        <v>8.5714285714285701E-2</v>
      </c>
      <c r="L432" t="s">
        <v>959</v>
      </c>
      <c r="M432">
        <v>1.5267175572519101</v>
      </c>
      <c r="N432" t="s">
        <v>960</v>
      </c>
      <c r="O432">
        <v>0</v>
      </c>
      <c r="P432">
        <v>0</v>
      </c>
      <c r="Q432">
        <v>0</v>
      </c>
      <c r="R432">
        <v>0</v>
      </c>
    </row>
    <row r="433" spans="1:18" ht="16" x14ac:dyDescent="0.2">
      <c r="A433" s="127" t="s">
        <v>954</v>
      </c>
      <c r="B433" t="s">
        <v>227</v>
      </c>
      <c r="C433" t="s">
        <v>1914</v>
      </c>
      <c r="D433" t="s">
        <v>3348</v>
      </c>
      <c r="E433" t="s">
        <v>1457</v>
      </c>
      <c r="F433">
        <v>9</v>
      </c>
      <c r="G433">
        <v>2</v>
      </c>
      <c r="H433">
        <v>11.234922377142301</v>
      </c>
      <c r="I433" t="s">
        <v>957</v>
      </c>
      <c r="J433" t="s">
        <v>3349</v>
      </c>
      <c r="K433">
        <v>2.8571428571428598E-2</v>
      </c>
      <c r="L433" t="s">
        <v>959</v>
      </c>
      <c r="M433">
        <v>1.5267175572519101</v>
      </c>
      <c r="N433" t="s">
        <v>960</v>
      </c>
      <c r="O433">
        <v>0</v>
      </c>
      <c r="P433" t="s">
        <v>5018</v>
      </c>
      <c r="Q433">
        <v>0</v>
      </c>
      <c r="R433" t="s">
        <v>5019</v>
      </c>
    </row>
    <row r="434" spans="1:18" ht="16" x14ac:dyDescent="0.2">
      <c r="A434" s="127" t="s">
        <v>954</v>
      </c>
      <c r="B434" t="s">
        <v>227</v>
      </c>
      <c r="C434" t="s">
        <v>1741</v>
      </c>
      <c r="D434" t="s">
        <v>1742</v>
      </c>
      <c r="E434" t="s">
        <v>1022</v>
      </c>
      <c r="F434">
        <v>3</v>
      </c>
      <c r="G434">
        <v>2</v>
      </c>
      <c r="H434">
        <v>11.8321595661992</v>
      </c>
      <c r="I434" t="s">
        <v>957</v>
      </c>
      <c r="J434" t="s">
        <v>1743</v>
      </c>
      <c r="K434">
        <v>7.14285714285714E-3</v>
      </c>
      <c r="L434" t="s">
        <v>959</v>
      </c>
      <c r="M434">
        <v>1.5267175572519101</v>
      </c>
      <c r="N434" t="s">
        <v>960</v>
      </c>
      <c r="O434">
        <v>0</v>
      </c>
      <c r="P434">
        <v>0</v>
      </c>
      <c r="Q434">
        <v>0</v>
      </c>
      <c r="R434">
        <v>0</v>
      </c>
    </row>
    <row r="435" spans="1:18" ht="16" x14ac:dyDescent="0.2">
      <c r="A435" s="127" t="s">
        <v>954</v>
      </c>
      <c r="B435" t="s">
        <v>231</v>
      </c>
      <c r="C435" t="s">
        <v>979</v>
      </c>
      <c r="D435" t="s">
        <v>980</v>
      </c>
      <c r="E435">
        <v>3</v>
      </c>
      <c r="F435">
        <v>3</v>
      </c>
      <c r="G435">
        <v>1</v>
      </c>
      <c r="H435">
        <v>5.0367309321099398</v>
      </c>
      <c r="I435" t="s">
        <v>957</v>
      </c>
      <c r="J435" t="s">
        <v>981</v>
      </c>
      <c r="K435">
        <v>9.2857142857142902E-2</v>
      </c>
      <c r="L435" t="s">
        <v>959</v>
      </c>
      <c r="M435">
        <v>2.2900763358778602</v>
      </c>
      <c r="N435" t="s">
        <v>960</v>
      </c>
      <c r="O435">
        <v>0</v>
      </c>
      <c r="P435">
        <v>0</v>
      </c>
      <c r="Q435">
        <v>0</v>
      </c>
      <c r="R435">
        <v>0</v>
      </c>
    </row>
    <row r="436" spans="1:18" ht="16" x14ac:dyDescent="0.2">
      <c r="A436" s="127" t="s">
        <v>954</v>
      </c>
      <c r="B436" t="s">
        <v>231</v>
      </c>
      <c r="C436" t="s">
        <v>1376</v>
      </c>
      <c r="D436" t="s">
        <v>1377</v>
      </c>
      <c r="E436" t="s">
        <v>1168</v>
      </c>
      <c r="F436">
        <v>11</v>
      </c>
      <c r="G436">
        <v>2</v>
      </c>
      <c r="H436">
        <v>4.9896830234879301</v>
      </c>
      <c r="I436" t="s">
        <v>957</v>
      </c>
      <c r="J436" t="s">
        <v>1787</v>
      </c>
      <c r="K436">
        <v>0.17142857142857101</v>
      </c>
      <c r="L436" t="s">
        <v>959</v>
      </c>
      <c r="M436">
        <v>2.2900763358778602</v>
      </c>
      <c r="N436" t="s">
        <v>960</v>
      </c>
      <c r="O436">
        <v>0</v>
      </c>
      <c r="P436">
        <v>0</v>
      </c>
      <c r="Q436">
        <v>0</v>
      </c>
      <c r="R436">
        <v>0</v>
      </c>
    </row>
    <row r="437" spans="1:18" ht="16" x14ac:dyDescent="0.2">
      <c r="A437" s="127" t="s">
        <v>954</v>
      </c>
      <c r="B437" t="s">
        <v>231</v>
      </c>
      <c r="C437" t="s">
        <v>1251</v>
      </c>
      <c r="D437" t="s">
        <v>1252</v>
      </c>
      <c r="E437" t="s">
        <v>1074</v>
      </c>
      <c r="F437">
        <v>6</v>
      </c>
      <c r="G437">
        <v>2</v>
      </c>
      <c r="H437">
        <v>4.9984797217282599</v>
      </c>
      <c r="I437" t="s">
        <v>957</v>
      </c>
      <c r="J437" t="s">
        <v>1253</v>
      </c>
      <c r="K437">
        <v>0.13571428571428601</v>
      </c>
      <c r="L437" t="s">
        <v>959</v>
      </c>
      <c r="M437">
        <v>1.5267175572519101</v>
      </c>
      <c r="N437" t="s">
        <v>960</v>
      </c>
      <c r="O437">
        <v>0</v>
      </c>
      <c r="P437">
        <v>0</v>
      </c>
      <c r="Q437">
        <v>0</v>
      </c>
      <c r="R437">
        <v>0</v>
      </c>
    </row>
    <row r="438" spans="1:18" ht="16" x14ac:dyDescent="0.2">
      <c r="A438" s="127" t="s">
        <v>954</v>
      </c>
      <c r="B438" t="s">
        <v>231</v>
      </c>
      <c r="C438" t="s">
        <v>2387</v>
      </c>
      <c r="D438" t="s">
        <v>2388</v>
      </c>
      <c r="E438" t="s">
        <v>1334</v>
      </c>
      <c r="F438">
        <v>10</v>
      </c>
      <c r="G438">
        <v>2</v>
      </c>
      <c r="H438">
        <v>4.92178002099479</v>
      </c>
      <c r="I438" t="s">
        <v>957</v>
      </c>
      <c r="J438" t="s">
        <v>2389</v>
      </c>
      <c r="K438">
        <v>2.1428571428571401E-2</v>
      </c>
      <c r="L438" t="s">
        <v>959</v>
      </c>
      <c r="M438">
        <v>2.2900763358778602</v>
      </c>
      <c r="N438" t="s">
        <v>960</v>
      </c>
      <c r="O438">
        <v>0</v>
      </c>
      <c r="P438">
        <v>0</v>
      </c>
      <c r="Q438">
        <v>0</v>
      </c>
      <c r="R438">
        <v>0</v>
      </c>
    </row>
    <row r="439" spans="1:18" ht="16" x14ac:dyDescent="0.2">
      <c r="A439" s="127" t="s">
        <v>954</v>
      </c>
      <c r="B439" t="s">
        <v>231</v>
      </c>
      <c r="C439" t="s">
        <v>2717</v>
      </c>
      <c r="D439" t="s">
        <v>2718</v>
      </c>
      <c r="E439">
        <v>3</v>
      </c>
      <c r="F439">
        <v>3</v>
      </c>
      <c r="G439">
        <v>1</v>
      </c>
      <c r="H439">
        <v>5.7287255052147898</v>
      </c>
      <c r="I439" t="s">
        <v>957</v>
      </c>
      <c r="J439" t="s">
        <v>2719</v>
      </c>
      <c r="K439">
        <v>2.1428571428571401E-2</v>
      </c>
      <c r="L439" t="s">
        <v>959</v>
      </c>
      <c r="M439">
        <v>1.5267175572519101</v>
      </c>
      <c r="N439" t="s">
        <v>960</v>
      </c>
      <c r="O439">
        <v>0</v>
      </c>
      <c r="P439">
        <v>0</v>
      </c>
      <c r="Q439">
        <v>0</v>
      </c>
      <c r="R439" t="s">
        <v>5019</v>
      </c>
    </row>
    <row r="440" spans="1:18" ht="16" x14ac:dyDescent="0.2">
      <c r="A440" s="127" t="s">
        <v>954</v>
      </c>
      <c r="B440" t="s">
        <v>231</v>
      </c>
      <c r="C440" t="s">
        <v>1699</v>
      </c>
      <c r="D440" t="s">
        <v>1700</v>
      </c>
      <c r="E440">
        <v>3</v>
      </c>
      <c r="F440">
        <v>3</v>
      </c>
      <c r="G440">
        <v>1</v>
      </c>
      <c r="H440">
        <v>10.749218810859199</v>
      </c>
      <c r="I440" t="s">
        <v>957</v>
      </c>
      <c r="J440" t="s">
        <v>1701</v>
      </c>
      <c r="K440">
        <v>2.1428571428571401E-2</v>
      </c>
      <c r="L440" t="s">
        <v>959</v>
      </c>
      <c r="M440">
        <v>0.76335877862595403</v>
      </c>
      <c r="N440" t="s">
        <v>960</v>
      </c>
      <c r="O440">
        <v>0</v>
      </c>
      <c r="P440">
        <v>0</v>
      </c>
      <c r="Q440">
        <v>0</v>
      </c>
      <c r="R440">
        <v>0</v>
      </c>
    </row>
    <row r="441" spans="1:18" ht="16" x14ac:dyDescent="0.2">
      <c r="A441" s="127" t="s">
        <v>954</v>
      </c>
      <c r="B441" t="s">
        <v>231</v>
      </c>
      <c r="C441" t="s">
        <v>1041</v>
      </c>
      <c r="E441" t="s">
        <v>1042</v>
      </c>
      <c r="F441">
        <v>8</v>
      </c>
      <c r="G441">
        <v>4</v>
      </c>
      <c r="H441">
        <v>5.4396895923619502</v>
      </c>
      <c r="I441" t="s">
        <v>957</v>
      </c>
      <c r="J441" t="s">
        <v>1043</v>
      </c>
      <c r="K441">
        <v>0.17142857142857101</v>
      </c>
      <c r="L441" t="s">
        <v>959</v>
      </c>
      <c r="M441">
        <v>2.2900763358778602</v>
      </c>
      <c r="N441" t="s">
        <v>960</v>
      </c>
      <c r="O441">
        <v>0</v>
      </c>
      <c r="P441">
        <v>0</v>
      </c>
      <c r="Q441">
        <v>0</v>
      </c>
      <c r="R441">
        <v>0</v>
      </c>
    </row>
    <row r="442" spans="1:18" ht="16" x14ac:dyDescent="0.2">
      <c r="A442" s="127" t="s">
        <v>954</v>
      </c>
      <c r="B442" t="s">
        <v>231</v>
      </c>
      <c r="C442" t="s">
        <v>1708</v>
      </c>
      <c r="D442" t="s">
        <v>1709</v>
      </c>
      <c r="E442" t="s">
        <v>3632</v>
      </c>
      <c r="F442">
        <v>28</v>
      </c>
      <c r="G442">
        <v>5</v>
      </c>
      <c r="H442">
        <v>10.1886256236414</v>
      </c>
      <c r="I442" t="s">
        <v>957</v>
      </c>
      <c r="J442" t="s">
        <v>3633</v>
      </c>
      <c r="K442">
        <v>2.1428571428571401E-2</v>
      </c>
      <c r="L442" t="s">
        <v>959</v>
      </c>
      <c r="M442">
        <v>1.5267175572519101</v>
      </c>
      <c r="N442" t="s">
        <v>960</v>
      </c>
      <c r="O442">
        <v>0</v>
      </c>
      <c r="P442">
        <v>0</v>
      </c>
      <c r="Q442">
        <v>0</v>
      </c>
      <c r="R442">
        <v>0</v>
      </c>
    </row>
    <row r="443" spans="1:18" ht="16" x14ac:dyDescent="0.2">
      <c r="A443" s="127" t="s">
        <v>954</v>
      </c>
      <c r="B443" t="s">
        <v>231</v>
      </c>
      <c r="C443" t="s">
        <v>1244</v>
      </c>
      <c r="D443" t="s">
        <v>1245</v>
      </c>
      <c r="E443">
        <v>4</v>
      </c>
      <c r="F443">
        <v>4</v>
      </c>
      <c r="G443">
        <v>1</v>
      </c>
      <c r="H443">
        <v>4.5687417272642499</v>
      </c>
      <c r="I443" t="s">
        <v>957</v>
      </c>
      <c r="J443" t="s">
        <v>1892</v>
      </c>
      <c r="K443">
        <v>0.121428571428571</v>
      </c>
      <c r="L443" t="s">
        <v>959</v>
      </c>
      <c r="M443">
        <v>2.2900763358778602</v>
      </c>
      <c r="N443" t="s">
        <v>960</v>
      </c>
      <c r="O443">
        <v>0</v>
      </c>
      <c r="P443">
        <v>0</v>
      </c>
      <c r="Q443">
        <v>0</v>
      </c>
      <c r="R443">
        <v>0</v>
      </c>
    </row>
    <row r="444" spans="1:18" ht="16" x14ac:dyDescent="0.2">
      <c r="A444" s="127" t="s">
        <v>954</v>
      </c>
      <c r="B444" t="s">
        <v>231</v>
      </c>
      <c r="C444" t="s">
        <v>1380</v>
      </c>
      <c r="D444" t="s">
        <v>1381</v>
      </c>
      <c r="E444" t="s">
        <v>1688</v>
      </c>
      <c r="F444">
        <v>9</v>
      </c>
      <c r="G444">
        <v>2</v>
      </c>
      <c r="H444">
        <v>7.0139709083307702</v>
      </c>
      <c r="I444" t="s">
        <v>957</v>
      </c>
      <c r="J444" t="s">
        <v>2950</v>
      </c>
      <c r="K444">
        <v>2.8571428571428598E-2</v>
      </c>
      <c r="L444" t="s">
        <v>959</v>
      </c>
      <c r="M444">
        <v>2.2900763358778602</v>
      </c>
      <c r="N444" t="s">
        <v>960</v>
      </c>
      <c r="O444">
        <v>0</v>
      </c>
      <c r="P444">
        <v>0</v>
      </c>
      <c r="Q444">
        <v>0</v>
      </c>
      <c r="R444" t="s">
        <v>5019</v>
      </c>
    </row>
    <row r="445" spans="1:18" ht="16" x14ac:dyDescent="0.2">
      <c r="A445" s="127" t="s">
        <v>954</v>
      </c>
      <c r="B445" t="s">
        <v>231</v>
      </c>
      <c r="C445" t="s">
        <v>2814</v>
      </c>
      <c r="D445" t="s">
        <v>2815</v>
      </c>
      <c r="E445">
        <v>9</v>
      </c>
      <c r="F445">
        <v>9</v>
      </c>
      <c r="G445">
        <v>1</v>
      </c>
      <c r="H445">
        <v>6.9955480594469703</v>
      </c>
      <c r="I445" t="s">
        <v>957</v>
      </c>
      <c r="J445" t="s">
        <v>2881</v>
      </c>
      <c r="K445">
        <v>0.15</v>
      </c>
      <c r="L445" t="s">
        <v>959</v>
      </c>
      <c r="M445">
        <v>1.5267175572519101</v>
      </c>
      <c r="N445" t="s">
        <v>960</v>
      </c>
      <c r="O445">
        <v>0</v>
      </c>
      <c r="P445">
        <v>0</v>
      </c>
      <c r="Q445">
        <v>0</v>
      </c>
      <c r="R445">
        <v>0</v>
      </c>
    </row>
    <row r="446" spans="1:18" ht="16" x14ac:dyDescent="0.2">
      <c r="A446" s="127" t="s">
        <v>954</v>
      </c>
      <c r="B446" t="s">
        <v>235</v>
      </c>
      <c r="C446" t="s">
        <v>1324</v>
      </c>
      <c r="E446" t="s">
        <v>1951</v>
      </c>
      <c r="F446">
        <v>7</v>
      </c>
      <c r="G446">
        <v>3</v>
      </c>
      <c r="H446">
        <v>5.0211471828066996</v>
      </c>
      <c r="I446" t="s">
        <v>957</v>
      </c>
      <c r="J446" t="s">
        <v>1952</v>
      </c>
      <c r="K446">
        <v>0.121428571428571</v>
      </c>
      <c r="L446" t="s">
        <v>959</v>
      </c>
      <c r="M446">
        <v>2.2900763358778602</v>
      </c>
      <c r="N446" t="s">
        <v>960</v>
      </c>
      <c r="O446">
        <v>0</v>
      </c>
      <c r="P446">
        <v>0</v>
      </c>
      <c r="Q446">
        <v>0</v>
      </c>
      <c r="R446" t="s">
        <v>5019</v>
      </c>
    </row>
    <row r="447" spans="1:18" ht="16" x14ac:dyDescent="0.2">
      <c r="A447" s="127" t="s">
        <v>954</v>
      </c>
      <c r="B447" t="s">
        <v>235</v>
      </c>
      <c r="C447" t="s">
        <v>3383</v>
      </c>
      <c r="D447" t="s">
        <v>3384</v>
      </c>
      <c r="E447" t="s">
        <v>1692</v>
      </c>
      <c r="F447">
        <v>5</v>
      </c>
      <c r="G447">
        <v>2</v>
      </c>
      <c r="H447">
        <v>11.8321595661992</v>
      </c>
      <c r="I447" t="s">
        <v>957</v>
      </c>
      <c r="J447" t="s">
        <v>3385</v>
      </c>
      <c r="K447">
        <v>7.14285714285714E-3</v>
      </c>
      <c r="L447" t="s">
        <v>959</v>
      </c>
      <c r="M447">
        <v>0.76335877862595403</v>
      </c>
      <c r="N447" t="s">
        <v>960</v>
      </c>
      <c r="O447">
        <v>0</v>
      </c>
      <c r="P447">
        <v>0</v>
      </c>
      <c r="Q447">
        <v>0</v>
      </c>
      <c r="R447">
        <v>0</v>
      </c>
    </row>
    <row r="448" spans="1:18" ht="16" x14ac:dyDescent="0.2">
      <c r="A448" s="127" t="s">
        <v>954</v>
      </c>
      <c r="B448" t="s">
        <v>235</v>
      </c>
      <c r="C448" t="s">
        <v>2699</v>
      </c>
      <c r="D448" t="s">
        <v>2700</v>
      </c>
      <c r="E448" t="s">
        <v>1917</v>
      </c>
      <c r="F448">
        <v>5</v>
      </c>
      <c r="G448">
        <v>3</v>
      </c>
      <c r="H448">
        <v>5.6722665941802202</v>
      </c>
      <c r="I448" t="s">
        <v>957</v>
      </c>
      <c r="J448" t="s">
        <v>2701</v>
      </c>
      <c r="K448">
        <v>0.157142857142857</v>
      </c>
      <c r="L448" t="s">
        <v>959</v>
      </c>
      <c r="M448">
        <v>0.76335877862595403</v>
      </c>
      <c r="N448" t="s">
        <v>960</v>
      </c>
      <c r="O448">
        <v>0</v>
      </c>
      <c r="P448">
        <v>0</v>
      </c>
      <c r="Q448">
        <v>0</v>
      </c>
      <c r="R448">
        <v>0</v>
      </c>
    </row>
    <row r="449" spans="1:18" ht="16" x14ac:dyDescent="0.2">
      <c r="A449" s="127" t="s">
        <v>954</v>
      </c>
      <c r="B449" t="s">
        <v>235</v>
      </c>
      <c r="C449" t="s">
        <v>1398</v>
      </c>
      <c r="D449" t="s">
        <v>1399</v>
      </c>
      <c r="E449" t="s">
        <v>1400</v>
      </c>
      <c r="F449">
        <v>4</v>
      </c>
      <c r="G449">
        <v>4</v>
      </c>
      <c r="H449">
        <v>5.8205521836183296</v>
      </c>
      <c r="I449" t="s">
        <v>957</v>
      </c>
      <c r="J449" t="s">
        <v>1401</v>
      </c>
      <c r="K449">
        <v>0.17857142857142899</v>
      </c>
      <c r="L449" t="s">
        <v>959</v>
      </c>
      <c r="M449">
        <v>1.5267175572519101</v>
      </c>
      <c r="N449" t="s">
        <v>960</v>
      </c>
      <c r="O449">
        <v>0</v>
      </c>
      <c r="P449">
        <v>0</v>
      </c>
      <c r="Q449">
        <v>0</v>
      </c>
      <c r="R449">
        <v>0</v>
      </c>
    </row>
    <row r="450" spans="1:18" ht="16" x14ac:dyDescent="0.2">
      <c r="A450" s="127" t="s">
        <v>954</v>
      </c>
      <c r="B450" t="s">
        <v>235</v>
      </c>
      <c r="C450" t="s">
        <v>2407</v>
      </c>
      <c r="D450" t="s">
        <v>2408</v>
      </c>
      <c r="E450">
        <v>4</v>
      </c>
      <c r="F450">
        <v>4</v>
      </c>
      <c r="G450">
        <v>1</v>
      </c>
      <c r="H450">
        <v>4.67235991821659</v>
      </c>
      <c r="I450" t="s">
        <v>957</v>
      </c>
      <c r="J450" t="s">
        <v>3004</v>
      </c>
      <c r="K450">
        <v>0.107142857142857</v>
      </c>
      <c r="L450" t="s">
        <v>959</v>
      </c>
      <c r="M450">
        <v>3.8167938931297698</v>
      </c>
      <c r="N450" t="s">
        <v>960</v>
      </c>
      <c r="O450">
        <v>0</v>
      </c>
      <c r="P450">
        <v>0</v>
      </c>
      <c r="Q450">
        <v>0</v>
      </c>
      <c r="R450">
        <v>0</v>
      </c>
    </row>
    <row r="451" spans="1:18" ht="16" x14ac:dyDescent="0.2">
      <c r="A451" s="127" t="s">
        <v>954</v>
      </c>
      <c r="B451" t="s">
        <v>239</v>
      </c>
      <c r="C451" t="s">
        <v>2273</v>
      </c>
      <c r="D451" t="s">
        <v>2274</v>
      </c>
      <c r="E451" t="s">
        <v>1230</v>
      </c>
      <c r="F451">
        <v>4</v>
      </c>
      <c r="G451">
        <v>2</v>
      </c>
      <c r="H451">
        <v>8.7546510798037893</v>
      </c>
      <c r="I451" t="s">
        <v>957</v>
      </c>
      <c r="J451" t="s">
        <v>2275</v>
      </c>
      <c r="K451">
        <v>4.2857142857142899E-2</v>
      </c>
      <c r="L451" t="s">
        <v>959</v>
      </c>
      <c r="M451">
        <v>0.76335877862595403</v>
      </c>
      <c r="N451" t="s">
        <v>960</v>
      </c>
      <c r="O451">
        <v>0</v>
      </c>
      <c r="P451">
        <v>0</v>
      </c>
      <c r="Q451">
        <v>0</v>
      </c>
      <c r="R451">
        <v>0</v>
      </c>
    </row>
    <row r="452" spans="1:18" ht="16" x14ac:dyDescent="0.2">
      <c r="A452" s="127" t="s">
        <v>954</v>
      </c>
      <c r="B452" t="s">
        <v>243</v>
      </c>
      <c r="C452" t="s">
        <v>2862</v>
      </c>
      <c r="D452" t="s">
        <v>2863</v>
      </c>
      <c r="E452">
        <v>3</v>
      </c>
      <c r="F452">
        <v>3</v>
      </c>
      <c r="G452">
        <v>1</v>
      </c>
      <c r="H452">
        <v>11.246412354404701</v>
      </c>
      <c r="I452" t="s">
        <v>957</v>
      </c>
      <c r="J452" t="s">
        <v>2864</v>
      </c>
      <c r="K452">
        <v>1.4285714285714299E-2</v>
      </c>
      <c r="L452" t="s">
        <v>959</v>
      </c>
      <c r="M452">
        <v>0.76335877862595403</v>
      </c>
      <c r="N452" t="s">
        <v>960</v>
      </c>
      <c r="O452">
        <v>0</v>
      </c>
      <c r="P452">
        <v>0</v>
      </c>
      <c r="Q452">
        <v>0</v>
      </c>
      <c r="R452">
        <v>0</v>
      </c>
    </row>
    <row r="453" spans="1:18" ht="16" x14ac:dyDescent="0.2">
      <c r="A453" s="127" t="s">
        <v>954</v>
      </c>
      <c r="B453" t="s">
        <v>243</v>
      </c>
      <c r="C453" t="s">
        <v>1957</v>
      </c>
      <c r="D453" t="s">
        <v>1958</v>
      </c>
      <c r="E453">
        <v>4</v>
      </c>
      <c r="F453">
        <v>4</v>
      </c>
      <c r="G453">
        <v>1</v>
      </c>
      <c r="H453">
        <v>6.7480234923273397</v>
      </c>
      <c r="I453" t="s">
        <v>957</v>
      </c>
      <c r="J453" t="s">
        <v>1959</v>
      </c>
      <c r="K453">
        <v>4.2857142857142899E-2</v>
      </c>
      <c r="L453" t="s">
        <v>959</v>
      </c>
      <c r="M453">
        <v>1.5267175572519101</v>
      </c>
      <c r="N453" t="s">
        <v>960</v>
      </c>
      <c r="O453">
        <v>0</v>
      </c>
      <c r="P453">
        <v>0</v>
      </c>
      <c r="Q453">
        <v>0</v>
      </c>
      <c r="R453">
        <v>0</v>
      </c>
    </row>
    <row r="454" spans="1:18" ht="16" x14ac:dyDescent="0.2">
      <c r="A454" s="127" t="s">
        <v>954</v>
      </c>
      <c r="B454" t="s">
        <v>243</v>
      </c>
      <c r="C454" t="s">
        <v>1998</v>
      </c>
      <c r="D454" t="s">
        <v>1999</v>
      </c>
      <c r="E454">
        <v>3</v>
      </c>
      <c r="F454">
        <v>3</v>
      </c>
      <c r="G454">
        <v>1</v>
      </c>
      <c r="H454">
        <v>11.8321595661992</v>
      </c>
      <c r="I454" t="s">
        <v>957</v>
      </c>
      <c r="J454" t="s">
        <v>2000</v>
      </c>
      <c r="K454">
        <v>7.14285714285714E-3</v>
      </c>
      <c r="L454" t="s">
        <v>959</v>
      </c>
      <c r="M454">
        <v>0.76335877862595403</v>
      </c>
      <c r="N454" t="s">
        <v>960</v>
      </c>
      <c r="O454">
        <v>0</v>
      </c>
      <c r="P454">
        <v>0</v>
      </c>
      <c r="Q454">
        <v>0</v>
      </c>
      <c r="R454">
        <v>0</v>
      </c>
    </row>
    <row r="455" spans="1:18" ht="16" x14ac:dyDescent="0.2">
      <c r="A455" s="127" t="s">
        <v>954</v>
      </c>
      <c r="B455" t="s">
        <v>243</v>
      </c>
      <c r="C455" t="s">
        <v>3279</v>
      </c>
      <c r="D455" t="s">
        <v>3280</v>
      </c>
      <c r="E455">
        <v>3</v>
      </c>
      <c r="F455">
        <v>3</v>
      </c>
      <c r="G455">
        <v>1</v>
      </c>
      <c r="H455">
        <v>11.246412354404701</v>
      </c>
      <c r="I455" t="s">
        <v>957</v>
      </c>
      <c r="J455" t="s">
        <v>3281</v>
      </c>
      <c r="K455">
        <v>1.4285714285714299E-2</v>
      </c>
      <c r="L455" t="s">
        <v>959</v>
      </c>
      <c r="M455">
        <v>0.76335877862595403</v>
      </c>
      <c r="N455" t="s">
        <v>960</v>
      </c>
      <c r="O455">
        <v>0</v>
      </c>
      <c r="P455">
        <v>0</v>
      </c>
      <c r="Q455">
        <v>0</v>
      </c>
      <c r="R455">
        <v>0</v>
      </c>
    </row>
    <row r="456" spans="1:18" ht="16" x14ac:dyDescent="0.2">
      <c r="A456" s="127" t="s">
        <v>954</v>
      </c>
      <c r="B456" t="s">
        <v>243</v>
      </c>
      <c r="C456" t="s">
        <v>2367</v>
      </c>
      <c r="D456" t="s">
        <v>2368</v>
      </c>
      <c r="E456">
        <v>5</v>
      </c>
      <c r="F456">
        <v>5</v>
      </c>
      <c r="G456">
        <v>1</v>
      </c>
      <c r="H456">
        <v>10.799638365450599</v>
      </c>
      <c r="I456" t="s">
        <v>957</v>
      </c>
      <c r="J456" t="s">
        <v>2369</v>
      </c>
      <c r="K456">
        <v>4.2857142857142899E-2</v>
      </c>
      <c r="L456" t="s">
        <v>959</v>
      </c>
      <c r="M456">
        <v>0.76335877862595403</v>
      </c>
      <c r="N456" t="s">
        <v>960</v>
      </c>
      <c r="O456">
        <v>0</v>
      </c>
      <c r="P456">
        <v>0</v>
      </c>
      <c r="Q456">
        <v>0</v>
      </c>
      <c r="R456">
        <v>0</v>
      </c>
    </row>
    <row r="457" spans="1:18" ht="16" x14ac:dyDescent="0.2">
      <c r="A457" s="127" t="s">
        <v>954</v>
      </c>
      <c r="B457" t="s">
        <v>243</v>
      </c>
      <c r="C457" t="s">
        <v>1992</v>
      </c>
      <c r="D457" t="s">
        <v>1993</v>
      </c>
      <c r="E457">
        <v>5</v>
      </c>
      <c r="F457">
        <v>5</v>
      </c>
      <c r="G457">
        <v>1</v>
      </c>
      <c r="H457">
        <v>5.31240004520832</v>
      </c>
      <c r="I457" t="s">
        <v>957</v>
      </c>
      <c r="J457" t="s">
        <v>1994</v>
      </c>
      <c r="K457">
        <v>0.16428571428571401</v>
      </c>
      <c r="L457" t="s">
        <v>959</v>
      </c>
      <c r="M457">
        <v>0.76335877862595403</v>
      </c>
      <c r="N457" t="s">
        <v>960</v>
      </c>
      <c r="O457">
        <v>0</v>
      </c>
      <c r="P457">
        <v>0</v>
      </c>
      <c r="Q457">
        <v>0</v>
      </c>
      <c r="R457">
        <v>0</v>
      </c>
    </row>
    <row r="458" spans="1:18" ht="16" x14ac:dyDescent="0.2">
      <c r="A458" s="127" t="s">
        <v>954</v>
      </c>
      <c r="B458" t="s">
        <v>243</v>
      </c>
      <c r="C458" t="s">
        <v>2310</v>
      </c>
      <c r="D458" t="s">
        <v>2311</v>
      </c>
      <c r="E458">
        <v>7</v>
      </c>
      <c r="F458">
        <v>7</v>
      </c>
      <c r="G458">
        <v>1</v>
      </c>
      <c r="H458">
        <v>6.7421332776202902</v>
      </c>
      <c r="I458" t="s">
        <v>957</v>
      </c>
      <c r="J458" t="s">
        <v>2312</v>
      </c>
      <c r="K458">
        <v>0.128571428571429</v>
      </c>
      <c r="L458" t="s">
        <v>959</v>
      </c>
      <c r="M458">
        <v>0.76335877862595403</v>
      </c>
      <c r="N458" t="s">
        <v>960</v>
      </c>
      <c r="O458">
        <v>0</v>
      </c>
      <c r="P458">
        <v>0</v>
      </c>
      <c r="Q458">
        <v>0</v>
      </c>
      <c r="R458">
        <v>0</v>
      </c>
    </row>
    <row r="459" spans="1:18" ht="16" x14ac:dyDescent="0.2">
      <c r="A459" s="127" t="s">
        <v>954</v>
      </c>
      <c r="B459" t="s">
        <v>243</v>
      </c>
      <c r="C459" t="s">
        <v>3704</v>
      </c>
      <c r="D459" t="s">
        <v>3705</v>
      </c>
      <c r="E459">
        <v>3</v>
      </c>
      <c r="F459">
        <v>3</v>
      </c>
      <c r="G459">
        <v>1</v>
      </c>
      <c r="H459">
        <v>11.8321595661992</v>
      </c>
      <c r="I459" t="s">
        <v>957</v>
      </c>
      <c r="J459" t="s">
        <v>3706</v>
      </c>
      <c r="K459">
        <v>7.14285714285714E-3</v>
      </c>
      <c r="L459" t="s">
        <v>959</v>
      </c>
      <c r="M459">
        <v>0.76335877862595403</v>
      </c>
      <c r="N459" t="s">
        <v>960</v>
      </c>
      <c r="O459">
        <v>0</v>
      </c>
      <c r="P459">
        <v>0</v>
      </c>
      <c r="Q459">
        <v>0</v>
      </c>
      <c r="R459">
        <v>0</v>
      </c>
    </row>
    <row r="460" spans="1:18" ht="16" x14ac:dyDescent="0.2">
      <c r="A460" s="127" t="s">
        <v>954</v>
      </c>
      <c r="B460" t="s">
        <v>243</v>
      </c>
      <c r="C460" t="s">
        <v>1235</v>
      </c>
      <c r="D460" t="s">
        <v>1236</v>
      </c>
      <c r="E460">
        <v>8</v>
      </c>
      <c r="F460">
        <v>8</v>
      </c>
      <c r="G460">
        <v>1</v>
      </c>
      <c r="H460">
        <v>8.4394877484687605</v>
      </c>
      <c r="I460" t="s">
        <v>957</v>
      </c>
      <c r="J460" t="s">
        <v>2873</v>
      </c>
      <c r="K460">
        <v>0.13571428571428601</v>
      </c>
      <c r="L460" t="s">
        <v>959</v>
      </c>
      <c r="M460">
        <v>1.5267175572519101</v>
      </c>
      <c r="N460" t="s">
        <v>960</v>
      </c>
      <c r="O460">
        <v>0</v>
      </c>
      <c r="P460">
        <v>0</v>
      </c>
      <c r="Q460">
        <v>0</v>
      </c>
      <c r="R460">
        <v>0</v>
      </c>
    </row>
    <row r="461" spans="1:18" ht="16" x14ac:dyDescent="0.2">
      <c r="A461" s="127" t="s">
        <v>954</v>
      </c>
      <c r="B461" t="s">
        <v>243</v>
      </c>
      <c r="C461" t="s">
        <v>2108</v>
      </c>
      <c r="D461" t="s">
        <v>2109</v>
      </c>
      <c r="E461">
        <v>3</v>
      </c>
      <c r="F461">
        <v>3</v>
      </c>
      <c r="G461">
        <v>1</v>
      </c>
      <c r="H461">
        <v>11.8321595661992</v>
      </c>
      <c r="I461" t="s">
        <v>957</v>
      </c>
      <c r="J461" t="s">
        <v>2110</v>
      </c>
      <c r="K461">
        <v>7.14285714285714E-3</v>
      </c>
      <c r="L461" t="s">
        <v>959</v>
      </c>
      <c r="M461">
        <v>0.76335877862595403</v>
      </c>
      <c r="N461" t="s">
        <v>960</v>
      </c>
      <c r="O461">
        <v>0</v>
      </c>
      <c r="P461">
        <v>0</v>
      </c>
      <c r="Q461">
        <v>0</v>
      </c>
      <c r="R461">
        <v>0</v>
      </c>
    </row>
    <row r="462" spans="1:18" ht="16" x14ac:dyDescent="0.2">
      <c r="A462" s="127" t="s">
        <v>954</v>
      </c>
      <c r="B462" t="s">
        <v>243</v>
      </c>
      <c r="C462" t="s">
        <v>2971</v>
      </c>
      <c r="D462" t="s">
        <v>3323</v>
      </c>
      <c r="E462">
        <v>3</v>
      </c>
      <c r="F462">
        <v>3</v>
      </c>
      <c r="G462">
        <v>1</v>
      </c>
      <c r="H462">
        <v>5.1900429421669303</v>
      </c>
      <c r="I462" t="s">
        <v>957</v>
      </c>
      <c r="J462" t="s">
        <v>2973</v>
      </c>
      <c r="K462">
        <v>9.2857142857142902E-2</v>
      </c>
      <c r="L462" t="s">
        <v>959</v>
      </c>
      <c r="M462">
        <v>2.2900763358778602</v>
      </c>
      <c r="N462" t="s">
        <v>960</v>
      </c>
      <c r="O462">
        <v>0</v>
      </c>
      <c r="P462">
        <v>0</v>
      </c>
      <c r="Q462">
        <v>0</v>
      </c>
      <c r="R462">
        <v>0</v>
      </c>
    </row>
    <row r="463" spans="1:18" ht="16" x14ac:dyDescent="0.2">
      <c r="A463" s="127" t="s">
        <v>954</v>
      </c>
      <c r="B463" t="s">
        <v>243</v>
      </c>
      <c r="C463" t="s">
        <v>3188</v>
      </c>
      <c r="D463" t="s">
        <v>3189</v>
      </c>
      <c r="E463">
        <v>3</v>
      </c>
      <c r="F463">
        <v>3</v>
      </c>
      <c r="G463">
        <v>1</v>
      </c>
      <c r="H463">
        <v>9.2271210246703408</v>
      </c>
      <c r="I463" t="s">
        <v>957</v>
      </c>
      <c r="J463" t="s">
        <v>3190</v>
      </c>
      <c r="K463">
        <v>2.8571428571428598E-2</v>
      </c>
      <c r="L463" t="s">
        <v>959</v>
      </c>
      <c r="M463">
        <v>0.76335877862595403</v>
      </c>
      <c r="N463" t="s">
        <v>960</v>
      </c>
      <c r="O463">
        <v>0</v>
      </c>
      <c r="P463">
        <v>0</v>
      </c>
      <c r="Q463">
        <v>0</v>
      </c>
      <c r="R463">
        <v>0</v>
      </c>
    </row>
    <row r="464" spans="1:18" ht="16" x14ac:dyDescent="0.2">
      <c r="A464" s="127" t="s">
        <v>954</v>
      </c>
      <c r="B464" t="s">
        <v>243</v>
      </c>
      <c r="C464" t="s">
        <v>3752</v>
      </c>
      <c r="D464" t="s">
        <v>3753</v>
      </c>
      <c r="E464">
        <v>3</v>
      </c>
      <c r="F464">
        <v>3</v>
      </c>
      <c r="G464">
        <v>1</v>
      </c>
      <c r="H464">
        <v>10.320921222120401</v>
      </c>
      <c r="I464" t="s">
        <v>957</v>
      </c>
      <c r="J464" t="s">
        <v>3754</v>
      </c>
      <c r="K464">
        <v>2.8571428571428598E-2</v>
      </c>
      <c r="L464" t="s">
        <v>959</v>
      </c>
      <c r="M464">
        <v>0.76335877862595403</v>
      </c>
      <c r="N464" t="s">
        <v>960</v>
      </c>
      <c r="O464">
        <v>0</v>
      </c>
      <c r="P464">
        <v>0</v>
      </c>
      <c r="Q464">
        <v>0</v>
      </c>
      <c r="R464">
        <v>0</v>
      </c>
    </row>
    <row r="465" spans="1:18" ht="16" x14ac:dyDescent="0.2">
      <c r="A465" s="127" t="s">
        <v>954</v>
      </c>
      <c r="B465" t="s">
        <v>243</v>
      </c>
      <c r="C465" t="s">
        <v>2916</v>
      </c>
      <c r="D465" t="s">
        <v>2917</v>
      </c>
      <c r="E465">
        <v>3</v>
      </c>
      <c r="F465">
        <v>3</v>
      </c>
      <c r="G465">
        <v>1</v>
      </c>
      <c r="H465">
        <v>11.246412354404701</v>
      </c>
      <c r="I465" t="s">
        <v>957</v>
      </c>
      <c r="J465" t="s">
        <v>2918</v>
      </c>
      <c r="K465">
        <v>1.4285714285714299E-2</v>
      </c>
      <c r="L465" t="s">
        <v>959</v>
      </c>
      <c r="M465">
        <v>0.76335877862595403</v>
      </c>
      <c r="N465" t="s">
        <v>960</v>
      </c>
      <c r="O465">
        <v>0</v>
      </c>
      <c r="P465">
        <v>0</v>
      </c>
      <c r="Q465">
        <v>0</v>
      </c>
      <c r="R465">
        <v>0</v>
      </c>
    </row>
    <row r="466" spans="1:18" ht="16" x14ac:dyDescent="0.2">
      <c r="A466" s="127" t="s">
        <v>954</v>
      </c>
      <c r="B466" t="s">
        <v>243</v>
      </c>
      <c r="C466" t="s">
        <v>2773</v>
      </c>
      <c r="D466" t="s">
        <v>2774</v>
      </c>
      <c r="E466" t="s">
        <v>3335</v>
      </c>
      <c r="F466">
        <v>10</v>
      </c>
      <c r="G466">
        <v>3</v>
      </c>
      <c r="H466">
        <v>7.8256834062339804</v>
      </c>
      <c r="I466" t="s">
        <v>957</v>
      </c>
      <c r="J466" t="s">
        <v>3336</v>
      </c>
      <c r="K466">
        <v>0.20714285714285699</v>
      </c>
      <c r="L466" t="s">
        <v>959</v>
      </c>
      <c r="M466">
        <v>1.5267175572519101</v>
      </c>
      <c r="N466" t="s">
        <v>960</v>
      </c>
      <c r="O466">
        <v>0</v>
      </c>
      <c r="P466">
        <v>0</v>
      </c>
      <c r="Q466">
        <v>0</v>
      </c>
      <c r="R466">
        <v>0</v>
      </c>
    </row>
    <row r="467" spans="1:18" ht="16" x14ac:dyDescent="0.2">
      <c r="A467" s="127" t="s">
        <v>954</v>
      </c>
      <c r="B467" t="s">
        <v>243</v>
      </c>
      <c r="C467" t="s">
        <v>1409</v>
      </c>
      <c r="D467" t="s">
        <v>1410</v>
      </c>
      <c r="E467">
        <v>4</v>
      </c>
      <c r="F467">
        <v>4</v>
      </c>
      <c r="G467">
        <v>1</v>
      </c>
      <c r="H467">
        <v>6.62567811197653</v>
      </c>
      <c r="I467" t="s">
        <v>957</v>
      </c>
      <c r="J467" t="s">
        <v>1411</v>
      </c>
      <c r="K467">
        <v>0.121428571428571</v>
      </c>
      <c r="L467" t="s">
        <v>959</v>
      </c>
      <c r="M467">
        <v>1.5267175572519101</v>
      </c>
      <c r="N467" t="s">
        <v>960</v>
      </c>
      <c r="O467">
        <v>0</v>
      </c>
      <c r="P467">
        <v>0</v>
      </c>
      <c r="Q467">
        <v>0</v>
      </c>
      <c r="R467">
        <v>0</v>
      </c>
    </row>
    <row r="468" spans="1:18" ht="16" x14ac:dyDescent="0.2">
      <c r="A468" s="127" t="s">
        <v>954</v>
      </c>
      <c r="B468" t="s">
        <v>243</v>
      </c>
      <c r="C468" t="s">
        <v>1057</v>
      </c>
      <c r="D468" t="s">
        <v>1058</v>
      </c>
      <c r="E468">
        <v>5</v>
      </c>
      <c r="F468">
        <v>5</v>
      </c>
      <c r="G468">
        <v>1</v>
      </c>
      <c r="H468">
        <v>6.9530480175455303</v>
      </c>
      <c r="I468" t="s">
        <v>957</v>
      </c>
      <c r="J468" t="s">
        <v>1060</v>
      </c>
      <c r="K468">
        <v>0.1</v>
      </c>
      <c r="L468" t="s">
        <v>959</v>
      </c>
      <c r="M468">
        <v>2.2900763358778602</v>
      </c>
      <c r="N468" t="s">
        <v>960</v>
      </c>
      <c r="O468">
        <v>0</v>
      </c>
      <c r="P468">
        <v>0</v>
      </c>
      <c r="Q468">
        <v>0</v>
      </c>
      <c r="R468">
        <v>0</v>
      </c>
    </row>
    <row r="469" spans="1:18" ht="16" x14ac:dyDescent="0.2">
      <c r="A469" s="127" t="s">
        <v>954</v>
      </c>
      <c r="B469" t="s">
        <v>243</v>
      </c>
      <c r="C469" t="s">
        <v>1368</v>
      </c>
      <c r="D469" t="s">
        <v>1369</v>
      </c>
      <c r="E469">
        <v>4</v>
      </c>
      <c r="F469">
        <v>4</v>
      </c>
      <c r="G469">
        <v>1</v>
      </c>
      <c r="H469">
        <v>6.9554454323383199</v>
      </c>
      <c r="I469" t="s">
        <v>957</v>
      </c>
      <c r="J469" t="s">
        <v>1370</v>
      </c>
      <c r="K469">
        <v>4.2857142857142899E-2</v>
      </c>
      <c r="L469" t="s">
        <v>959</v>
      </c>
      <c r="M469">
        <v>2.2900763358778602</v>
      </c>
      <c r="N469" t="s">
        <v>960</v>
      </c>
      <c r="O469">
        <v>0</v>
      </c>
      <c r="P469">
        <v>0</v>
      </c>
      <c r="Q469">
        <v>0</v>
      </c>
      <c r="R469">
        <v>0</v>
      </c>
    </row>
    <row r="470" spans="1:18" ht="16" x14ac:dyDescent="0.2">
      <c r="A470" s="127" t="s">
        <v>954</v>
      </c>
      <c r="B470" t="s">
        <v>243</v>
      </c>
      <c r="C470" t="s">
        <v>2150</v>
      </c>
      <c r="D470" t="s">
        <v>2151</v>
      </c>
      <c r="E470">
        <v>3</v>
      </c>
      <c r="F470">
        <v>3</v>
      </c>
      <c r="G470">
        <v>1</v>
      </c>
      <c r="H470">
        <v>5.6060809957127002</v>
      </c>
      <c r="I470" t="s">
        <v>957</v>
      </c>
      <c r="J470" t="s">
        <v>2152</v>
      </c>
      <c r="K470">
        <v>0.1</v>
      </c>
      <c r="L470" t="s">
        <v>959</v>
      </c>
      <c r="M470">
        <v>0.76335877862595403</v>
      </c>
      <c r="N470" t="s">
        <v>960</v>
      </c>
      <c r="O470">
        <v>0</v>
      </c>
      <c r="P470">
        <v>0</v>
      </c>
      <c r="Q470">
        <v>0</v>
      </c>
      <c r="R470">
        <v>0</v>
      </c>
    </row>
    <row r="471" spans="1:18" ht="16" x14ac:dyDescent="0.2">
      <c r="A471" s="127" t="s">
        <v>954</v>
      </c>
      <c r="B471" t="s">
        <v>243</v>
      </c>
      <c r="C471" t="s">
        <v>2996</v>
      </c>
      <c r="D471" t="s">
        <v>2997</v>
      </c>
      <c r="E471">
        <v>3</v>
      </c>
      <c r="F471">
        <v>3</v>
      </c>
      <c r="G471">
        <v>1</v>
      </c>
      <c r="H471">
        <v>9.8631957611800996</v>
      </c>
      <c r="I471" t="s">
        <v>957</v>
      </c>
      <c r="J471" t="s">
        <v>3409</v>
      </c>
      <c r="K471">
        <v>1.4285714285714299E-2</v>
      </c>
      <c r="L471" t="s">
        <v>959</v>
      </c>
      <c r="M471">
        <v>1.5267175572519101</v>
      </c>
      <c r="N471" t="s">
        <v>960</v>
      </c>
      <c r="O471">
        <v>0</v>
      </c>
      <c r="P471">
        <v>0</v>
      </c>
      <c r="Q471">
        <v>0</v>
      </c>
      <c r="R471">
        <v>0</v>
      </c>
    </row>
    <row r="472" spans="1:18" ht="16" x14ac:dyDescent="0.2">
      <c r="A472" s="127" t="s">
        <v>954</v>
      </c>
      <c r="B472" t="s">
        <v>243</v>
      </c>
      <c r="C472" t="s">
        <v>2794</v>
      </c>
      <c r="D472" t="s">
        <v>2795</v>
      </c>
      <c r="E472">
        <v>8</v>
      </c>
      <c r="F472">
        <v>8</v>
      </c>
      <c r="G472">
        <v>1</v>
      </c>
      <c r="H472">
        <v>8.5747076299308507</v>
      </c>
      <c r="I472" t="s">
        <v>957</v>
      </c>
      <c r="J472" t="s">
        <v>2796</v>
      </c>
      <c r="K472">
        <v>0.114285714285714</v>
      </c>
      <c r="L472" t="s">
        <v>959</v>
      </c>
      <c r="M472">
        <v>1.5267175572519101</v>
      </c>
      <c r="N472" t="s">
        <v>960</v>
      </c>
      <c r="O472">
        <v>0</v>
      </c>
      <c r="P472">
        <v>0</v>
      </c>
      <c r="Q472">
        <v>0</v>
      </c>
      <c r="R472">
        <v>0</v>
      </c>
    </row>
    <row r="473" spans="1:18" ht="16" x14ac:dyDescent="0.2">
      <c r="A473" s="127" t="s">
        <v>954</v>
      </c>
      <c r="B473" t="s">
        <v>243</v>
      </c>
      <c r="C473" t="s">
        <v>1241</v>
      </c>
      <c r="D473" t="s">
        <v>1242</v>
      </c>
      <c r="E473">
        <v>3</v>
      </c>
      <c r="F473">
        <v>3</v>
      </c>
      <c r="G473">
        <v>1</v>
      </c>
      <c r="H473">
        <v>4.6079893469678996</v>
      </c>
      <c r="I473" t="s">
        <v>957</v>
      </c>
      <c r="J473" t="s">
        <v>2934</v>
      </c>
      <c r="K473">
        <v>9.2857142857142902E-2</v>
      </c>
      <c r="L473" t="s">
        <v>959</v>
      </c>
      <c r="M473">
        <v>3.0534351145038201</v>
      </c>
      <c r="N473" t="s">
        <v>960</v>
      </c>
      <c r="O473">
        <v>0</v>
      </c>
      <c r="P473">
        <v>0</v>
      </c>
      <c r="Q473">
        <v>0</v>
      </c>
      <c r="R473">
        <v>0</v>
      </c>
    </row>
    <row r="474" spans="1:18" ht="16" x14ac:dyDescent="0.2">
      <c r="A474" s="127" t="s">
        <v>954</v>
      </c>
      <c r="B474" t="s">
        <v>243</v>
      </c>
      <c r="C474" t="s">
        <v>3460</v>
      </c>
      <c r="D474" t="s">
        <v>3461</v>
      </c>
      <c r="E474">
        <v>8</v>
      </c>
      <c r="F474">
        <v>8</v>
      </c>
      <c r="G474">
        <v>1</v>
      </c>
      <c r="H474">
        <v>11.062768692183299</v>
      </c>
      <c r="I474" t="s">
        <v>957</v>
      </c>
      <c r="J474" t="s">
        <v>3462</v>
      </c>
      <c r="K474">
        <v>4.2857142857142899E-2</v>
      </c>
      <c r="L474" t="s">
        <v>959</v>
      </c>
      <c r="M474">
        <v>0.76335877862595403</v>
      </c>
      <c r="N474" t="s">
        <v>960</v>
      </c>
      <c r="O474">
        <v>0</v>
      </c>
      <c r="P474">
        <v>0</v>
      </c>
      <c r="Q474">
        <v>0</v>
      </c>
      <c r="R474">
        <v>0</v>
      </c>
    </row>
    <row r="475" spans="1:18" ht="16" x14ac:dyDescent="0.2">
      <c r="A475" s="127" t="s">
        <v>954</v>
      </c>
      <c r="B475" t="s">
        <v>243</v>
      </c>
      <c r="C475" t="s">
        <v>1893</v>
      </c>
      <c r="D475" t="s">
        <v>3149</v>
      </c>
      <c r="E475">
        <v>3</v>
      </c>
      <c r="F475">
        <v>3</v>
      </c>
      <c r="G475">
        <v>1</v>
      </c>
      <c r="H475">
        <v>5.8175410669453402</v>
      </c>
      <c r="I475" t="s">
        <v>957</v>
      </c>
      <c r="J475" t="s">
        <v>3150</v>
      </c>
      <c r="K475">
        <v>5.7142857142857099E-2</v>
      </c>
      <c r="L475" t="s">
        <v>959</v>
      </c>
      <c r="M475">
        <v>1.5267175572519101</v>
      </c>
      <c r="N475" t="s">
        <v>960</v>
      </c>
      <c r="O475">
        <v>0</v>
      </c>
      <c r="P475">
        <v>0</v>
      </c>
      <c r="Q475">
        <v>0</v>
      </c>
      <c r="R475">
        <v>0</v>
      </c>
    </row>
    <row r="476" spans="1:18" ht="16" x14ac:dyDescent="0.2">
      <c r="A476" s="127" t="s">
        <v>954</v>
      </c>
      <c r="B476" t="s">
        <v>243</v>
      </c>
      <c r="C476" t="s">
        <v>2993</v>
      </c>
      <c r="D476" t="s">
        <v>2994</v>
      </c>
      <c r="E476">
        <v>5</v>
      </c>
      <c r="F476">
        <v>5</v>
      </c>
      <c r="G476">
        <v>1</v>
      </c>
      <c r="H476">
        <v>11.6175821091428</v>
      </c>
      <c r="I476" t="s">
        <v>957</v>
      </c>
      <c r="J476" t="s">
        <v>2995</v>
      </c>
      <c r="K476">
        <v>1.4285714285714299E-2</v>
      </c>
      <c r="L476" t="s">
        <v>959</v>
      </c>
      <c r="M476">
        <v>0.76335877862595403</v>
      </c>
      <c r="N476" t="s">
        <v>960</v>
      </c>
      <c r="O476">
        <v>0</v>
      </c>
      <c r="P476">
        <v>0</v>
      </c>
      <c r="Q476">
        <v>0</v>
      </c>
      <c r="R476">
        <v>0</v>
      </c>
    </row>
    <row r="477" spans="1:18" ht="16" x14ac:dyDescent="0.2">
      <c r="A477" s="127" t="s">
        <v>954</v>
      </c>
      <c r="B477" t="s">
        <v>243</v>
      </c>
      <c r="C477" t="s">
        <v>1896</v>
      </c>
      <c r="D477" t="s">
        <v>1897</v>
      </c>
      <c r="E477">
        <v>3</v>
      </c>
      <c r="F477">
        <v>3</v>
      </c>
      <c r="G477">
        <v>1</v>
      </c>
      <c r="H477">
        <v>10.749218810859199</v>
      </c>
      <c r="I477" t="s">
        <v>957</v>
      </c>
      <c r="J477" t="s">
        <v>1898</v>
      </c>
      <c r="K477">
        <v>2.1428571428571401E-2</v>
      </c>
      <c r="L477" t="s">
        <v>959</v>
      </c>
      <c r="M477">
        <v>0.76335877862595403</v>
      </c>
      <c r="N477" t="s">
        <v>960</v>
      </c>
      <c r="O477">
        <v>0</v>
      </c>
      <c r="P477">
        <v>0</v>
      </c>
      <c r="Q477">
        <v>0</v>
      </c>
      <c r="R477">
        <v>0</v>
      </c>
    </row>
    <row r="478" spans="1:18" ht="16" x14ac:dyDescent="0.2">
      <c r="A478" s="127" t="s">
        <v>954</v>
      </c>
      <c r="B478" t="s">
        <v>243</v>
      </c>
      <c r="C478" t="s">
        <v>1031</v>
      </c>
      <c r="D478" t="s">
        <v>1032</v>
      </c>
      <c r="E478">
        <v>3</v>
      </c>
      <c r="F478">
        <v>3</v>
      </c>
      <c r="G478">
        <v>1</v>
      </c>
      <c r="H478">
        <v>11.246412354404701</v>
      </c>
      <c r="I478" t="s">
        <v>957</v>
      </c>
      <c r="J478" t="s">
        <v>1033</v>
      </c>
      <c r="K478">
        <v>1.4285714285714299E-2</v>
      </c>
      <c r="L478" t="s">
        <v>959</v>
      </c>
      <c r="M478">
        <v>0.76335877862595403</v>
      </c>
      <c r="N478" t="s">
        <v>960</v>
      </c>
      <c r="O478">
        <v>0</v>
      </c>
      <c r="P478">
        <v>0</v>
      </c>
      <c r="Q478">
        <v>0</v>
      </c>
      <c r="R478">
        <v>0</v>
      </c>
    </row>
    <row r="479" spans="1:18" ht="16" x14ac:dyDescent="0.2">
      <c r="A479" s="127" t="s">
        <v>954</v>
      </c>
      <c r="B479" t="s">
        <v>243</v>
      </c>
      <c r="C479" t="s">
        <v>955</v>
      </c>
      <c r="D479" t="s">
        <v>956</v>
      </c>
      <c r="E479">
        <v>3</v>
      </c>
      <c r="F479">
        <v>3</v>
      </c>
      <c r="G479">
        <v>1</v>
      </c>
      <c r="H479">
        <v>4.8210702594550501</v>
      </c>
      <c r="I479" t="s">
        <v>957</v>
      </c>
      <c r="J479" t="s">
        <v>3390</v>
      </c>
      <c r="K479">
        <v>7.1428571428571397E-2</v>
      </c>
      <c r="L479" t="s">
        <v>959</v>
      </c>
      <c r="M479">
        <v>3.0534351145038201</v>
      </c>
      <c r="N479" t="s">
        <v>960</v>
      </c>
      <c r="O479">
        <v>0</v>
      </c>
      <c r="P479">
        <v>0</v>
      </c>
      <c r="Q479">
        <v>0</v>
      </c>
      <c r="R479">
        <v>0</v>
      </c>
    </row>
    <row r="480" spans="1:18" ht="16" x14ac:dyDescent="0.2">
      <c r="A480" s="127" t="s">
        <v>954</v>
      </c>
      <c r="B480" t="s">
        <v>243</v>
      </c>
      <c r="C480" t="s">
        <v>1882</v>
      </c>
      <c r="D480" t="s">
        <v>1883</v>
      </c>
      <c r="E480">
        <v>3</v>
      </c>
      <c r="F480">
        <v>3</v>
      </c>
      <c r="G480">
        <v>1</v>
      </c>
      <c r="H480">
        <v>11.8321595661992</v>
      </c>
      <c r="I480" t="s">
        <v>957</v>
      </c>
      <c r="J480" t="s">
        <v>1884</v>
      </c>
      <c r="K480">
        <v>7.14285714285714E-3</v>
      </c>
      <c r="L480" t="s">
        <v>959</v>
      </c>
      <c r="M480">
        <v>0.76335877862595403</v>
      </c>
      <c r="N480" t="s">
        <v>960</v>
      </c>
      <c r="O480">
        <v>0</v>
      </c>
      <c r="P480">
        <v>0</v>
      </c>
      <c r="Q480">
        <v>0</v>
      </c>
      <c r="R480">
        <v>0</v>
      </c>
    </row>
    <row r="481" spans="1:18" ht="16" x14ac:dyDescent="0.2">
      <c r="A481" s="127" t="s">
        <v>954</v>
      </c>
      <c r="B481" t="s">
        <v>243</v>
      </c>
      <c r="C481" t="s">
        <v>1486</v>
      </c>
      <c r="D481" t="s">
        <v>1487</v>
      </c>
      <c r="E481">
        <v>4</v>
      </c>
      <c r="F481">
        <v>4</v>
      </c>
      <c r="G481">
        <v>1</v>
      </c>
      <c r="H481">
        <v>7.4127923080359004</v>
      </c>
      <c r="I481" t="s">
        <v>957</v>
      </c>
      <c r="J481" t="s">
        <v>2753</v>
      </c>
      <c r="K481">
        <v>7.8571428571428598E-2</v>
      </c>
      <c r="L481" t="s">
        <v>959</v>
      </c>
      <c r="M481">
        <v>2.2900763358778602</v>
      </c>
      <c r="N481" t="s">
        <v>960</v>
      </c>
      <c r="O481">
        <v>0</v>
      </c>
      <c r="P481">
        <v>0</v>
      </c>
      <c r="Q481">
        <v>0</v>
      </c>
      <c r="R481">
        <v>0</v>
      </c>
    </row>
    <row r="482" spans="1:18" ht="16" x14ac:dyDescent="0.2">
      <c r="A482" s="127" t="s">
        <v>954</v>
      </c>
      <c r="B482" t="s">
        <v>243</v>
      </c>
      <c r="C482" t="s">
        <v>2763</v>
      </c>
      <c r="D482" t="s">
        <v>2764</v>
      </c>
      <c r="E482">
        <v>4</v>
      </c>
      <c r="F482">
        <v>4</v>
      </c>
      <c r="G482">
        <v>1</v>
      </c>
      <c r="H482">
        <v>6.1215852585868298</v>
      </c>
      <c r="I482" t="s">
        <v>957</v>
      </c>
      <c r="J482" t="s">
        <v>2765</v>
      </c>
      <c r="K482">
        <v>3.5714285714285698E-2</v>
      </c>
      <c r="L482" t="s">
        <v>959</v>
      </c>
      <c r="M482">
        <v>2.2900763358778602</v>
      </c>
      <c r="N482" t="s">
        <v>960</v>
      </c>
      <c r="O482">
        <v>0</v>
      </c>
      <c r="P482">
        <v>0</v>
      </c>
      <c r="Q482">
        <v>0</v>
      </c>
      <c r="R482">
        <v>0</v>
      </c>
    </row>
    <row r="483" spans="1:18" ht="16" x14ac:dyDescent="0.2">
      <c r="A483" s="127" t="s">
        <v>954</v>
      </c>
      <c r="B483" t="s">
        <v>243</v>
      </c>
      <c r="C483" t="s">
        <v>3549</v>
      </c>
      <c r="D483" t="s">
        <v>3550</v>
      </c>
      <c r="E483">
        <v>4</v>
      </c>
      <c r="F483">
        <v>4</v>
      </c>
      <c r="G483">
        <v>1</v>
      </c>
      <c r="H483">
        <v>5.2387357900663201</v>
      </c>
      <c r="I483" t="s">
        <v>957</v>
      </c>
      <c r="J483" t="s">
        <v>3551</v>
      </c>
      <c r="K483">
        <v>0.15</v>
      </c>
      <c r="L483" t="s">
        <v>959</v>
      </c>
      <c r="M483">
        <v>0.76335877862595403</v>
      </c>
      <c r="N483" t="s">
        <v>960</v>
      </c>
      <c r="O483">
        <v>0</v>
      </c>
      <c r="P483">
        <v>0</v>
      </c>
      <c r="Q483">
        <v>0</v>
      </c>
      <c r="R483">
        <v>0</v>
      </c>
    </row>
    <row r="484" spans="1:18" ht="16" x14ac:dyDescent="0.2">
      <c r="A484" s="127" t="s">
        <v>954</v>
      </c>
      <c r="B484" t="s">
        <v>243</v>
      </c>
      <c r="C484" t="s">
        <v>2577</v>
      </c>
      <c r="D484" t="s">
        <v>2578</v>
      </c>
      <c r="E484">
        <v>3</v>
      </c>
      <c r="F484">
        <v>3</v>
      </c>
      <c r="G484">
        <v>1</v>
      </c>
      <c r="H484">
        <v>7.4882987532110397</v>
      </c>
      <c r="I484" t="s">
        <v>957</v>
      </c>
      <c r="J484" t="s">
        <v>2579</v>
      </c>
      <c r="K484">
        <v>4.2857142857142899E-2</v>
      </c>
      <c r="L484" t="s">
        <v>959</v>
      </c>
      <c r="M484">
        <v>0.76335877862595403</v>
      </c>
      <c r="N484" t="s">
        <v>960</v>
      </c>
      <c r="O484">
        <v>0</v>
      </c>
      <c r="P484">
        <v>0</v>
      </c>
      <c r="Q484">
        <v>0</v>
      </c>
      <c r="R484">
        <v>0</v>
      </c>
    </row>
    <row r="485" spans="1:18" ht="16" x14ac:dyDescent="0.2">
      <c r="A485" s="127" t="s">
        <v>954</v>
      </c>
      <c r="B485" t="s">
        <v>243</v>
      </c>
      <c r="C485" t="s">
        <v>1028</v>
      </c>
      <c r="D485" t="s">
        <v>1029</v>
      </c>
      <c r="E485">
        <v>5</v>
      </c>
      <c r="F485">
        <v>5</v>
      </c>
      <c r="G485">
        <v>1</v>
      </c>
      <c r="H485">
        <v>8.2484253258876308</v>
      </c>
      <c r="I485" t="s">
        <v>957</v>
      </c>
      <c r="J485" t="s">
        <v>1535</v>
      </c>
      <c r="K485">
        <v>0.05</v>
      </c>
      <c r="L485" t="s">
        <v>959</v>
      </c>
      <c r="M485">
        <v>2.2900763358778602</v>
      </c>
      <c r="N485" t="s">
        <v>960</v>
      </c>
      <c r="O485">
        <v>0</v>
      </c>
      <c r="P485">
        <v>0</v>
      </c>
      <c r="Q485">
        <v>0</v>
      </c>
      <c r="R485">
        <v>0</v>
      </c>
    </row>
    <row r="486" spans="1:18" ht="16" x14ac:dyDescent="0.2">
      <c r="A486" s="127" t="s">
        <v>954</v>
      </c>
      <c r="B486" t="s">
        <v>243</v>
      </c>
      <c r="C486" t="s">
        <v>1315</v>
      </c>
      <c r="D486" t="s">
        <v>1316</v>
      </c>
      <c r="E486">
        <v>14</v>
      </c>
      <c r="F486">
        <v>14</v>
      </c>
      <c r="G486">
        <v>1</v>
      </c>
      <c r="H486">
        <v>9.9989019070181708</v>
      </c>
      <c r="I486" t="s">
        <v>957</v>
      </c>
      <c r="J486" t="s">
        <v>1317</v>
      </c>
      <c r="K486">
        <v>0.107142857142857</v>
      </c>
      <c r="L486" t="s">
        <v>959</v>
      </c>
      <c r="M486">
        <v>0.76335877862595403</v>
      </c>
      <c r="N486" t="s">
        <v>960</v>
      </c>
      <c r="O486">
        <v>0</v>
      </c>
      <c r="P486">
        <v>0</v>
      </c>
      <c r="Q486">
        <v>0</v>
      </c>
      <c r="R486">
        <v>0</v>
      </c>
    </row>
    <row r="487" spans="1:18" ht="16" x14ac:dyDescent="0.2">
      <c r="A487" s="127" t="s">
        <v>954</v>
      </c>
      <c r="B487" t="s">
        <v>243</v>
      </c>
      <c r="C487" t="s">
        <v>2754</v>
      </c>
      <c r="D487" t="s">
        <v>2755</v>
      </c>
      <c r="E487">
        <v>4</v>
      </c>
      <c r="F487">
        <v>4</v>
      </c>
      <c r="G487">
        <v>1</v>
      </c>
      <c r="H487">
        <v>7.4377960990343697</v>
      </c>
      <c r="I487" t="s">
        <v>957</v>
      </c>
      <c r="J487" t="s">
        <v>2756</v>
      </c>
      <c r="K487">
        <v>3.5714285714285698E-2</v>
      </c>
      <c r="L487" t="s">
        <v>959</v>
      </c>
      <c r="M487">
        <v>1.5267175572519101</v>
      </c>
      <c r="N487" t="s">
        <v>960</v>
      </c>
      <c r="O487">
        <v>0</v>
      </c>
      <c r="P487">
        <v>0</v>
      </c>
      <c r="Q487">
        <v>0</v>
      </c>
      <c r="R487">
        <v>0</v>
      </c>
    </row>
    <row r="488" spans="1:18" ht="16" x14ac:dyDescent="0.2">
      <c r="A488" s="127" t="s">
        <v>954</v>
      </c>
      <c r="B488" t="s">
        <v>243</v>
      </c>
      <c r="C488" t="s">
        <v>2488</v>
      </c>
      <c r="D488" t="s">
        <v>2489</v>
      </c>
      <c r="E488">
        <v>6</v>
      </c>
      <c r="F488">
        <v>6</v>
      </c>
      <c r="G488">
        <v>1</v>
      </c>
      <c r="H488">
        <v>5.1476192662282099</v>
      </c>
      <c r="I488" t="s">
        <v>957</v>
      </c>
      <c r="J488" t="s">
        <v>3578</v>
      </c>
      <c r="K488">
        <v>0.114285714285714</v>
      </c>
      <c r="L488" t="s">
        <v>959</v>
      </c>
      <c r="M488">
        <v>1.5267175572519101</v>
      </c>
      <c r="N488" t="s">
        <v>960</v>
      </c>
      <c r="O488">
        <v>0</v>
      </c>
      <c r="P488">
        <v>0</v>
      </c>
      <c r="Q488">
        <v>0</v>
      </c>
      <c r="R488">
        <v>0</v>
      </c>
    </row>
    <row r="489" spans="1:18" ht="16" x14ac:dyDescent="0.2">
      <c r="A489" s="127" t="s">
        <v>954</v>
      </c>
      <c r="B489" t="s">
        <v>243</v>
      </c>
      <c r="C489" t="s">
        <v>3308</v>
      </c>
      <c r="D489" t="s">
        <v>3309</v>
      </c>
      <c r="E489">
        <v>12</v>
      </c>
      <c r="F489">
        <v>12</v>
      </c>
      <c r="G489">
        <v>1</v>
      </c>
      <c r="H489">
        <v>9.6697990444350701</v>
      </c>
      <c r="I489" t="s">
        <v>957</v>
      </c>
      <c r="J489" t="s">
        <v>3310</v>
      </c>
      <c r="K489">
        <v>7.8571428571428598E-2</v>
      </c>
      <c r="L489" t="s">
        <v>959</v>
      </c>
      <c r="M489">
        <v>0.76335877862595403</v>
      </c>
      <c r="N489" t="s">
        <v>960</v>
      </c>
      <c r="O489">
        <v>0</v>
      </c>
      <c r="P489">
        <v>0</v>
      </c>
      <c r="Q489">
        <v>0</v>
      </c>
      <c r="R489">
        <v>0</v>
      </c>
    </row>
    <row r="490" spans="1:18" ht="16" x14ac:dyDescent="0.2">
      <c r="A490" s="127" t="s">
        <v>954</v>
      </c>
      <c r="B490" t="s">
        <v>243</v>
      </c>
      <c r="C490" t="s">
        <v>2495</v>
      </c>
      <c r="D490" t="s">
        <v>2496</v>
      </c>
      <c r="E490">
        <v>3</v>
      </c>
      <c r="F490">
        <v>3</v>
      </c>
      <c r="G490">
        <v>1</v>
      </c>
      <c r="H490">
        <v>8.1899279746367899</v>
      </c>
      <c r="I490" t="s">
        <v>957</v>
      </c>
      <c r="J490" t="s">
        <v>2497</v>
      </c>
      <c r="K490">
        <v>3.5714285714285698E-2</v>
      </c>
      <c r="L490" t="s">
        <v>959</v>
      </c>
      <c r="M490">
        <v>1.5267175572519101</v>
      </c>
      <c r="N490" t="s">
        <v>960</v>
      </c>
      <c r="O490">
        <v>0</v>
      </c>
      <c r="P490">
        <v>0</v>
      </c>
      <c r="Q490">
        <v>0</v>
      </c>
      <c r="R490">
        <v>0</v>
      </c>
    </row>
    <row r="491" spans="1:18" ht="16" x14ac:dyDescent="0.2">
      <c r="A491" s="127" t="s">
        <v>954</v>
      </c>
      <c r="B491" t="s">
        <v>243</v>
      </c>
      <c r="C491" t="s">
        <v>1929</v>
      </c>
      <c r="D491" t="s">
        <v>1930</v>
      </c>
      <c r="E491">
        <v>3</v>
      </c>
      <c r="F491">
        <v>3</v>
      </c>
      <c r="G491">
        <v>1</v>
      </c>
      <c r="H491">
        <v>9.9592706526528598</v>
      </c>
      <c r="I491" t="s">
        <v>957</v>
      </c>
      <c r="J491" t="s">
        <v>1931</v>
      </c>
      <c r="K491">
        <v>3.5714285714285698E-2</v>
      </c>
      <c r="L491" t="s">
        <v>959</v>
      </c>
      <c r="M491">
        <v>0.76335877862595403</v>
      </c>
      <c r="N491" t="s">
        <v>960</v>
      </c>
      <c r="O491">
        <v>0</v>
      </c>
      <c r="P491">
        <v>0</v>
      </c>
      <c r="Q491">
        <v>0</v>
      </c>
      <c r="R491">
        <v>0</v>
      </c>
    </row>
    <row r="492" spans="1:18" ht="16" x14ac:dyDescent="0.2">
      <c r="A492" s="127" t="s">
        <v>954</v>
      </c>
      <c r="B492" t="s">
        <v>243</v>
      </c>
      <c r="C492" t="s">
        <v>2696</v>
      </c>
      <c r="D492" t="s">
        <v>2697</v>
      </c>
      <c r="E492">
        <v>3</v>
      </c>
      <c r="F492">
        <v>3</v>
      </c>
      <c r="G492">
        <v>1</v>
      </c>
      <c r="H492">
        <v>10.749218810859199</v>
      </c>
      <c r="I492" t="s">
        <v>957</v>
      </c>
      <c r="J492" t="s">
        <v>2698</v>
      </c>
      <c r="K492">
        <v>2.1428571428571401E-2</v>
      </c>
      <c r="L492" t="s">
        <v>959</v>
      </c>
      <c r="M492">
        <v>0.76335877862595403</v>
      </c>
      <c r="N492" t="s">
        <v>960</v>
      </c>
      <c r="O492">
        <v>0</v>
      </c>
      <c r="P492">
        <v>0</v>
      </c>
      <c r="Q492">
        <v>0</v>
      </c>
      <c r="R492">
        <v>0</v>
      </c>
    </row>
    <row r="493" spans="1:18" ht="16" x14ac:dyDescent="0.2">
      <c r="A493" s="127" t="s">
        <v>954</v>
      </c>
      <c r="B493" t="s">
        <v>183</v>
      </c>
      <c r="C493" t="s">
        <v>2702</v>
      </c>
      <c r="D493" t="s">
        <v>2703</v>
      </c>
      <c r="E493">
        <v>7</v>
      </c>
      <c r="F493">
        <v>7</v>
      </c>
      <c r="G493">
        <v>1</v>
      </c>
      <c r="H493">
        <v>11.8321595661992</v>
      </c>
      <c r="I493" t="s">
        <v>957</v>
      </c>
      <c r="J493" t="s">
        <v>2704</v>
      </c>
      <c r="K493">
        <v>7.14285714285714E-3</v>
      </c>
      <c r="L493" t="s">
        <v>959</v>
      </c>
      <c r="M493">
        <v>0.76335877862595403</v>
      </c>
      <c r="N493" t="s">
        <v>960</v>
      </c>
      <c r="O493" t="s">
        <v>5017</v>
      </c>
      <c r="P493" t="s">
        <v>5017</v>
      </c>
      <c r="Q493">
        <v>0</v>
      </c>
      <c r="R493">
        <v>0</v>
      </c>
    </row>
    <row r="494" spans="1:18" ht="16" x14ac:dyDescent="0.2">
      <c r="A494" s="127" t="s">
        <v>954</v>
      </c>
      <c r="B494" t="s">
        <v>183</v>
      </c>
      <c r="C494" t="s">
        <v>2952</v>
      </c>
      <c r="D494" t="s">
        <v>2953</v>
      </c>
      <c r="E494" t="s">
        <v>1022</v>
      </c>
      <c r="F494">
        <v>3</v>
      </c>
      <c r="G494">
        <v>2</v>
      </c>
      <c r="H494">
        <v>4.9232584502426402</v>
      </c>
      <c r="I494" t="s">
        <v>957</v>
      </c>
      <c r="J494" t="s">
        <v>2954</v>
      </c>
      <c r="K494">
        <v>0.107142857142857</v>
      </c>
      <c r="L494" t="s">
        <v>959</v>
      </c>
      <c r="M494">
        <v>1.5267175572519101</v>
      </c>
      <c r="N494" t="s">
        <v>960</v>
      </c>
      <c r="O494" t="s">
        <v>5017</v>
      </c>
      <c r="P494">
        <v>0</v>
      </c>
      <c r="Q494">
        <v>0</v>
      </c>
      <c r="R494">
        <v>0</v>
      </c>
    </row>
    <row r="495" spans="1:18" ht="16" x14ac:dyDescent="0.2">
      <c r="A495" s="127" t="s">
        <v>954</v>
      </c>
      <c r="B495" t="s">
        <v>183</v>
      </c>
      <c r="C495" t="s">
        <v>964</v>
      </c>
      <c r="D495" t="s">
        <v>965</v>
      </c>
      <c r="E495">
        <v>3</v>
      </c>
      <c r="F495">
        <v>3</v>
      </c>
      <c r="G495">
        <v>1</v>
      </c>
      <c r="H495">
        <v>6.3423565688630799</v>
      </c>
      <c r="I495" t="s">
        <v>957</v>
      </c>
      <c r="J495" t="s">
        <v>2029</v>
      </c>
      <c r="K495">
        <v>0.05</v>
      </c>
      <c r="L495" t="s">
        <v>959</v>
      </c>
      <c r="M495">
        <v>1.5267175572519101</v>
      </c>
      <c r="N495" t="s">
        <v>960</v>
      </c>
      <c r="O495" t="s">
        <v>5017</v>
      </c>
      <c r="P495">
        <v>0</v>
      </c>
      <c r="Q495">
        <v>0</v>
      </c>
      <c r="R495">
        <v>0</v>
      </c>
    </row>
    <row r="496" spans="1:18" ht="16" x14ac:dyDescent="0.2">
      <c r="A496" s="127" t="s">
        <v>954</v>
      </c>
      <c r="B496" t="s">
        <v>183</v>
      </c>
      <c r="C496" t="s">
        <v>2669</v>
      </c>
      <c r="D496" t="s">
        <v>2670</v>
      </c>
      <c r="E496">
        <v>4</v>
      </c>
      <c r="F496">
        <v>4</v>
      </c>
      <c r="G496">
        <v>1</v>
      </c>
      <c r="H496">
        <v>10.605878528655399</v>
      </c>
      <c r="I496" t="s">
        <v>957</v>
      </c>
      <c r="J496" t="s">
        <v>2671</v>
      </c>
      <c r="K496">
        <v>1.4285714285714299E-2</v>
      </c>
      <c r="L496" t="s">
        <v>959</v>
      </c>
      <c r="M496">
        <v>0.76335877862595403</v>
      </c>
      <c r="N496" t="s">
        <v>960</v>
      </c>
      <c r="O496" t="s">
        <v>5017</v>
      </c>
      <c r="P496">
        <v>0</v>
      </c>
      <c r="Q496">
        <v>0</v>
      </c>
      <c r="R496">
        <v>0</v>
      </c>
    </row>
    <row r="497" spans="1:18" ht="16" x14ac:dyDescent="0.2">
      <c r="A497" s="127" t="s">
        <v>954</v>
      </c>
      <c r="B497" t="s">
        <v>183</v>
      </c>
      <c r="C497" t="s">
        <v>3538</v>
      </c>
      <c r="D497" t="s">
        <v>3539</v>
      </c>
      <c r="E497">
        <v>6</v>
      </c>
      <c r="F497">
        <v>6</v>
      </c>
      <c r="G497">
        <v>1</v>
      </c>
      <c r="H497">
        <v>11.8321595661992</v>
      </c>
      <c r="I497" t="s">
        <v>957</v>
      </c>
      <c r="J497" t="s">
        <v>3540</v>
      </c>
      <c r="K497">
        <v>7.14285714285714E-3</v>
      </c>
      <c r="L497" t="s">
        <v>959</v>
      </c>
      <c r="M497">
        <v>0.76335877862595403</v>
      </c>
      <c r="N497" t="s">
        <v>960</v>
      </c>
      <c r="O497" t="s">
        <v>5017</v>
      </c>
      <c r="P497">
        <v>0</v>
      </c>
      <c r="Q497">
        <v>0</v>
      </c>
      <c r="R497">
        <v>0</v>
      </c>
    </row>
    <row r="498" spans="1:18" ht="16" x14ac:dyDescent="0.2">
      <c r="A498" s="127" t="s">
        <v>954</v>
      </c>
      <c r="B498" t="s">
        <v>247</v>
      </c>
      <c r="C498" t="s">
        <v>2145</v>
      </c>
      <c r="D498" t="s">
        <v>2146</v>
      </c>
      <c r="E498" t="s">
        <v>1052</v>
      </c>
      <c r="F498">
        <v>2</v>
      </c>
      <c r="G498">
        <v>2</v>
      </c>
      <c r="H498">
        <v>5.8894659362644504</v>
      </c>
      <c r="I498" t="s">
        <v>957</v>
      </c>
      <c r="J498" t="s">
        <v>2147</v>
      </c>
      <c r="K498">
        <v>7.8571428571428598E-2</v>
      </c>
      <c r="L498" t="s">
        <v>959</v>
      </c>
      <c r="M498">
        <v>1.5267175572519101</v>
      </c>
      <c r="N498" t="s">
        <v>960</v>
      </c>
      <c r="O498">
        <v>0</v>
      </c>
      <c r="P498">
        <v>0</v>
      </c>
      <c r="Q498">
        <v>0</v>
      </c>
      <c r="R498">
        <v>0</v>
      </c>
    </row>
    <row r="499" spans="1:18" ht="16" x14ac:dyDescent="0.2">
      <c r="A499" s="127" t="s">
        <v>954</v>
      </c>
      <c r="B499" t="s">
        <v>247</v>
      </c>
      <c r="C499" t="s">
        <v>3151</v>
      </c>
      <c r="D499" t="s">
        <v>3152</v>
      </c>
      <c r="E499" t="s">
        <v>1052</v>
      </c>
      <c r="F499">
        <v>2</v>
      </c>
      <c r="G499">
        <v>2</v>
      </c>
      <c r="H499">
        <v>5.7864656167438699</v>
      </c>
      <c r="I499" t="s">
        <v>957</v>
      </c>
      <c r="J499" t="s">
        <v>3153</v>
      </c>
      <c r="K499">
        <v>0.121428571428571</v>
      </c>
      <c r="L499" t="s">
        <v>959</v>
      </c>
      <c r="M499">
        <v>0.76335877862595403</v>
      </c>
      <c r="N499" t="s">
        <v>960</v>
      </c>
      <c r="O499">
        <v>0</v>
      </c>
      <c r="P499">
        <v>0</v>
      </c>
      <c r="Q499">
        <v>0</v>
      </c>
      <c r="R499">
        <v>0</v>
      </c>
    </row>
    <row r="500" spans="1:18" ht="16" x14ac:dyDescent="0.2">
      <c r="A500" s="127" t="s">
        <v>954</v>
      </c>
      <c r="B500" t="s">
        <v>247</v>
      </c>
      <c r="C500" t="s">
        <v>1254</v>
      </c>
      <c r="D500" t="s">
        <v>1255</v>
      </c>
      <c r="E500">
        <v>4</v>
      </c>
      <c r="F500">
        <v>4</v>
      </c>
      <c r="G500">
        <v>1</v>
      </c>
      <c r="H500">
        <v>5.9042096168923104</v>
      </c>
      <c r="I500" t="s">
        <v>957</v>
      </c>
      <c r="J500" t="s">
        <v>3643</v>
      </c>
      <c r="K500">
        <v>6.4285714285714293E-2</v>
      </c>
      <c r="L500" t="s">
        <v>959</v>
      </c>
      <c r="M500">
        <v>1.5267175572519101</v>
      </c>
      <c r="N500" t="s">
        <v>960</v>
      </c>
      <c r="O500">
        <v>0</v>
      </c>
      <c r="P500">
        <v>0</v>
      </c>
      <c r="Q500">
        <v>0</v>
      </c>
      <c r="R500">
        <v>0</v>
      </c>
    </row>
    <row r="501" spans="1:18" ht="16" x14ac:dyDescent="0.2">
      <c r="A501" s="127" t="s">
        <v>954</v>
      </c>
      <c r="B501" t="s">
        <v>252</v>
      </c>
      <c r="C501" t="s">
        <v>1858</v>
      </c>
      <c r="D501" t="s">
        <v>1859</v>
      </c>
      <c r="E501">
        <v>11</v>
      </c>
      <c r="F501">
        <v>11</v>
      </c>
      <c r="G501">
        <v>1</v>
      </c>
      <c r="H501">
        <v>11.6553291578378</v>
      </c>
      <c r="I501" t="s">
        <v>957</v>
      </c>
      <c r="J501" t="s">
        <v>1860</v>
      </c>
      <c r="K501">
        <v>1.4285714285714299E-2</v>
      </c>
      <c r="L501" t="s">
        <v>959</v>
      </c>
      <c r="M501">
        <v>0.76335877862595403</v>
      </c>
      <c r="N501" t="s">
        <v>960</v>
      </c>
      <c r="O501">
        <v>0</v>
      </c>
      <c r="P501">
        <v>0</v>
      </c>
      <c r="Q501">
        <v>0</v>
      </c>
      <c r="R501">
        <v>0</v>
      </c>
    </row>
    <row r="502" spans="1:18" ht="16" x14ac:dyDescent="0.2">
      <c r="A502" s="127" t="s">
        <v>954</v>
      </c>
      <c r="B502" t="s">
        <v>252</v>
      </c>
      <c r="C502" t="s">
        <v>1483</v>
      </c>
      <c r="D502" t="s">
        <v>1484</v>
      </c>
      <c r="E502">
        <v>4</v>
      </c>
      <c r="F502">
        <v>4</v>
      </c>
      <c r="G502">
        <v>1</v>
      </c>
      <c r="H502">
        <v>6.1105066634180503</v>
      </c>
      <c r="I502" t="s">
        <v>957</v>
      </c>
      <c r="J502" t="s">
        <v>3054</v>
      </c>
      <c r="K502">
        <v>5.7142857142857099E-2</v>
      </c>
      <c r="L502" t="s">
        <v>959</v>
      </c>
      <c r="M502">
        <v>3.0534351145038201</v>
      </c>
      <c r="N502" t="s">
        <v>960</v>
      </c>
      <c r="O502">
        <v>0</v>
      </c>
      <c r="P502">
        <v>0</v>
      </c>
      <c r="Q502">
        <v>0</v>
      </c>
      <c r="R502">
        <v>0</v>
      </c>
    </row>
    <row r="503" spans="1:18" ht="16" x14ac:dyDescent="0.2">
      <c r="A503" s="127" t="s">
        <v>954</v>
      </c>
      <c r="B503" t="s">
        <v>252</v>
      </c>
      <c r="C503" t="s">
        <v>2387</v>
      </c>
      <c r="D503" t="s">
        <v>3640</v>
      </c>
      <c r="E503" t="s">
        <v>3641</v>
      </c>
      <c r="F503">
        <v>15</v>
      </c>
      <c r="G503">
        <v>2</v>
      </c>
      <c r="H503">
        <v>8.9750106265199197</v>
      </c>
      <c r="I503" t="s">
        <v>957</v>
      </c>
      <c r="J503" t="s">
        <v>3642</v>
      </c>
      <c r="K503">
        <v>2.1428571428571401E-2</v>
      </c>
      <c r="L503" t="s">
        <v>959</v>
      </c>
      <c r="M503">
        <v>2.2900763358778602</v>
      </c>
      <c r="N503" t="s">
        <v>960</v>
      </c>
      <c r="O503">
        <v>0</v>
      </c>
      <c r="P503">
        <v>0</v>
      </c>
      <c r="Q503">
        <v>0</v>
      </c>
      <c r="R503">
        <v>0</v>
      </c>
    </row>
    <row r="504" spans="1:18" ht="16" x14ac:dyDescent="0.2">
      <c r="A504" s="127" t="s">
        <v>954</v>
      </c>
      <c r="B504" t="s">
        <v>252</v>
      </c>
      <c r="C504" t="s">
        <v>988</v>
      </c>
      <c r="D504" t="s">
        <v>989</v>
      </c>
      <c r="E504">
        <v>4</v>
      </c>
      <c r="F504">
        <v>4</v>
      </c>
      <c r="G504">
        <v>1</v>
      </c>
      <c r="H504">
        <v>8.3666002653407503</v>
      </c>
      <c r="I504" t="s">
        <v>957</v>
      </c>
      <c r="J504" t="s">
        <v>990</v>
      </c>
      <c r="K504">
        <v>1.4285714285714299E-2</v>
      </c>
      <c r="L504" t="s">
        <v>959</v>
      </c>
      <c r="M504">
        <v>1.5267175572519101</v>
      </c>
      <c r="N504" t="s">
        <v>960</v>
      </c>
      <c r="O504">
        <v>0</v>
      </c>
      <c r="P504" t="s">
        <v>5017</v>
      </c>
      <c r="Q504">
        <v>0</v>
      </c>
      <c r="R504">
        <v>0</v>
      </c>
    </row>
    <row r="505" spans="1:18" ht="16" x14ac:dyDescent="0.2">
      <c r="A505" s="127" t="s">
        <v>954</v>
      </c>
      <c r="B505" t="s">
        <v>252</v>
      </c>
      <c r="C505" t="s">
        <v>1708</v>
      </c>
      <c r="D505" t="s">
        <v>1709</v>
      </c>
      <c r="E505" t="s">
        <v>1710</v>
      </c>
      <c r="F505">
        <v>14</v>
      </c>
      <c r="G505">
        <v>3</v>
      </c>
      <c r="H505">
        <v>5.7667989515366598</v>
      </c>
      <c r="I505" t="s">
        <v>957</v>
      </c>
      <c r="J505" t="s">
        <v>1711</v>
      </c>
      <c r="K505">
        <v>2.1428571428571401E-2</v>
      </c>
      <c r="L505" t="s">
        <v>959</v>
      </c>
      <c r="M505">
        <v>1.5267175572519101</v>
      </c>
      <c r="N505" t="s">
        <v>960</v>
      </c>
      <c r="O505">
        <v>0</v>
      </c>
      <c r="P505">
        <v>0</v>
      </c>
      <c r="Q505">
        <v>0</v>
      </c>
      <c r="R505">
        <v>0</v>
      </c>
    </row>
    <row r="506" spans="1:18" ht="16" x14ac:dyDescent="0.2">
      <c r="A506" s="127" t="s">
        <v>954</v>
      </c>
      <c r="B506" t="s">
        <v>187</v>
      </c>
      <c r="C506" t="s">
        <v>3316</v>
      </c>
      <c r="D506" t="s">
        <v>3317</v>
      </c>
      <c r="E506">
        <v>3</v>
      </c>
      <c r="F506">
        <v>3</v>
      </c>
      <c r="G506">
        <v>1</v>
      </c>
      <c r="H506">
        <v>11.8321595661992</v>
      </c>
      <c r="I506" t="s">
        <v>957</v>
      </c>
      <c r="J506" t="s">
        <v>3318</v>
      </c>
      <c r="K506">
        <v>7.14285714285714E-3</v>
      </c>
      <c r="L506" t="s">
        <v>959</v>
      </c>
      <c r="M506">
        <v>0.76335877862595403</v>
      </c>
      <c r="N506" t="s">
        <v>960</v>
      </c>
      <c r="O506">
        <v>0</v>
      </c>
      <c r="P506">
        <v>0</v>
      </c>
      <c r="Q506">
        <v>0</v>
      </c>
      <c r="R506">
        <v>0</v>
      </c>
    </row>
    <row r="507" spans="1:18" ht="16" x14ac:dyDescent="0.2">
      <c r="A507" s="127" t="s">
        <v>954</v>
      </c>
      <c r="B507" t="s">
        <v>260</v>
      </c>
      <c r="C507" t="s">
        <v>268</v>
      </c>
      <c r="D507" t="s">
        <v>3115</v>
      </c>
      <c r="E507">
        <v>2</v>
      </c>
      <c r="F507">
        <v>2</v>
      </c>
      <c r="G507">
        <v>1</v>
      </c>
      <c r="H507">
        <v>11.8321595661992</v>
      </c>
      <c r="I507" t="s">
        <v>957</v>
      </c>
      <c r="J507" t="s">
        <v>3116</v>
      </c>
      <c r="K507">
        <v>7.14285714285714E-3</v>
      </c>
      <c r="L507" t="s">
        <v>959</v>
      </c>
      <c r="M507">
        <v>0.76335877862595403</v>
      </c>
      <c r="N507" t="s">
        <v>960</v>
      </c>
      <c r="O507">
        <v>0</v>
      </c>
      <c r="P507">
        <v>0</v>
      </c>
      <c r="Q507">
        <v>0</v>
      </c>
      <c r="R507">
        <v>0</v>
      </c>
    </row>
    <row r="508" spans="1:18" ht="16" x14ac:dyDescent="0.2">
      <c r="A508" s="127" t="s">
        <v>954</v>
      </c>
      <c r="B508" t="s">
        <v>260</v>
      </c>
      <c r="C508" t="s">
        <v>3529</v>
      </c>
      <c r="D508" t="s">
        <v>3530</v>
      </c>
      <c r="E508">
        <v>5</v>
      </c>
      <c r="F508">
        <v>5</v>
      </c>
      <c r="G508">
        <v>1</v>
      </c>
      <c r="H508">
        <v>10.687437309164901</v>
      </c>
      <c r="I508" t="s">
        <v>957</v>
      </c>
      <c r="J508" t="s">
        <v>3531</v>
      </c>
      <c r="K508">
        <v>2.8571428571428598E-2</v>
      </c>
      <c r="L508" t="s">
        <v>959</v>
      </c>
      <c r="M508">
        <v>0.76335877862595403</v>
      </c>
      <c r="N508" t="s">
        <v>960</v>
      </c>
      <c r="O508">
        <v>0</v>
      </c>
      <c r="P508">
        <v>0</v>
      </c>
      <c r="Q508">
        <v>0</v>
      </c>
      <c r="R508">
        <v>0</v>
      </c>
    </row>
    <row r="509" spans="1:18" ht="16" x14ac:dyDescent="0.2">
      <c r="A509" s="127" t="s">
        <v>954</v>
      </c>
      <c r="B509" t="s">
        <v>260</v>
      </c>
      <c r="C509" t="s">
        <v>1339</v>
      </c>
      <c r="D509" t="s">
        <v>1340</v>
      </c>
      <c r="E509">
        <v>3</v>
      </c>
      <c r="F509">
        <v>3</v>
      </c>
      <c r="G509">
        <v>1</v>
      </c>
      <c r="H509">
        <v>5.2523648240141796</v>
      </c>
      <c r="I509" t="s">
        <v>957</v>
      </c>
      <c r="J509" t="s">
        <v>2810</v>
      </c>
      <c r="K509">
        <v>8.5714285714285701E-2</v>
      </c>
      <c r="L509" t="s">
        <v>959</v>
      </c>
      <c r="M509">
        <v>2.2900763358778602</v>
      </c>
      <c r="N509" t="s">
        <v>960</v>
      </c>
      <c r="O509">
        <v>0</v>
      </c>
      <c r="P509">
        <v>0</v>
      </c>
      <c r="Q509">
        <v>0</v>
      </c>
      <c r="R509">
        <v>0</v>
      </c>
    </row>
    <row r="510" spans="1:18" ht="16" x14ac:dyDescent="0.2">
      <c r="A510" s="127" t="s">
        <v>954</v>
      </c>
      <c r="B510" t="s">
        <v>260</v>
      </c>
      <c r="C510" t="s">
        <v>2322</v>
      </c>
      <c r="D510" t="s">
        <v>2323</v>
      </c>
      <c r="E510">
        <v>6</v>
      </c>
      <c r="F510">
        <v>6</v>
      </c>
      <c r="G510">
        <v>1</v>
      </c>
      <c r="H510">
        <v>5.1868437486855701</v>
      </c>
      <c r="I510" t="s">
        <v>957</v>
      </c>
      <c r="J510" t="s">
        <v>2324</v>
      </c>
      <c r="K510">
        <v>0.192857142857143</v>
      </c>
      <c r="L510" t="s">
        <v>959</v>
      </c>
      <c r="M510">
        <v>1.5267175572519101</v>
      </c>
      <c r="N510" t="s">
        <v>960</v>
      </c>
      <c r="O510">
        <v>0</v>
      </c>
      <c r="P510">
        <v>0</v>
      </c>
      <c r="Q510">
        <v>0</v>
      </c>
      <c r="R510">
        <v>0</v>
      </c>
    </row>
    <row r="511" spans="1:18" ht="16" x14ac:dyDescent="0.2">
      <c r="A511" s="127" t="s">
        <v>954</v>
      </c>
      <c r="B511" t="s">
        <v>260</v>
      </c>
      <c r="C511" t="s">
        <v>1564</v>
      </c>
      <c r="D511" t="s">
        <v>1565</v>
      </c>
      <c r="E511">
        <v>5</v>
      </c>
      <c r="F511">
        <v>5</v>
      </c>
      <c r="G511">
        <v>1</v>
      </c>
      <c r="H511">
        <v>6.1742640594362896</v>
      </c>
      <c r="I511" t="s">
        <v>957</v>
      </c>
      <c r="J511" t="s">
        <v>3422</v>
      </c>
      <c r="K511">
        <v>8.5714285714285701E-2</v>
      </c>
      <c r="L511" t="s">
        <v>959</v>
      </c>
      <c r="M511">
        <v>2.2900763358778602</v>
      </c>
      <c r="N511" t="s">
        <v>960</v>
      </c>
      <c r="O511">
        <v>0</v>
      </c>
      <c r="P511">
        <v>0</v>
      </c>
      <c r="Q511">
        <v>0</v>
      </c>
      <c r="R511">
        <v>0</v>
      </c>
    </row>
    <row r="512" spans="1:18" ht="16" x14ac:dyDescent="0.2">
      <c r="A512" s="127" t="s">
        <v>954</v>
      </c>
      <c r="B512" t="s">
        <v>260</v>
      </c>
      <c r="C512" t="s">
        <v>1386</v>
      </c>
      <c r="D512" t="s">
        <v>1387</v>
      </c>
      <c r="E512">
        <v>3</v>
      </c>
      <c r="F512">
        <v>3</v>
      </c>
      <c r="G512">
        <v>1</v>
      </c>
      <c r="H512">
        <v>4.9485879556231902</v>
      </c>
      <c r="I512" t="s">
        <v>957</v>
      </c>
      <c r="J512" t="s">
        <v>2325</v>
      </c>
      <c r="K512">
        <v>3.5714285714285698E-2</v>
      </c>
      <c r="L512" t="s">
        <v>959</v>
      </c>
      <c r="M512">
        <v>2.2900763358778602</v>
      </c>
      <c r="N512" t="s">
        <v>960</v>
      </c>
      <c r="O512">
        <v>0</v>
      </c>
      <c r="P512">
        <v>0</v>
      </c>
      <c r="Q512">
        <v>0</v>
      </c>
      <c r="R512">
        <v>0</v>
      </c>
    </row>
    <row r="513" spans="1:18" ht="16" x14ac:dyDescent="0.2">
      <c r="A513" s="127" t="s">
        <v>954</v>
      </c>
      <c r="B513" t="s">
        <v>260</v>
      </c>
      <c r="C513" t="s">
        <v>1718</v>
      </c>
      <c r="D513" t="s">
        <v>1719</v>
      </c>
      <c r="E513" t="s">
        <v>1085</v>
      </c>
      <c r="F513">
        <v>5</v>
      </c>
      <c r="G513">
        <v>2</v>
      </c>
      <c r="H513">
        <v>10.1606130153233</v>
      </c>
      <c r="I513" t="s">
        <v>957</v>
      </c>
      <c r="J513" t="s">
        <v>1720</v>
      </c>
      <c r="K513">
        <v>5.7142857142857099E-2</v>
      </c>
      <c r="L513" t="s">
        <v>959</v>
      </c>
      <c r="M513">
        <v>0.76335877862595403</v>
      </c>
      <c r="N513" t="s">
        <v>960</v>
      </c>
      <c r="O513">
        <v>0</v>
      </c>
      <c r="P513">
        <v>0</v>
      </c>
      <c r="Q513">
        <v>0</v>
      </c>
      <c r="R513">
        <v>0</v>
      </c>
    </row>
    <row r="514" spans="1:18" ht="16" x14ac:dyDescent="0.2">
      <c r="A514" s="127" t="s">
        <v>954</v>
      </c>
      <c r="B514" t="s">
        <v>260</v>
      </c>
      <c r="C514" t="s">
        <v>2580</v>
      </c>
      <c r="D514" t="s">
        <v>2581</v>
      </c>
      <c r="E514">
        <v>3</v>
      </c>
      <c r="F514">
        <v>3</v>
      </c>
      <c r="G514">
        <v>1</v>
      </c>
      <c r="H514">
        <v>7.6342208109143099</v>
      </c>
      <c r="I514" t="s">
        <v>957</v>
      </c>
      <c r="J514" t="s">
        <v>2582</v>
      </c>
      <c r="K514">
        <v>4.2857142857142899E-2</v>
      </c>
      <c r="L514" t="s">
        <v>959</v>
      </c>
      <c r="M514">
        <v>1.5267175572519101</v>
      </c>
      <c r="N514" t="s">
        <v>960</v>
      </c>
      <c r="O514">
        <v>0</v>
      </c>
      <c r="P514">
        <v>0</v>
      </c>
      <c r="Q514">
        <v>0</v>
      </c>
      <c r="R514">
        <v>0</v>
      </c>
    </row>
    <row r="515" spans="1:18" ht="16" x14ac:dyDescent="0.2">
      <c r="A515" s="127" t="s">
        <v>954</v>
      </c>
      <c r="B515" t="s">
        <v>260</v>
      </c>
      <c r="C515" t="s">
        <v>1506</v>
      </c>
      <c r="D515" t="s">
        <v>1507</v>
      </c>
      <c r="E515">
        <v>3</v>
      </c>
      <c r="F515">
        <v>3</v>
      </c>
      <c r="G515">
        <v>1</v>
      </c>
      <c r="H515">
        <v>6.51720601795473</v>
      </c>
      <c r="I515" t="s">
        <v>957</v>
      </c>
      <c r="J515" t="s">
        <v>1508</v>
      </c>
      <c r="K515">
        <v>0.05</v>
      </c>
      <c r="L515" t="s">
        <v>959</v>
      </c>
      <c r="M515">
        <v>1.5267175572519101</v>
      </c>
      <c r="N515" t="s">
        <v>960</v>
      </c>
      <c r="O515">
        <v>0</v>
      </c>
      <c r="P515">
        <v>0</v>
      </c>
      <c r="Q515">
        <v>0</v>
      </c>
      <c r="R515">
        <v>0</v>
      </c>
    </row>
    <row r="516" spans="1:18" ht="16" x14ac:dyDescent="0.2">
      <c r="A516" s="127" t="s">
        <v>954</v>
      </c>
      <c r="B516" t="s">
        <v>191</v>
      </c>
      <c r="C516" t="s">
        <v>1957</v>
      </c>
      <c r="D516" t="s">
        <v>1958</v>
      </c>
      <c r="E516">
        <v>3</v>
      </c>
      <c r="F516">
        <v>3</v>
      </c>
      <c r="G516">
        <v>1</v>
      </c>
      <c r="H516">
        <v>6.7480234923273397</v>
      </c>
      <c r="I516" t="s">
        <v>957</v>
      </c>
      <c r="J516" t="s">
        <v>1959</v>
      </c>
      <c r="K516">
        <v>4.2857142857142899E-2</v>
      </c>
      <c r="L516" t="s">
        <v>959</v>
      </c>
      <c r="M516">
        <v>1.5267175572519101</v>
      </c>
      <c r="N516" t="s">
        <v>960</v>
      </c>
      <c r="O516">
        <v>0</v>
      </c>
      <c r="P516">
        <v>0</v>
      </c>
      <c r="Q516">
        <v>0</v>
      </c>
      <c r="R516">
        <v>0</v>
      </c>
    </row>
    <row r="517" spans="1:18" ht="16" x14ac:dyDescent="0.2">
      <c r="A517" s="127" t="s">
        <v>954</v>
      </c>
      <c r="B517" t="s">
        <v>191</v>
      </c>
      <c r="C517" t="s">
        <v>2971</v>
      </c>
      <c r="D517" t="s">
        <v>2972</v>
      </c>
      <c r="E517">
        <v>3</v>
      </c>
      <c r="F517">
        <v>3</v>
      </c>
      <c r="G517">
        <v>1</v>
      </c>
      <c r="H517">
        <v>5.1900429421669303</v>
      </c>
      <c r="I517" t="s">
        <v>957</v>
      </c>
      <c r="J517" t="s">
        <v>2973</v>
      </c>
      <c r="K517">
        <v>9.2857142857142902E-2</v>
      </c>
      <c r="L517" t="s">
        <v>959</v>
      </c>
      <c r="M517">
        <v>2.2900763358778602</v>
      </c>
      <c r="N517" t="s">
        <v>987</v>
      </c>
      <c r="O517">
        <v>0</v>
      </c>
      <c r="P517">
        <v>0</v>
      </c>
      <c r="Q517">
        <v>0</v>
      </c>
      <c r="R517">
        <v>0</v>
      </c>
    </row>
    <row r="518" spans="1:18" ht="16" x14ac:dyDescent="0.2">
      <c r="A518" s="127" t="s">
        <v>954</v>
      </c>
      <c r="B518" t="s">
        <v>191</v>
      </c>
      <c r="C518" t="s">
        <v>2230</v>
      </c>
      <c r="D518" t="s">
        <v>2231</v>
      </c>
      <c r="E518">
        <v>4</v>
      </c>
      <c r="F518">
        <v>4</v>
      </c>
      <c r="G518">
        <v>1</v>
      </c>
      <c r="H518">
        <v>4.9909815751363302</v>
      </c>
      <c r="I518" t="s">
        <v>957</v>
      </c>
      <c r="J518" t="s">
        <v>2232</v>
      </c>
      <c r="K518">
        <v>0.157142857142857</v>
      </c>
      <c r="L518" t="s">
        <v>959</v>
      </c>
      <c r="M518">
        <v>0.76335877862595403</v>
      </c>
      <c r="N518" t="s">
        <v>960</v>
      </c>
      <c r="O518">
        <v>0</v>
      </c>
      <c r="P518">
        <v>0</v>
      </c>
      <c r="Q518">
        <v>0</v>
      </c>
      <c r="R518">
        <v>0</v>
      </c>
    </row>
    <row r="519" spans="1:18" ht="16" x14ac:dyDescent="0.2">
      <c r="A519" s="127" t="s">
        <v>954</v>
      </c>
      <c r="B519" t="s">
        <v>191</v>
      </c>
      <c r="C519" t="s">
        <v>2546</v>
      </c>
      <c r="D519" t="s">
        <v>2547</v>
      </c>
      <c r="E519" t="s">
        <v>1265</v>
      </c>
      <c r="F519">
        <v>6</v>
      </c>
      <c r="G519">
        <v>2</v>
      </c>
      <c r="H519">
        <v>7.16568812152624</v>
      </c>
      <c r="I519" t="s">
        <v>957</v>
      </c>
      <c r="J519" t="s">
        <v>2548</v>
      </c>
      <c r="K519">
        <v>0.107142857142857</v>
      </c>
      <c r="L519" t="s">
        <v>959</v>
      </c>
      <c r="M519">
        <v>1.5267175572519101</v>
      </c>
      <c r="N519" t="s">
        <v>960</v>
      </c>
      <c r="O519">
        <v>0</v>
      </c>
      <c r="P519">
        <v>0</v>
      </c>
      <c r="Q519">
        <v>0</v>
      </c>
      <c r="R519">
        <v>0</v>
      </c>
    </row>
    <row r="520" spans="1:18" ht="16" x14ac:dyDescent="0.2">
      <c r="A520" s="127" t="s">
        <v>954</v>
      </c>
      <c r="B520" t="s">
        <v>191</v>
      </c>
      <c r="C520" t="s">
        <v>1657</v>
      </c>
      <c r="D520" t="s">
        <v>1658</v>
      </c>
      <c r="E520" t="s">
        <v>1074</v>
      </c>
      <c r="F520">
        <v>6</v>
      </c>
      <c r="G520">
        <v>2</v>
      </c>
      <c r="H520">
        <v>5.3390358997324396</v>
      </c>
      <c r="I520" t="s">
        <v>957</v>
      </c>
      <c r="J520" t="s">
        <v>1659</v>
      </c>
      <c r="K520">
        <v>6.8965517241379296E-2</v>
      </c>
      <c r="L520" t="s">
        <v>972</v>
      </c>
      <c r="M520">
        <v>0.76335877862595403</v>
      </c>
      <c r="N520" t="s">
        <v>973</v>
      </c>
      <c r="O520">
        <v>0</v>
      </c>
      <c r="P520">
        <v>0</v>
      </c>
      <c r="Q520">
        <v>0</v>
      </c>
      <c r="R520">
        <v>0</v>
      </c>
    </row>
    <row r="521" spans="1:18" ht="16" x14ac:dyDescent="0.2">
      <c r="A521" s="127" t="s">
        <v>954</v>
      </c>
      <c r="B521" t="s">
        <v>191</v>
      </c>
      <c r="C521" t="s">
        <v>1241</v>
      </c>
      <c r="D521" t="s">
        <v>1242</v>
      </c>
      <c r="E521">
        <v>3</v>
      </c>
      <c r="F521">
        <v>3</v>
      </c>
      <c r="G521">
        <v>1</v>
      </c>
      <c r="H521">
        <v>4.6079893469678996</v>
      </c>
      <c r="I521" t="s">
        <v>957</v>
      </c>
      <c r="J521" t="s">
        <v>2602</v>
      </c>
      <c r="K521">
        <v>9.2857142857142902E-2</v>
      </c>
      <c r="L521" t="s">
        <v>959</v>
      </c>
      <c r="M521">
        <v>3.0534351145038201</v>
      </c>
      <c r="N521" t="s">
        <v>960</v>
      </c>
      <c r="O521">
        <v>0</v>
      </c>
      <c r="P521">
        <v>0</v>
      </c>
      <c r="Q521">
        <v>0</v>
      </c>
      <c r="R521">
        <v>0</v>
      </c>
    </row>
    <row r="522" spans="1:18" ht="16" x14ac:dyDescent="0.2">
      <c r="A522" s="127" t="s">
        <v>954</v>
      </c>
      <c r="B522" t="s">
        <v>191</v>
      </c>
      <c r="C522" t="s">
        <v>955</v>
      </c>
      <c r="D522" t="s">
        <v>956</v>
      </c>
      <c r="E522">
        <v>3</v>
      </c>
      <c r="F522">
        <v>3</v>
      </c>
      <c r="G522">
        <v>1</v>
      </c>
      <c r="H522">
        <v>4.8210702594550501</v>
      </c>
      <c r="I522" t="s">
        <v>957</v>
      </c>
      <c r="J522" t="s">
        <v>2664</v>
      </c>
      <c r="K522">
        <v>7.1428571428571397E-2</v>
      </c>
      <c r="L522" t="s">
        <v>959</v>
      </c>
      <c r="M522">
        <v>3.0534351145038201</v>
      </c>
      <c r="N522" t="s">
        <v>960</v>
      </c>
      <c r="O522">
        <v>0</v>
      </c>
      <c r="P522">
        <v>0</v>
      </c>
      <c r="Q522">
        <v>0</v>
      </c>
      <c r="R522">
        <v>0</v>
      </c>
    </row>
    <row r="523" spans="1:18" ht="16" x14ac:dyDescent="0.2">
      <c r="A523" s="127" t="s">
        <v>954</v>
      </c>
      <c r="B523" t="s">
        <v>191</v>
      </c>
      <c r="C523" t="s">
        <v>1728</v>
      </c>
      <c r="D523" t="s">
        <v>1729</v>
      </c>
      <c r="E523">
        <v>3</v>
      </c>
      <c r="F523">
        <v>3</v>
      </c>
      <c r="G523">
        <v>1</v>
      </c>
      <c r="H523">
        <v>5.0863364763886398</v>
      </c>
      <c r="I523" t="s">
        <v>957</v>
      </c>
      <c r="J523" t="s">
        <v>1730</v>
      </c>
      <c r="K523">
        <v>0.107142857142857</v>
      </c>
      <c r="L523" t="s">
        <v>959</v>
      </c>
      <c r="M523">
        <v>1.5267175572519101</v>
      </c>
      <c r="N523" t="s">
        <v>960</v>
      </c>
      <c r="O523">
        <v>0</v>
      </c>
      <c r="P523">
        <v>0</v>
      </c>
      <c r="Q523">
        <v>0</v>
      </c>
      <c r="R523">
        <v>0</v>
      </c>
    </row>
    <row r="524" spans="1:18" ht="16" x14ac:dyDescent="0.2">
      <c r="A524" s="127" t="s">
        <v>954</v>
      </c>
      <c r="B524" t="s">
        <v>191</v>
      </c>
      <c r="C524" t="s">
        <v>2488</v>
      </c>
      <c r="D524" t="s">
        <v>2489</v>
      </c>
      <c r="E524">
        <v>7</v>
      </c>
      <c r="F524">
        <v>7</v>
      </c>
      <c r="G524">
        <v>1</v>
      </c>
      <c r="H524">
        <v>6.05870232219781</v>
      </c>
      <c r="I524" t="s">
        <v>957</v>
      </c>
      <c r="J524" t="s">
        <v>2490</v>
      </c>
      <c r="K524">
        <v>0.114285714285714</v>
      </c>
      <c r="L524" t="s">
        <v>959</v>
      </c>
      <c r="M524">
        <v>1.5267175572519101</v>
      </c>
      <c r="N524" t="s">
        <v>960</v>
      </c>
      <c r="O524">
        <v>0</v>
      </c>
      <c r="P524">
        <v>0</v>
      </c>
      <c r="Q524">
        <v>0</v>
      </c>
      <c r="R524">
        <v>0</v>
      </c>
    </row>
    <row r="525" spans="1:18" ht="16" x14ac:dyDescent="0.2">
      <c r="A525" s="127" t="s">
        <v>954</v>
      </c>
      <c r="B525" t="s">
        <v>264</v>
      </c>
      <c r="C525" t="s">
        <v>219</v>
      </c>
      <c r="D525" t="s">
        <v>2500</v>
      </c>
      <c r="E525" t="s">
        <v>2501</v>
      </c>
      <c r="F525">
        <v>10</v>
      </c>
      <c r="G525">
        <v>7</v>
      </c>
      <c r="H525">
        <v>11.724539687721499</v>
      </c>
      <c r="I525" t="s">
        <v>957</v>
      </c>
      <c r="J525" t="s">
        <v>2502</v>
      </c>
      <c r="K525" t="s">
        <v>2503</v>
      </c>
      <c r="L525" t="s">
        <v>2504</v>
      </c>
      <c r="M525">
        <v>2.2900763358778602</v>
      </c>
      <c r="N525" t="s">
        <v>2505</v>
      </c>
      <c r="O525">
        <v>0</v>
      </c>
      <c r="P525">
        <v>0</v>
      </c>
      <c r="Q525">
        <v>0</v>
      </c>
      <c r="R525">
        <v>0</v>
      </c>
    </row>
    <row r="526" spans="1:18" ht="16" x14ac:dyDescent="0.2">
      <c r="A526" s="127" t="s">
        <v>954</v>
      </c>
      <c r="B526" t="s">
        <v>264</v>
      </c>
      <c r="C526" t="s">
        <v>1521</v>
      </c>
      <c r="D526" t="s">
        <v>1522</v>
      </c>
      <c r="E526">
        <v>5</v>
      </c>
      <c r="F526">
        <v>5</v>
      </c>
      <c r="G526">
        <v>1</v>
      </c>
      <c r="H526">
        <v>6.21120038610312</v>
      </c>
      <c r="I526" t="s">
        <v>957</v>
      </c>
      <c r="J526" t="s">
        <v>3127</v>
      </c>
      <c r="K526">
        <v>6.4285714285714293E-2</v>
      </c>
      <c r="L526" t="s">
        <v>959</v>
      </c>
      <c r="M526">
        <v>1.5267175572519101</v>
      </c>
      <c r="N526" t="s">
        <v>960</v>
      </c>
      <c r="O526">
        <v>0</v>
      </c>
      <c r="P526">
        <v>0</v>
      </c>
      <c r="Q526">
        <v>0</v>
      </c>
      <c r="R526">
        <v>0</v>
      </c>
    </row>
    <row r="527" spans="1:18" ht="16" x14ac:dyDescent="0.2">
      <c r="A527" s="127" t="s">
        <v>954</v>
      </c>
      <c r="B527" t="s">
        <v>264</v>
      </c>
      <c r="C527" t="s">
        <v>2077</v>
      </c>
      <c r="D527" t="s">
        <v>2078</v>
      </c>
      <c r="E527">
        <v>5</v>
      </c>
      <c r="F527">
        <v>5</v>
      </c>
      <c r="G527">
        <v>1</v>
      </c>
      <c r="H527">
        <v>7.6261976058323002</v>
      </c>
      <c r="I527" t="s">
        <v>957</v>
      </c>
      <c r="J527" t="s">
        <v>2079</v>
      </c>
      <c r="K527">
        <v>8.5714285714285701E-2</v>
      </c>
      <c r="L527" t="s">
        <v>959</v>
      </c>
      <c r="M527">
        <v>1.5267175572519101</v>
      </c>
      <c r="N527" t="s">
        <v>960</v>
      </c>
      <c r="O527">
        <v>0</v>
      </c>
      <c r="P527">
        <v>0</v>
      </c>
      <c r="Q527">
        <v>0</v>
      </c>
      <c r="R527">
        <v>0</v>
      </c>
    </row>
    <row r="528" spans="1:18" ht="16" x14ac:dyDescent="0.2">
      <c r="A528" s="127" t="s">
        <v>954</v>
      </c>
      <c r="B528" t="s">
        <v>264</v>
      </c>
      <c r="C528" t="s">
        <v>3463</v>
      </c>
      <c r="D528" t="s">
        <v>3464</v>
      </c>
      <c r="E528" t="s">
        <v>1052</v>
      </c>
      <c r="F528">
        <v>2</v>
      </c>
      <c r="G528">
        <v>2</v>
      </c>
      <c r="H528">
        <v>5.1172774497196496</v>
      </c>
      <c r="I528" t="s">
        <v>957</v>
      </c>
      <c r="J528" t="s">
        <v>3465</v>
      </c>
      <c r="K528">
        <v>7.1428571428571397E-2</v>
      </c>
      <c r="L528" t="s">
        <v>959</v>
      </c>
      <c r="M528">
        <v>0.76335877862595403</v>
      </c>
      <c r="N528" t="s">
        <v>960</v>
      </c>
      <c r="O528">
        <v>0</v>
      </c>
      <c r="P528">
        <v>0</v>
      </c>
      <c r="Q528">
        <v>0</v>
      </c>
      <c r="R528">
        <v>0</v>
      </c>
    </row>
    <row r="529" spans="1:18" ht="16" x14ac:dyDescent="0.2">
      <c r="A529" s="127" t="s">
        <v>954</v>
      </c>
      <c r="B529" t="s">
        <v>264</v>
      </c>
      <c r="C529" t="s">
        <v>2316</v>
      </c>
      <c r="D529" t="s">
        <v>2317</v>
      </c>
      <c r="E529">
        <v>3</v>
      </c>
      <c r="F529">
        <v>3</v>
      </c>
      <c r="G529">
        <v>1</v>
      </c>
      <c r="H529">
        <v>5.0059862041200098</v>
      </c>
      <c r="I529" t="s">
        <v>957</v>
      </c>
      <c r="J529" t="s">
        <v>2927</v>
      </c>
      <c r="K529">
        <v>0.192857142857143</v>
      </c>
      <c r="L529" t="s">
        <v>959</v>
      </c>
      <c r="M529">
        <v>2.2900763358778602</v>
      </c>
      <c r="N529" t="s">
        <v>2505</v>
      </c>
      <c r="O529">
        <v>0</v>
      </c>
      <c r="P529">
        <v>0</v>
      </c>
      <c r="Q529">
        <v>0</v>
      </c>
      <c r="R529">
        <v>0</v>
      </c>
    </row>
    <row r="530" spans="1:18" ht="16" x14ac:dyDescent="0.2">
      <c r="A530" s="127" t="s">
        <v>954</v>
      </c>
      <c r="B530" t="s">
        <v>264</v>
      </c>
      <c r="C530" t="s">
        <v>1391</v>
      </c>
      <c r="D530" t="s">
        <v>1392</v>
      </c>
      <c r="E530">
        <v>7</v>
      </c>
      <c r="F530">
        <v>7</v>
      </c>
      <c r="G530">
        <v>1</v>
      </c>
      <c r="H530">
        <v>4.7056146079387897</v>
      </c>
      <c r="I530" t="s">
        <v>957</v>
      </c>
      <c r="J530" t="s">
        <v>2116</v>
      </c>
      <c r="K530">
        <v>0.14285714285714299</v>
      </c>
      <c r="L530" t="s">
        <v>959</v>
      </c>
      <c r="M530">
        <v>2.2900763358778602</v>
      </c>
      <c r="N530" t="s">
        <v>960</v>
      </c>
      <c r="O530">
        <v>0</v>
      </c>
      <c r="P530">
        <v>0</v>
      </c>
      <c r="Q530">
        <v>0</v>
      </c>
      <c r="R530">
        <v>0</v>
      </c>
    </row>
    <row r="531" spans="1:18" ht="16" x14ac:dyDescent="0.2">
      <c r="A531" s="127" t="s">
        <v>954</v>
      </c>
      <c r="B531" t="s">
        <v>264</v>
      </c>
      <c r="C531" t="s">
        <v>1289</v>
      </c>
      <c r="D531" t="s">
        <v>1290</v>
      </c>
      <c r="E531" t="s">
        <v>2438</v>
      </c>
      <c r="F531">
        <v>10</v>
      </c>
      <c r="G531">
        <v>2</v>
      </c>
      <c r="H531">
        <v>1.82574185835055</v>
      </c>
      <c r="I531">
        <v>0.31</v>
      </c>
      <c r="J531" t="s">
        <v>957</v>
      </c>
      <c r="K531">
        <v>50</v>
      </c>
      <c r="L531" t="s">
        <v>977</v>
      </c>
      <c r="M531">
        <v>1.5267175572519101</v>
      </c>
      <c r="O531">
        <v>0</v>
      </c>
      <c r="P531">
        <v>0</v>
      </c>
      <c r="Q531">
        <v>0</v>
      </c>
      <c r="R531">
        <v>0</v>
      </c>
    </row>
    <row r="532" spans="1:18" ht="16" x14ac:dyDescent="0.2">
      <c r="A532" s="127" t="s">
        <v>954</v>
      </c>
      <c r="B532" t="s">
        <v>264</v>
      </c>
      <c r="C532" t="s">
        <v>3653</v>
      </c>
      <c r="D532" t="s">
        <v>3654</v>
      </c>
      <c r="E532" t="s">
        <v>966</v>
      </c>
      <c r="F532">
        <v>3</v>
      </c>
      <c r="G532">
        <v>3</v>
      </c>
      <c r="H532">
        <v>8.2953070027032094</v>
      </c>
      <c r="I532" t="s">
        <v>957</v>
      </c>
      <c r="J532" t="s">
        <v>3655</v>
      </c>
      <c r="K532">
        <v>0.114285714285714</v>
      </c>
      <c r="L532" t="s">
        <v>959</v>
      </c>
      <c r="M532">
        <v>0.76335877862595403</v>
      </c>
      <c r="N532" t="s">
        <v>960</v>
      </c>
      <c r="O532">
        <v>0</v>
      </c>
      <c r="P532">
        <v>0</v>
      </c>
      <c r="Q532">
        <v>0</v>
      </c>
      <c r="R532">
        <v>0</v>
      </c>
    </row>
    <row r="533" spans="1:18" ht="16" x14ac:dyDescent="0.2">
      <c r="A533" s="127" t="s">
        <v>954</v>
      </c>
      <c r="B533" t="s">
        <v>264</v>
      </c>
      <c r="C533" t="s">
        <v>3204</v>
      </c>
      <c r="D533" t="s">
        <v>3205</v>
      </c>
      <c r="E533" t="s">
        <v>1102</v>
      </c>
      <c r="F533">
        <v>4</v>
      </c>
      <c r="G533">
        <v>2</v>
      </c>
      <c r="H533">
        <v>11.8321595661992</v>
      </c>
      <c r="I533" t="s">
        <v>957</v>
      </c>
      <c r="J533" t="s">
        <v>3206</v>
      </c>
      <c r="K533">
        <v>7.14285714285714E-3</v>
      </c>
      <c r="L533" t="s">
        <v>959</v>
      </c>
      <c r="M533">
        <v>0.76335877862595403</v>
      </c>
      <c r="N533" t="s">
        <v>960</v>
      </c>
      <c r="O533">
        <v>0</v>
      </c>
      <c r="P533">
        <v>0</v>
      </c>
      <c r="Q533">
        <v>0</v>
      </c>
      <c r="R533">
        <v>0</v>
      </c>
    </row>
    <row r="534" spans="1:18" ht="16" x14ac:dyDescent="0.2">
      <c r="A534" s="127" t="s">
        <v>954</v>
      </c>
      <c r="B534" t="s">
        <v>264</v>
      </c>
      <c r="C534" t="s">
        <v>1351</v>
      </c>
      <c r="D534" t="s">
        <v>1352</v>
      </c>
      <c r="E534">
        <v>8</v>
      </c>
      <c r="F534">
        <v>8</v>
      </c>
      <c r="G534">
        <v>1</v>
      </c>
      <c r="H534">
        <v>6.5627347167534502</v>
      </c>
      <c r="I534" t="s">
        <v>957</v>
      </c>
      <c r="J534" t="s">
        <v>1595</v>
      </c>
      <c r="K534">
        <v>0.1</v>
      </c>
      <c r="L534" t="s">
        <v>959</v>
      </c>
      <c r="M534">
        <v>1.5267175572519101</v>
      </c>
      <c r="N534" t="s">
        <v>960</v>
      </c>
      <c r="O534">
        <v>0</v>
      </c>
      <c r="P534">
        <v>0</v>
      </c>
      <c r="Q534">
        <v>0</v>
      </c>
      <c r="R534">
        <v>0</v>
      </c>
    </row>
    <row r="535" spans="1:18" ht="16" x14ac:dyDescent="0.2">
      <c r="A535" s="127" t="s">
        <v>954</v>
      </c>
      <c r="B535" t="s">
        <v>264</v>
      </c>
      <c r="C535" t="s">
        <v>3199</v>
      </c>
      <c r="D535" t="s">
        <v>3200</v>
      </c>
      <c r="E535">
        <v>20</v>
      </c>
      <c r="F535">
        <v>20</v>
      </c>
      <c r="G535">
        <v>1</v>
      </c>
      <c r="H535">
        <v>4.4721359549995796</v>
      </c>
      <c r="I535">
        <v>0.33</v>
      </c>
      <c r="J535" t="s">
        <v>957</v>
      </c>
      <c r="K535">
        <v>12.5</v>
      </c>
      <c r="L535" t="s">
        <v>977</v>
      </c>
      <c r="M535">
        <v>0.76335877862595403</v>
      </c>
      <c r="N535" t="s">
        <v>978</v>
      </c>
      <c r="O535">
        <v>0</v>
      </c>
      <c r="P535">
        <v>0</v>
      </c>
      <c r="Q535">
        <v>0</v>
      </c>
      <c r="R535">
        <v>0</v>
      </c>
    </row>
    <row r="536" spans="1:18" ht="16" x14ac:dyDescent="0.2">
      <c r="A536" s="127" t="s">
        <v>954</v>
      </c>
      <c r="B536" t="s">
        <v>264</v>
      </c>
      <c r="C536" t="s">
        <v>3240</v>
      </c>
      <c r="D536" t="s">
        <v>3241</v>
      </c>
      <c r="E536">
        <v>3</v>
      </c>
      <c r="F536">
        <v>3</v>
      </c>
      <c r="G536">
        <v>1</v>
      </c>
      <c r="H536">
        <v>10.320921222120401</v>
      </c>
      <c r="I536" t="s">
        <v>957</v>
      </c>
      <c r="J536" t="s">
        <v>3242</v>
      </c>
      <c r="K536">
        <v>2.8571428571428598E-2</v>
      </c>
      <c r="L536" t="s">
        <v>959</v>
      </c>
      <c r="M536">
        <v>0.76335877862595403</v>
      </c>
      <c r="N536" t="s">
        <v>2505</v>
      </c>
      <c r="O536">
        <v>0</v>
      </c>
      <c r="P536">
        <v>0</v>
      </c>
      <c r="Q536">
        <v>0</v>
      </c>
      <c r="R536">
        <v>0</v>
      </c>
    </row>
    <row r="537" spans="1:18" ht="16" x14ac:dyDescent="0.2">
      <c r="A537" s="127" t="s">
        <v>954</v>
      </c>
      <c r="B537" t="s">
        <v>264</v>
      </c>
      <c r="C537" t="s">
        <v>474</v>
      </c>
      <c r="D537" t="s">
        <v>3509</v>
      </c>
      <c r="E537" t="s">
        <v>1052</v>
      </c>
      <c r="F537">
        <v>2</v>
      </c>
      <c r="G537">
        <v>2</v>
      </c>
      <c r="H537">
        <v>11.8321595661992</v>
      </c>
      <c r="I537" t="s">
        <v>957</v>
      </c>
      <c r="J537" t="s">
        <v>3510</v>
      </c>
      <c r="K537">
        <v>7.14285714285714E-3</v>
      </c>
      <c r="L537" t="s">
        <v>959</v>
      </c>
      <c r="M537">
        <v>2.2900763358778602</v>
      </c>
      <c r="N537" t="s">
        <v>2505</v>
      </c>
      <c r="O537">
        <v>0</v>
      </c>
      <c r="P537">
        <v>0</v>
      </c>
      <c r="Q537">
        <v>0</v>
      </c>
      <c r="R537">
        <v>0</v>
      </c>
    </row>
    <row r="538" spans="1:18" ht="16" x14ac:dyDescent="0.2">
      <c r="A538" s="127" t="s">
        <v>954</v>
      </c>
      <c r="B538" t="s">
        <v>264</v>
      </c>
      <c r="C538" t="s">
        <v>1802</v>
      </c>
      <c r="D538" t="s">
        <v>1803</v>
      </c>
      <c r="E538" t="s">
        <v>1804</v>
      </c>
      <c r="F538">
        <v>7</v>
      </c>
      <c r="G538">
        <v>4</v>
      </c>
      <c r="H538">
        <v>4.8646561413464804</v>
      </c>
      <c r="I538" t="s">
        <v>957</v>
      </c>
      <c r="J538" t="s">
        <v>1805</v>
      </c>
      <c r="K538">
        <v>0.1</v>
      </c>
      <c r="L538" t="s">
        <v>959</v>
      </c>
      <c r="M538">
        <v>1.5267175572519101</v>
      </c>
      <c r="N538" t="s">
        <v>960</v>
      </c>
      <c r="O538">
        <v>0</v>
      </c>
      <c r="P538">
        <v>0</v>
      </c>
      <c r="Q538">
        <v>0</v>
      </c>
      <c r="R538">
        <v>0</v>
      </c>
    </row>
    <row r="539" spans="1:18" ht="16" x14ac:dyDescent="0.2">
      <c r="A539" s="127" t="s">
        <v>954</v>
      </c>
      <c r="B539" t="s">
        <v>264</v>
      </c>
      <c r="C539" t="s">
        <v>1345</v>
      </c>
      <c r="D539" t="s">
        <v>1346</v>
      </c>
      <c r="E539">
        <v>3</v>
      </c>
      <c r="F539">
        <v>3</v>
      </c>
      <c r="G539">
        <v>1</v>
      </c>
      <c r="H539">
        <v>9.8631957611800996</v>
      </c>
      <c r="I539" t="s">
        <v>957</v>
      </c>
      <c r="J539" t="s">
        <v>1347</v>
      </c>
      <c r="K539">
        <v>1.4285714285714299E-2</v>
      </c>
      <c r="L539" t="s">
        <v>959</v>
      </c>
      <c r="M539">
        <v>0.76335877862595403</v>
      </c>
      <c r="N539" t="s">
        <v>960</v>
      </c>
      <c r="O539">
        <v>0</v>
      </c>
      <c r="P539">
        <v>0</v>
      </c>
      <c r="Q539">
        <v>0</v>
      </c>
      <c r="R539">
        <v>0</v>
      </c>
    </row>
    <row r="540" spans="1:18" ht="16" x14ac:dyDescent="0.2">
      <c r="A540" s="127" t="s">
        <v>954</v>
      </c>
      <c r="B540" t="s">
        <v>264</v>
      </c>
      <c r="C540" t="s">
        <v>3313</v>
      </c>
      <c r="D540" t="s">
        <v>3314</v>
      </c>
      <c r="E540" t="s">
        <v>1576</v>
      </c>
      <c r="F540">
        <v>4</v>
      </c>
      <c r="G540">
        <v>3</v>
      </c>
      <c r="H540">
        <v>6.1729901921472097</v>
      </c>
      <c r="I540" t="s">
        <v>957</v>
      </c>
      <c r="J540" t="s">
        <v>3315</v>
      </c>
      <c r="K540">
        <v>0.15</v>
      </c>
      <c r="L540" t="s">
        <v>959</v>
      </c>
      <c r="M540">
        <v>0.76335877862595403</v>
      </c>
      <c r="N540" t="s">
        <v>960</v>
      </c>
      <c r="O540">
        <v>0</v>
      </c>
      <c r="P540">
        <v>0</v>
      </c>
      <c r="Q540">
        <v>0</v>
      </c>
      <c r="R540">
        <v>0</v>
      </c>
    </row>
    <row r="541" spans="1:18" ht="16" x14ac:dyDescent="0.2">
      <c r="A541" s="127" t="s">
        <v>954</v>
      </c>
      <c r="B541" t="s">
        <v>264</v>
      </c>
      <c r="C541" t="s">
        <v>2984</v>
      </c>
      <c r="D541" t="s">
        <v>2985</v>
      </c>
      <c r="E541" t="s">
        <v>1022</v>
      </c>
      <c r="F541">
        <v>3</v>
      </c>
      <c r="G541">
        <v>2</v>
      </c>
      <c r="H541">
        <v>5.9404546765403001</v>
      </c>
      <c r="I541" t="s">
        <v>957</v>
      </c>
      <c r="J541" t="s">
        <v>3268</v>
      </c>
      <c r="K541">
        <v>0.121428571428571</v>
      </c>
      <c r="L541" t="s">
        <v>959</v>
      </c>
      <c r="M541">
        <v>1.5267175572519101</v>
      </c>
      <c r="N541" t="s">
        <v>2505</v>
      </c>
      <c r="O541">
        <v>0</v>
      </c>
      <c r="P541">
        <v>0</v>
      </c>
      <c r="Q541">
        <v>0</v>
      </c>
      <c r="R541">
        <v>0</v>
      </c>
    </row>
    <row r="542" spans="1:18" ht="16" x14ac:dyDescent="0.2">
      <c r="A542" s="127" t="s">
        <v>954</v>
      </c>
      <c r="B542" t="s">
        <v>264</v>
      </c>
      <c r="C542" t="s">
        <v>3447</v>
      </c>
      <c r="D542" t="s">
        <v>3448</v>
      </c>
      <c r="E542">
        <v>3</v>
      </c>
      <c r="F542">
        <v>3</v>
      </c>
      <c r="G542">
        <v>1</v>
      </c>
      <c r="H542">
        <v>6.48148165087109</v>
      </c>
      <c r="I542" t="s">
        <v>957</v>
      </c>
      <c r="J542" t="s">
        <v>3449</v>
      </c>
      <c r="K542">
        <v>6.4285714285714293E-2</v>
      </c>
      <c r="L542" t="s">
        <v>959</v>
      </c>
      <c r="M542">
        <v>1.5267175572519101</v>
      </c>
      <c r="N542" t="s">
        <v>960</v>
      </c>
      <c r="O542">
        <v>0</v>
      </c>
      <c r="P542">
        <v>0</v>
      </c>
      <c r="Q542">
        <v>0</v>
      </c>
      <c r="R542">
        <v>0</v>
      </c>
    </row>
    <row r="543" spans="1:18" ht="16" x14ac:dyDescent="0.2">
      <c r="A543" s="127" t="s">
        <v>954</v>
      </c>
      <c r="B543" t="s">
        <v>264</v>
      </c>
      <c r="C543" t="s">
        <v>3248</v>
      </c>
      <c r="D543" t="s">
        <v>3249</v>
      </c>
      <c r="E543">
        <v>34</v>
      </c>
      <c r="F543">
        <v>34</v>
      </c>
      <c r="G543">
        <v>1</v>
      </c>
      <c r="H543">
        <v>6.7082039324993703</v>
      </c>
      <c r="I543">
        <v>0.87</v>
      </c>
      <c r="J543" t="s">
        <v>957</v>
      </c>
      <c r="K543">
        <v>43.75</v>
      </c>
      <c r="L543" t="s">
        <v>977</v>
      </c>
      <c r="M543">
        <v>0.76335877862595403</v>
      </c>
      <c r="N543" t="s">
        <v>978</v>
      </c>
      <c r="O543">
        <v>0</v>
      </c>
      <c r="P543">
        <v>0</v>
      </c>
      <c r="Q543">
        <v>0</v>
      </c>
      <c r="R543">
        <v>0</v>
      </c>
    </row>
    <row r="544" spans="1:18" ht="16" x14ac:dyDescent="0.2">
      <c r="A544" s="127" t="s">
        <v>954</v>
      </c>
      <c r="B544" t="s">
        <v>264</v>
      </c>
      <c r="C544" t="s">
        <v>1307</v>
      </c>
      <c r="D544" t="s">
        <v>1308</v>
      </c>
      <c r="E544">
        <v>22</v>
      </c>
      <c r="F544">
        <v>22</v>
      </c>
      <c r="G544">
        <v>1</v>
      </c>
      <c r="H544">
        <v>5.7445626465380304</v>
      </c>
      <c r="I544">
        <v>0.33</v>
      </c>
      <c r="J544" t="s">
        <v>957</v>
      </c>
      <c r="K544">
        <v>18.75</v>
      </c>
      <c r="L544" t="s">
        <v>977</v>
      </c>
      <c r="M544">
        <v>0.76335877862595403</v>
      </c>
      <c r="N544" t="s">
        <v>978</v>
      </c>
      <c r="O544">
        <v>0</v>
      </c>
      <c r="P544">
        <v>0</v>
      </c>
      <c r="Q544">
        <v>0</v>
      </c>
      <c r="R544">
        <v>0</v>
      </c>
    </row>
    <row r="545" spans="1:18" ht="16" x14ac:dyDescent="0.2">
      <c r="A545" s="127" t="s">
        <v>954</v>
      </c>
      <c r="B545" t="s">
        <v>195</v>
      </c>
      <c r="C545" t="s">
        <v>1885</v>
      </c>
      <c r="D545" t="s">
        <v>1886</v>
      </c>
      <c r="E545" t="s">
        <v>2857</v>
      </c>
      <c r="F545">
        <v>6</v>
      </c>
      <c r="G545">
        <v>2</v>
      </c>
      <c r="H545">
        <v>4.0854072085006097</v>
      </c>
      <c r="I545" t="s">
        <v>957</v>
      </c>
      <c r="J545" t="s">
        <v>3184</v>
      </c>
      <c r="K545">
        <v>0.17647058823529399</v>
      </c>
      <c r="L545" t="s">
        <v>1099</v>
      </c>
      <c r="M545">
        <v>2.2900763358778602</v>
      </c>
      <c r="N545" t="s">
        <v>973</v>
      </c>
      <c r="O545">
        <v>0</v>
      </c>
      <c r="P545" t="s">
        <v>5018</v>
      </c>
      <c r="Q545">
        <v>0</v>
      </c>
      <c r="R545">
        <v>0</v>
      </c>
    </row>
    <row r="546" spans="1:18" ht="16" x14ac:dyDescent="0.2">
      <c r="A546" s="127" t="s">
        <v>954</v>
      </c>
      <c r="B546" t="s">
        <v>195</v>
      </c>
      <c r="C546" t="s">
        <v>1615</v>
      </c>
      <c r="D546" t="s">
        <v>1616</v>
      </c>
      <c r="E546" t="s">
        <v>3246</v>
      </c>
      <c r="F546">
        <v>14</v>
      </c>
      <c r="G546">
        <v>2</v>
      </c>
      <c r="H546">
        <v>4.1231056256176597</v>
      </c>
      <c r="I546" t="s">
        <v>957</v>
      </c>
      <c r="J546" t="s">
        <v>3247</v>
      </c>
      <c r="K546">
        <v>5.8823529411764698E-2</v>
      </c>
      <c r="L546" t="s">
        <v>1099</v>
      </c>
      <c r="M546">
        <v>2.2900763358778602</v>
      </c>
      <c r="N546" t="s">
        <v>987</v>
      </c>
      <c r="O546">
        <v>0</v>
      </c>
      <c r="P546" t="s">
        <v>5018</v>
      </c>
      <c r="Q546">
        <v>0</v>
      </c>
      <c r="R546">
        <v>0</v>
      </c>
    </row>
    <row r="547" spans="1:18" ht="16" x14ac:dyDescent="0.2">
      <c r="A547" s="127" t="s">
        <v>954</v>
      </c>
      <c r="B547" t="s">
        <v>195</v>
      </c>
      <c r="C547" t="s">
        <v>1358</v>
      </c>
      <c r="D547" t="s">
        <v>2286</v>
      </c>
      <c r="E547" t="s">
        <v>2287</v>
      </c>
      <c r="F547">
        <v>9</v>
      </c>
      <c r="G547">
        <v>5</v>
      </c>
      <c r="H547">
        <v>5.3851648071345002</v>
      </c>
      <c r="I547" t="s">
        <v>957</v>
      </c>
      <c r="J547" t="s">
        <v>2288</v>
      </c>
      <c r="K547" t="s">
        <v>2289</v>
      </c>
      <c r="L547" t="s">
        <v>2290</v>
      </c>
      <c r="M547">
        <v>1.5267175572519101</v>
      </c>
      <c r="N547" t="s">
        <v>973</v>
      </c>
      <c r="O547">
        <v>0</v>
      </c>
      <c r="P547">
        <v>0</v>
      </c>
      <c r="Q547">
        <v>0</v>
      </c>
      <c r="R547">
        <v>0</v>
      </c>
    </row>
    <row r="548" spans="1:18" ht="16" x14ac:dyDescent="0.2">
      <c r="A548" s="127" t="s">
        <v>954</v>
      </c>
      <c r="B548" t="s">
        <v>199</v>
      </c>
      <c r="C548" t="s">
        <v>175</v>
      </c>
      <c r="D548" t="s">
        <v>2838</v>
      </c>
      <c r="E548">
        <v>2</v>
      </c>
      <c r="F548">
        <v>2</v>
      </c>
      <c r="G548">
        <v>1</v>
      </c>
      <c r="H548">
        <v>11.8321595661992</v>
      </c>
      <c r="I548" t="s">
        <v>957</v>
      </c>
      <c r="J548" t="s">
        <v>2839</v>
      </c>
      <c r="K548">
        <v>7.14285714285714E-3</v>
      </c>
      <c r="L548" t="s">
        <v>959</v>
      </c>
      <c r="M548">
        <v>0.76335877862595403</v>
      </c>
      <c r="N548" t="s">
        <v>960</v>
      </c>
      <c r="O548" t="s">
        <v>5018</v>
      </c>
      <c r="P548">
        <v>0</v>
      </c>
      <c r="Q548">
        <v>0</v>
      </c>
      <c r="R548">
        <v>0</v>
      </c>
    </row>
    <row r="549" spans="1:18" ht="16" x14ac:dyDescent="0.2">
      <c r="A549" s="127" t="s">
        <v>954</v>
      </c>
      <c r="B549" t="s">
        <v>199</v>
      </c>
      <c r="C549" t="s">
        <v>203</v>
      </c>
      <c r="D549" t="s">
        <v>3060</v>
      </c>
      <c r="E549" t="s">
        <v>1425</v>
      </c>
      <c r="F549">
        <v>8</v>
      </c>
      <c r="G549">
        <v>2</v>
      </c>
      <c r="H549">
        <v>11.791748586754601</v>
      </c>
      <c r="I549" t="s">
        <v>957</v>
      </c>
      <c r="J549" t="s">
        <v>3061</v>
      </c>
      <c r="K549">
        <v>2.1428571428571401E-2</v>
      </c>
      <c r="L549" t="s">
        <v>959</v>
      </c>
      <c r="M549">
        <v>0.76335877862595403</v>
      </c>
      <c r="N549" t="s">
        <v>960</v>
      </c>
      <c r="O549" t="s">
        <v>5018</v>
      </c>
      <c r="P549" t="s">
        <v>5018</v>
      </c>
      <c r="Q549">
        <v>0</v>
      </c>
      <c r="R549">
        <v>0</v>
      </c>
    </row>
    <row r="550" spans="1:18" ht="16" x14ac:dyDescent="0.2">
      <c r="A550" s="127" t="s">
        <v>954</v>
      </c>
      <c r="B550" t="s">
        <v>199</v>
      </c>
      <c r="C550" t="s">
        <v>207</v>
      </c>
      <c r="D550" t="s">
        <v>1572</v>
      </c>
      <c r="E550">
        <v>4</v>
      </c>
      <c r="F550">
        <v>4</v>
      </c>
      <c r="G550">
        <v>1</v>
      </c>
      <c r="H550">
        <v>6.3368432819588598</v>
      </c>
      <c r="I550" t="s">
        <v>957</v>
      </c>
      <c r="J550" t="s">
        <v>1573</v>
      </c>
      <c r="K550">
        <v>2.1428571428571401E-2</v>
      </c>
      <c r="L550" t="s">
        <v>959</v>
      </c>
      <c r="M550">
        <v>2.2900763358778602</v>
      </c>
      <c r="N550" t="s">
        <v>960</v>
      </c>
      <c r="O550" t="s">
        <v>5018</v>
      </c>
      <c r="P550">
        <v>0</v>
      </c>
      <c r="Q550">
        <v>0</v>
      </c>
      <c r="R550">
        <v>0</v>
      </c>
    </row>
    <row r="551" spans="1:18" ht="16" x14ac:dyDescent="0.2">
      <c r="A551" s="127" t="s">
        <v>954</v>
      </c>
      <c r="B551" t="s">
        <v>199</v>
      </c>
      <c r="C551" t="s">
        <v>1153</v>
      </c>
      <c r="D551" t="s">
        <v>1154</v>
      </c>
      <c r="E551" t="s">
        <v>1022</v>
      </c>
      <c r="F551">
        <v>3</v>
      </c>
      <c r="G551">
        <v>2</v>
      </c>
      <c r="H551">
        <v>7.4294866571568399</v>
      </c>
      <c r="I551" t="s">
        <v>957</v>
      </c>
      <c r="J551" t="s">
        <v>1155</v>
      </c>
      <c r="K551">
        <v>2.8571428571428598E-2</v>
      </c>
      <c r="L551" t="s">
        <v>959</v>
      </c>
      <c r="M551">
        <v>2.2900763358778602</v>
      </c>
      <c r="N551" t="s">
        <v>960</v>
      </c>
      <c r="O551" t="s">
        <v>5018</v>
      </c>
      <c r="P551">
        <v>0</v>
      </c>
      <c r="Q551">
        <v>0</v>
      </c>
      <c r="R551">
        <v>0</v>
      </c>
    </row>
    <row r="552" spans="1:18" ht="16" x14ac:dyDescent="0.2">
      <c r="A552" s="127" t="s">
        <v>954</v>
      </c>
      <c r="B552" t="s">
        <v>199</v>
      </c>
      <c r="C552" t="s">
        <v>3484</v>
      </c>
      <c r="D552" t="s">
        <v>3485</v>
      </c>
      <c r="E552" t="s">
        <v>3486</v>
      </c>
      <c r="F552">
        <v>13</v>
      </c>
      <c r="G552">
        <v>3</v>
      </c>
      <c r="H552">
        <v>11.8321595661993</v>
      </c>
      <c r="I552" t="s">
        <v>957</v>
      </c>
      <c r="J552" t="s">
        <v>3487</v>
      </c>
      <c r="K552">
        <v>7.14285714285714E-3</v>
      </c>
      <c r="L552" t="s">
        <v>959</v>
      </c>
      <c r="M552">
        <v>0.76335877862595403</v>
      </c>
      <c r="N552" t="s">
        <v>960</v>
      </c>
      <c r="O552" t="s">
        <v>5018</v>
      </c>
      <c r="P552">
        <v>0</v>
      </c>
      <c r="Q552">
        <v>0</v>
      </c>
      <c r="R552">
        <v>0</v>
      </c>
    </row>
    <row r="553" spans="1:18" ht="16" x14ac:dyDescent="0.2">
      <c r="A553" s="127" t="s">
        <v>954</v>
      </c>
      <c r="B553" t="s">
        <v>199</v>
      </c>
      <c r="C553" t="s">
        <v>3019</v>
      </c>
      <c r="D553" t="s">
        <v>3020</v>
      </c>
      <c r="E553" t="s">
        <v>3021</v>
      </c>
      <c r="F553">
        <v>26</v>
      </c>
      <c r="G553">
        <v>3</v>
      </c>
      <c r="H553">
        <v>10.932845637233999</v>
      </c>
      <c r="I553" t="s">
        <v>957</v>
      </c>
      <c r="J553" t="s">
        <v>3022</v>
      </c>
      <c r="K553">
        <v>2.1428571428571401E-2</v>
      </c>
      <c r="L553" t="s">
        <v>959</v>
      </c>
      <c r="M553">
        <v>0.76335877862595403</v>
      </c>
      <c r="N553" t="s">
        <v>960</v>
      </c>
      <c r="O553" t="s">
        <v>5018</v>
      </c>
      <c r="P553" t="s">
        <v>5018</v>
      </c>
      <c r="Q553">
        <v>0</v>
      </c>
      <c r="R553">
        <v>0</v>
      </c>
    </row>
    <row r="554" spans="1:18" ht="16" x14ac:dyDescent="0.2">
      <c r="A554" s="127" t="s">
        <v>954</v>
      </c>
      <c r="B554" t="s">
        <v>199</v>
      </c>
      <c r="C554" t="s">
        <v>2169</v>
      </c>
      <c r="D554" t="s">
        <v>2170</v>
      </c>
      <c r="E554" t="s">
        <v>2171</v>
      </c>
      <c r="F554">
        <v>14</v>
      </c>
      <c r="G554">
        <v>2</v>
      </c>
      <c r="H554">
        <v>11.3534489894452</v>
      </c>
      <c r="I554" t="s">
        <v>957</v>
      </c>
      <c r="J554" t="s">
        <v>2172</v>
      </c>
      <c r="K554">
        <v>1.4285714285714299E-2</v>
      </c>
      <c r="L554" t="s">
        <v>959</v>
      </c>
      <c r="M554">
        <v>0.76335877862595403</v>
      </c>
      <c r="N554" t="s">
        <v>960</v>
      </c>
      <c r="O554" t="s">
        <v>5018</v>
      </c>
      <c r="P554" t="s">
        <v>5018</v>
      </c>
      <c r="Q554">
        <v>0</v>
      </c>
      <c r="R554">
        <v>0</v>
      </c>
    </row>
    <row r="555" spans="1:18" ht="16" x14ac:dyDescent="0.2">
      <c r="A555" s="127" t="s">
        <v>954</v>
      </c>
      <c r="B555" t="s">
        <v>199</v>
      </c>
      <c r="C555" t="s">
        <v>1061</v>
      </c>
      <c r="E555">
        <v>3</v>
      </c>
      <c r="F555">
        <v>3</v>
      </c>
      <c r="G555">
        <v>1</v>
      </c>
      <c r="H555">
        <v>10.5648367339695</v>
      </c>
      <c r="I555" t="s">
        <v>957</v>
      </c>
      <c r="J555" t="s">
        <v>1062</v>
      </c>
      <c r="K555">
        <v>2.1428571428571401E-2</v>
      </c>
      <c r="L555" t="s">
        <v>959</v>
      </c>
      <c r="M555">
        <v>0.76335877862595403</v>
      </c>
      <c r="N555" t="s">
        <v>960</v>
      </c>
      <c r="O555" t="s">
        <v>5018</v>
      </c>
      <c r="P555">
        <v>0</v>
      </c>
      <c r="Q555">
        <v>0</v>
      </c>
      <c r="R555">
        <v>0</v>
      </c>
    </row>
    <row r="556" spans="1:18" ht="16" x14ac:dyDescent="0.2">
      <c r="A556" s="127" t="s">
        <v>954</v>
      </c>
      <c r="B556" t="s">
        <v>199</v>
      </c>
      <c r="C556" t="s">
        <v>2129</v>
      </c>
      <c r="E556">
        <v>6</v>
      </c>
      <c r="F556">
        <v>6</v>
      </c>
      <c r="G556">
        <v>1</v>
      </c>
      <c r="H556">
        <v>10.860676106093999</v>
      </c>
      <c r="I556" t="s">
        <v>957</v>
      </c>
      <c r="J556" t="s">
        <v>2130</v>
      </c>
      <c r="K556">
        <v>2.8571428571428598E-2</v>
      </c>
      <c r="L556" t="s">
        <v>959</v>
      </c>
      <c r="M556">
        <v>0.76335877862595403</v>
      </c>
      <c r="N556" t="s">
        <v>960</v>
      </c>
      <c r="O556" t="s">
        <v>5018</v>
      </c>
      <c r="P556">
        <v>0</v>
      </c>
      <c r="Q556">
        <v>0</v>
      </c>
      <c r="R556">
        <v>0</v>
      </c>
    </row>
    <row r="557" spans="1:18" ht="16" x14ac:dyDescent="0.2">
      <c r="A557" s="127" t="s">
        <v>954</v>
      </c>
      <c r="B557" t="s">
        <v>199</v>
      </c>
      <c r="C557" t="s">
        <v>2955</v>
      </c>
      <c r="D557" t="s">
        <v>2956</v>
      </c>
      <c r="E557" t="s">
        <v>3623</v>
      </c>
      <c r="F557">
        <v>31</v>
      </c>
      <c r="G557">
        <v>3</v>
      </c>
      <c r="H557">
        <v>8.9297806942872793</v>
      </c>
      <c r="I557" t="s">
        <v>957</v>
      </c>
      <c r="J557" t="s">
        <v>3624</v>
      </c>
      <c r="K557">
        <v>2.1428571428571401E-2</v>
      </c>
      <c r="L557" t="s">
        <v>959</v>
      </c>
      <c r="M557">
        <v>1.5267175572519101</v>
      </c>
      <c r="N557" t="s">
        <v>960</v>
      </c>
      <c r="O557" t="s">
        <v>5018</v>
      </c>
      <c r="P557" t="s">
        <v>5018</v>
      </c>
      <c r="Q557">
        <v>0</v>
      </c>
      <c r="R557">
        <v>0</v>
      </c>
    </row>
    <row r="558" spans="1:18" ht="16" x14ac:dyDescent="0.2">
      <c r="A558" s="127" t="s">
        <v>954</v>
      </c>
      <c r="B558" t="s">
        <v>199</v>
      </c>
      <c r="C558" t="s">
        <v>1767</v>
      </c>
      <c r="D558" t="s">
        <v>1768</v>
      </c>
      <c r="E558" t="s">
        <v>3605</v>
      </c>
      <c r="F558">
        <v>29</v>
      </c>
      <c r="G558">
        <v>3</v>
      </c>
      <c r="H558">
        <v>9.5211807249565403</v>
      </c>
      <c r="I558" t="s">
        <v>957</v>
      </c>
      <c r="J558" t="s">
        <v>3606</v>
      </c>
      <c r="K558">
        <v>2.1428571428571401E-2</v>
      </c>
      <c r="L558" t="s">
        <v>959</v>
      </c>
      <c r="M558">
        <v>1.5267175572519101</v>
      </c>
      <c r="N558" t="s">
        <v>960</v>
      </c>
      <c r="O558" t="s">
        <v>5018</v>
      </c>
      <c r="P558">
        <v>0</v>
      </c>
      <c r="Q558">
        <v>0</v>
      </c>
      <c r="R558">
        <v>0</v>
      </c>
    </row>
    <row r="559" spans="1:18" ht="16" x14ac:dyDescent="0.2">
      <c r="A559" s="127" t="s">
        <v>954</v>
      </c>
      <c r="B559" t="s">
        <v>199</v>
      </c>
      <c r="C559" t="s">
        <v>2713</v>
      </c>
      <c r="D559" t="s">
        <v>2714</v>
      </c>
      <c r="E559" t="s">
        <v>1442</v>
      </c>
      <c r="F559">
        <v>5</v>
      </c>
      <c r="G559">
        <v>2</v>
      </c>
      <c r="H559">
        <v>10.235622226330401</v>
      </c>
      <c r="I559" t="s">
        <v>957</v>
      </c>
      <c r="J559" t="s">
        <v>2715</v>
      </c>
      <c r="K559">
        <v>3.5714285714285698E-2</v>
      </c>
      <c r="L559" t="s">
        <v>959</v>
      </c>
      <c r="M559">
        <v>0.76335877862595403</v>
      </c>
      <c r="N559" t="s">
        <v>960</v>
      </c>
      <c r="O559" t="s">
        <v>5018</v>
      </c>
      <c r="P559">
        <v>0</v>
      </c>
      <c r="Q559">
        <v>0</v>
      </c>
      <c r="R559">
        <v>0</v>
      </c>
    </row>
    <row r="560" spans="1:18" ht="16" x14ac:dyDescent="0.2">
      <c r="A560" s="127" t="s">
        <v>954</v>
      </c>
      <c r="B560" t="s">
        <v>199</v>
      </c>
      <c r="C560" t="s">
        <v>2313</v>
      </c>
      <c r="D560" t="s">
        <v>2314</v>
      </c>
      <c r="E560" t="s">
        <v>1230</v>
      </c>
      <c r="F560">
        <v>4</v>
      </c>
      <c r="G560">
        <v>2</v>
      </c>
      <c r="H560">
        <v>5.1840616881384696</v>
      </c>
      <c r="I560" t="s">
        <v>957</v>
      </c>
      <c r="J560" t="s">
        <v>2687</v>
      </c>
      <c r="K560">
        <v>0.128571428571429</v>
      </c>
      <c r="L560" t="s">
        <v>959</v>
      </c>
      <c r="M560">
        <v>1.5267175572519101</v>
      </c>
      <c r="N560" t="s">
        <v>960</v>
      </c>
      <c r="O560" t="s">
        <v>5018</v>
      </c>
      <c r="P560">
        <v>0</v>
      </c>
      <c r="Q560">
        <v>0</v>
      </c>
      <c r="R560">
        <v>0</v>
      </c>
    </row>
    <row r="561" spans="1:18" ht="16" x14ac:dyDescent="0.2">
      <c r="A561" s="127" t="s">
        <v>954</v>
      </c>
      <c r="B561" t="s">
        <v>199</v>
      </c>
      <c r="C561" t="s">
        <v>1728</v>
      </c>
      <c r="D561" t="s">
        <v>1729</v>
      </c>
      <c r="E561">
        <v>3</v>
      </c>
      <c r="F561">
        <v>3</v>
      </c>
      <c r="G561">
        <v>1</v>
      </c>
      <c r="H561">
        <v>5.0863364763886398</v>
      </c>
      <c r="I561" t="s">
        <v>957</v>
      </c>
      <c r="J561" t="s">
        <v>2516</v>
      </c>
      <c r="K561">
        <v>0.107142857142857</v>
      </c>
      <c r="L561" t="s">
        <v>959</v>
      </c>
      <c r="M561">
        <v>1.5267175572519101</v>
      </c>
      <c r="N561" t="s">
        <v>960</v>
      </c>
      <c r="O561" t="s">
        <v>5018</v>
      </c>
      <c r="P561">
        <v>0</v>
      </c>
      <c r="Q561">
        <v>0</v>
      </c>
      <c r="R561">
        <v>0</v>
      </c>
    </row>
    <row r="562" spans="1:18" ht="16" x14ac:dyDescent="0.2">
      <c r="A562" s="127" t="s">
        <v>954</v>
      </c>
      <c r="B562" t="s">
        <v>199</v>
      </c>
      <c r="C562" t="s">
        <v>1298</v>
      </c>
      <c r="D562" t="s">
        <v>1299</v>
      </c>
      <c r="E562">
        <v>3</v>
      </c>
      <c r="F562">
        <v>3</v>
      </c>
      <c r="G562">
        <v>1</v>
      </c>
      <c r="H562">
        <v>7.4294866571568399</v>
      </c>
      <c r="I562" t="s">
        <v>957</v>
      </c>
      <c r="J562" t="s">
        <v>2872</v>
      </c>
      <c r="K562">
        <v>2.8571428571428598E-2</v>
      </c>
      <c r="L562" t="s">
        <v>959</v>
      </c>
      <c r="M562">
        <v>1.5267175572519101</v>
      </c>
      <c r="N562" t="s">
        <v>960</v>
      </c>
      <c r="O562" t="s">
        <v>5018</v>
      </c>
      <c r="P562">
        <v>0</v>
      </c>
      <c r="Q562">
        <v>0</v>
      </c>
      <c r="R562">
        <v>0</v>
      </c>
    </row>
    <row r="563" spans="1:18" ht="16" x14ac:dyDescent="0.2">
      <c r="A563" s="127" t="s">
        <v>954</v>
      </c>
      <c r="B563" t="s">
        <v>199</v>
      </c>
      <c r="C563" t="s">
        <v>2471</v>
      </c>
      <c r="D563" t="s">
        <v>2472</v>
      </c>
      <c r="E563">
        <v>3</v>
      </c>
      <c r="F563">
        <v>3</v>
      </c>
      <c r="G563">
        <v>1</v>
      </c>
      <c r="H563">
        <v>11.8321595661992</v>
      </c>
      <c r="I563" t="s">
        <v>957</v>
      </c>
      <c r="J563" t="s">
        <v>2473</v>
      </c>
      <c r="K563">
        <v>7.14285714285714E-3</v>
      </c>
      <c r="L563" t="s">
        <v>959</v>
      </c>
      <c r="M563">
        <v>0.76335877862595403</v>
      </c>
      <c r="N563" t="s">
        <v>960</v>
      </c>
      <c r="O563" t="s">
        <v>5018</v>
      </c>
      <c r="P563">
        <v>0</v>
      </c>
      <c r="Q563">
        <v>0</v>
      </c>
      <c r="R563">
        <v>0</v>
      </c>
    </row>
    <row r="564" spans="1:18" ht="16" x14ac:dyDescent="0.2">
      <c r="A564" s="127" t="s">
        <v>954</v>
      </c>
      <c r="B564" t="s">
        <v>203</v>
      </c>
      <c r="C564" t="s">
        <v>2955</v>
      </c>
      <c r="D564" t="s">
        <v>2956</v>
      </c>
      <c r="E564" t="s">
        <v>2957</v>
      </c>
      <c r="F564">
        <v>32</v>
      </c>
      <c r="G564">
        <v>3</v>
      </c>
      <c r="H564">
        <v>7.7487043624967997</v>
      </c>
      <c r="I564" t="s">
        <v>957</v>
      </c>
      <c r="J564" t="s">
        <v>2958</v>
      </c>
      <c r="K564">
        <v>2.1428571428571401E-2</v>
      </c>
      <c r="L564" t="s">
        <v>959</v>
      </c>
      <c r="M564">
        <v>1.5267175572519101</v>
      </c>
      <c r="N564" t="s">
        <v>960</v>
      </c>
      <c r="O564" t="s">
        <v>5018</v>
      </c>
      <c r="P564" t="s">
        <v>5018</v>
      </c>
      <c r="Q564">
        <v>0</v>
      </c>
      <c r="R564">
        <v>0</v>
      </c>
    </row>
    <row r="565" spans="1:18" ht="16" x14ac:dyDescent="0.2">
      <c r="A565" s="127" t="s">
        <v>954</v>
      </c>
      <c r="B565" t="s">
        <v>203</v>
      </c>
      <c r="C565" t="s">
        <v>1767</v>
      </c>
      <c r="D565" t="s">
        <v>1768</v>
      </c>
      <c r="E565" t="s">
        <v>1769</v>
      </c>
      <c r="F565">
        <v>16</v>
      </c>
      <c r="G565">
        <v>3</v>
      </c>
      <c r="H565">
        <v>5.7746806172073697</v>
      </c>
      <c r="I565" t="s">
        <v>957</v>
      </c>
      <c r="J565" t="s">
        <v>1770</v>
      </c>
      <c r="K565">
        <v>2.1428571428571401E-2</v>
      </c>
      <c r="L565" t="s">
        <v>959</v>
      </c>
      <c r="M565">
        <v>1.5267175572519101</v>
      </c>
      <c r="N565" t="s">
        <v>960</v>
      </c>
      <c r="O565" t="s">
        <v>5018</v>
      </c>
      <c r="P565">
        <v>0</v>
      </c>
      <c r="Q565">
        <v>0</v>
      </c>
      <c r="R565">
        <v>0</v>
      </c>
    </row>
    <row r="566" spans="1:18" ht="16" x14ac:dyDescent="0.2">
      <c r="A566" s="127" t="s">
        <v>954</v>
      </c>
      <c r="B566" t="s">
        <v>203</v>
      </c>
      <c r="C566" t="s">
        <v>1118</v>
      </c>
      <c r="D566" t="s">
        <v>1119</v>
      </c>
      <c r="E566">
        <v>3</v>
      </c>
      <c r="F566">
        <v>3</v>
      </c>
      <c r="G566">
        <v>1</v>
      </c>
      <c r="H566">
        <v>7.8653118964909696</v>
      </c>
      <c r="I566" t="s">
        <v>957</v>
      </c>
      <c r="J566" t="s">
        <v>2595</v>
      </c>
      <c r="K566">
        <v>0.05</v>
      </c>
      <c r="L566" t="s">
        <v>959</v>
      </c>
      <c r="M566">
        <v>1.5267175572519101</v>
      </c>
      <c r="N566" t="s">
        <v>960</v>
      </c>
      <c r="O566" t="s">
        <v>5018</v>
      </c>
      <c r="P566">
        <v>0</v>
      </c>
      <c r="Q566">
        <v>0</v>
      </c>
      <c r="R566">
        <v>0</v>
      </c>
    </row>
    <row r="567" spans="1:18" ht="16" x14ac:dyDescent="0.2">
      <c r="A567" s="127" t="s">
        <v>954</v>
      </c>
      <c r="B567" t="s">
        <v>203</v>
      </c>
      <c r="C567" t="s">
        <v>2328</v>
      </c>
      <c r="D567" t="s">
        <v>2329</v>
      </c>
      <c r="E567" t="s">
        <v>1052</v>
      </c>
      <c r="F567">
        <v>2</v>
      </c>
      <c r="G567">
        <v>2</v>
      </c>
      <c r="H567">
        <v>10.605878528655399</v>
      </c>
      <c r="I567" t="s">
        <v>957</v>
      </c>
      <c r="J567" t="s">
        <v>2330</v>
      </c>
      <c r="K567">
        <v>1.4285714285714299E-2</v>
      </c>
      <c r="L567" t="s">
        <v>959</v>
      </c>
      <c r="M567">
        <v>0.76335877862595403</v>
      </c>
      <c r="N567" t="s">
        <v>960</v>
      </c>
      <c r="O567" t="s">
        <v>5018</v>
      </c>
      <c r="P567">
        <v>0</v>
      </c>
      <c r="Q567">
        <v>0</v>
      </c>
      <c r="R567">
        <v>0</v>
      </c>
    </row>
    <row r="568" spans="1:18" ht="16" x14ac:dyDescent="0.2">
      <c r="A568" s="127" t="s">
        <v>954</v>
      </c>
      <c r="B568" t="s">
        <v>207</v>
      </c>
      <c r="C568" t="s">
        <v>1818</v>
      </c>
      <c r="D568" t="s">
        <v>1819</v>
      </c>
      <c r="E568">
        <v>6</v>
      </c>
      <c r="F568">
        <v>6</v>
      </c>
      <c r="G568">
        <v>1</v>
      </c>
      <c r="H568">
        <v>5.91191160995771</v>
      </c>
      <c r="I568" t="s">
        <v>957</v>
      </c>
      <c r="J568" t="s">
        <v>1821</v>
      </c>
      <c r="K568">
        <v>2.1428571428571401E-2</v>
      </c>
      <c r="L568" t="s">
        <v>959</v>
      </c>
      <c r="M568">
        <v>1.5267175572519101</v>
      </c>
      <c r="N568" t="s">
        <v>987</v>
      </c>
      <c r="O568">
        <v>0</v>
      </c>
      <c r="P568">
        <v>0</v>
      </c>
      <c r="Q568">
        <v>0</v>
      </c>
      <c r="R568">
        <v>0</v>
      </c>
    </row>
    <row r="569" spans="1:18" ht="16" x14ac:dyDescent="0.2">
      <c r="A569" s="127" t="s">
        <v>954</v>
      </c>
      <c r="B569" t="s">
        <v>207</v>
      </c>
      <c r="C569" t="s">
        <v>1193</v>
      </c>
      <c r="D569" t="s">
        <v>1194</v>
      </c>
      <c r="E569" t="s">
        <v>1195</v>
      </c>
      <c r="F569">
        <v>41</v>
      </c>
      <c r="G569">
        <v>4</v>
      </c>
      <c r="H569">
        <v>10.1274172822504</v>
      </c>
      <c r="I569" t="s">
        <v>957</v>
      </c>
      <c r="J569" t="s">
        <v>1196</v>
      </c>
      <c r="K569">
        <v>1.4285714285714299E-2</v>
      </c>
      <c r="L569" t="s">
        <v>959</v>
      </c>
      <c r="M569">
        <v>1.5267175572519101</v>
      </c>
      <c r="N569" t="s">
        <v>987</v>
      </c>
      <c r="O569">
        <v>0</v>
      </c>
      <c r="P569">
        <v>0</v>
      </c>
      <c r="Q569">
        <v>0</v>
      </c>
      <c r="R569">
        <v>0</v>
      </c>
    </row>
    <row r="570" spans="1:18" ht="16" x14ac:dyDescent="0.2">
      <c r="A570" s="127" t="s">
        <v>954</v>
      </c>
      <c r="B570" t="s">
        <v>207</v>
      </c>
      <c r="C570" t="s">
        <v>2430</v>
      </c>
      <c r="D570" t="s">
        <v>2431</v>
      </c>
      <c r="E570">
        <v>4</v>
      </c>
      <c r="F570">
        <v>4</v>
      </c>
      <c r="G570">
        <v>1</v>
      </c>
      <c r="H570">
        <v>8.4251291996813507</v>
      </c>
      <c r="I570" t="s">
        <v>957</v>
      </c>
      <c r="J570" t="s">
        <v>2432</v>
      </c>
      <c r="K570">
        <v>6.4285714285714293E-2</v>
      </c>
      <c r="L570" t="s">
        <v>959</v>
      </c>
      <c r="M570">
        <v>0.76335877862595403</v>
      </c>
      <c r="N570" t="s">
        <v>960</v>
      </c>
      <c r="O570">
        <v>0</v>
      </c>
      <c r="P570">
        <v>0</v>
      </c>
      <c r="Q570">
        <v>0</v>
      </c>
      <c r="R570">
        <v>0</v>
      </c>
    </row>
    <row r="571" spans="1:18" ht="16" x14ac:dyDescent="0.2">
      <c r="A571" s="127" t="s">
        <v>954</v>
      </c>
      <c r="B571" t="s">
        <v>207</v>
      </c>
      <c r="C571" t="s">
        <v>2485</v>
      </c>
      <c r="D571" t="s">
        <v>2486</v>
      </c>
      <c r="E571">
        <v>6</v>
      </c>
      <c r="F571">
        <v>6</v>
      </c>
      <c r="G571">
        <v>1</v>
      </c>
      <c r="H571">
        <v>6.3501167403101304</v>
      </c>
      <c r="I571" t="s">
        <v>957</v>
      </c>
      <c r="J571" t="s">
        <v>2487</v>
      </c>
      <c r="K571">
        <v>7.8571428571428598E-2</v>
      </c>
      <c r="L571" t="s">
        <v>959</v>
      </c>
      <c r="M571">
        <v>1.5267175572519101</v>
      </c>
      <c r="N571" t="s">
        <v>960</v>
      </c>
      <c r="O571">
        <v>0</v>
      </c>
      <c r="P571">
        <v>0</v>
      </c>
      <c r="Q571">
        <v>0</v>
      </c>
      <c r="R571">
        <v>0</v>
      </c>
    </row>
    <row r="572" spans="1:18" ht="16" x14ac:dyDescent="0.2">
      <c r="A572" s="127" t="s">
        <v>954</v>
      </c>
      <c r="B572" t="s">
        <v>268</v>
      </c>
      <c r="C572" t="s">
        <v>2637</v>
      </c>
      <c r="D572" t="s">
        <v>2638</v>
      </c>
      <c r="E572">
        <v>5</v>
      </c>
      <c r="F572">
        <v>5</v>
      </c>
      <c r="G572">
        <v>1</v>
      </c>
      <c r="H572">
        <v>11.6175821091428</v>
      </c>
      <c r="I572" t="s">
        <v>957</v>
      </c>
      <c r="J572" t="s">
        <v>2928</v>
      </c>
      <c r="K572">
        <v>1.4285714285714299E-2</v>
      </c>
      <c r="L572" t="s">
        <v>959</v>
      </c>
      <c r="M572">
        <v>1.5267175572519101</v>
      </c>
      <c r="N572" t="s">
        <v>960</v>
      </c>
      <c r="O572">
        <v>0</v>
      </c>
      <c r="P572">
        <v>0</v>
      </c>
      <c r="Q572">
        <v>0</v>
      </c>
      <c r="R572">
        <v>0</v>
      </c>
    </row>
    <row r="573" spans="1:18" ht="16" x14ac:dyDescent="0.2">
      <c r="A573" s="127" t="s">
        <v>954</v>
      </c>
      <c r="B573" t="s">
        <v>268</v>
      </c>
      <c r="C573" t="s">
        <v>3394</v>
      </c>
      <c r="D573" t="s">
        <v>3395</v>
      </c>
      <c r="E573">
        <v>5</v>
      </c>
      <c r="F573">
        <v>5</v>
      </c>
      <c r="G573">
        <v>1</v>
      </c>
      <c r="H573">
        <v>11.0087405655428</v>
      </c>
      <c r="I573" t="s">
        <v>957</v>
      </c>
      <c r="J573" t="s">
        <v>3492</v>
      </c>
      <c r="K573">
        <v>1.4285714285714299E-2</v>
      </c>
      <c r="L573" t="s">
        <v>959</v>
      </c>
      <c r="M573">
        <v>1.5267175572519101</v>
      </c>
      <c r="N573" t="s">
        <v>960</v>
      </c>
      <c r="O573">
        <v>0</v>
      </c>
      <c r="P573">
        <v>0</v>
      </c>
      <c r="Q573">
        <v>0</v>
      </c>
      <c r="R573">
        <v>0</v>
      </c>
    </row>
    <row r="574" spans="1:18" ht="16" x14ac:dyDescent="0.2">
      <c r="A574" s="127" t="s">
        <v>954</v>
      </c>
      <c r="B574" t="s">
        <v>268</v>
      </c>
      <c r="C574" t="s">
        <v>1558</v>
      </c>
      <c r="D574" t="s">
        <v>1559</v>
      </c>
      <c r="E574">
        <v>4</v>
      </c>
      <c r="F574">
        <v>4</v>
      </c>
      <c r="G574">
        <v>1</v>
      </c>
      <c r="H574">
        <v>6.3046482382509499</v>
      </c>
      <c r="I574" t="s">
        <v>957</v>
      </c>
      <c r="J574" t="s">
        <v>1560</v>
      </c>
      <c r="K574">
        <v>2.1428571428571401E-2</v>
      </c>
      <c r="L574" t="s">
        <v>959</v>
      </c>
      <c r="M574">
        <v>1.5267175572519101</v>
      </c>
      <c r="N574" t="s">
        <v>960</v>
      </c>
      <c r="O574">
        <v>0</v>
      </c>
      <c r="P574">
        <v>0</v>
      </c>
      <c r="Q574">
        <v>0</v>
      </c>
      <c r="R574">
        <v>0</v>
      </c>
    </row>
    <row r="575" spans="1:18" ht="16" x14ac:dyDescent="0.2">
      <c r="A575" s="127" t="s">
        <v>954</v>
      </c>
      <c r="B575" t="s">
        <v>272</v>
      </c>
      <c r="C575" t="s">
        <v>362</v>
      </c>
      <c r="D575" t="s">
        <v>3195</v>
      </c>
      <c r="E575">
        <v>3</v>
      </c>
      <c r="F575">
        <v>3</v>
      </c>
      <c r="G575">
        <v>1</v>
      </c>
      <c r="H575">
        <v>11.8321595661992</v>
      </c>
      <c r="I575" t="s">
        <v>957</v>
      </c>
      <c r="J575" t="s">
        <v>3196</v>
      </c>
      <c r="K575">
        <v>7.14285714285714E-3</v>
      </c>
      <c r="L575" t="s">
        <v>959</v>
      </c>
      <c r="M575">
        <v>0.76335877862595403</v>
      </c>
      <c r="N575" t="s">
        <v>960</v>
      </c>
      <c r="O575">
        <v>0</v>
      </c>
      <c r="P575">
        <v>0</v>
      </c>
      <c r="Q575">
        <v>0</v>
      </c>
      <c r="R575">
        <v>0</v>
      </c>
    </row>
    <row r="576" spans="1:18" ht="16" x14ac:dyDescent="0.2">
      <c r="A576" s="127" t="s">
        <v>954</v>
      </c>
      <c r="B576" t="s">
        <v>272</v>
      </c>
      <c r="C576" t="s">
        <v>1121</v>
      </c>
      <c r="D576" t="s">
        <v>1122</v>
      </c>
      <c r="E576">
        <v>10</v>
      </c>
      <c r="F576">
        <v>10</v>
      </c>
      <c r="G576">
        <v>1</v>
      </c>
      <c r="H576">
        <v>9.6410258502395205</v>
      </c>
      <c r="I576" t="s">
        <v>957</v>
      </c>
      <c r="J576" t="s">
        <v>1123</v>
      </c>
      <c r="K576">
        <v>2.1428571428571401E-2</v>
      </c>
      <c r="L576" t="s">
        <v>959</v>
      </c>
      <c r="M576">
        <v>1.5267175572519101</v>
      </c>
      <c r="N576" t="s">
        <v>960</v>
      </c>
      <c r="O576">
        <v>0</v>
      </c>
      <c r="P576">
        <v>0</v>
      </c>
      <c r="Q576">
        <v>0</v>
      </c>
      <c r="R576">
        <v>0</v>
      </c>
    </row>
    <row r="577" spans="1:18" ht="16" x14ac:dyDescent="0.2">
      <c r="A577" s="127" t="s">
        <v>954</v>
      </c>
      <c r="B577" t="s">
        <v>272</v>
      </c>
      <c r="C577" t="s">
        <v>2045</v>
      </c>
      <c r="D577" t="s">
        <v>2046</v>
      </c>
      <c r="E577">
        <v>3</v>
      </c>
      <c r="F577">
        <v>3</v>
      </c>
      <c r="G577">
        <v>1</v>
      </c>
      <c r="H577">
        <v>6.7642333860905204</v>
      </c>
      <c r="I577" t="s">
        <v>957</v>
      </c>
      <c r="J577" t="s">
        <v>2047</v>
      </c>
      <c r="K577">
        <v>4.2857142857142899E-2</v>
      </c>
      <c r="L577" t="s">
        <v>959</v>
      </c>
      <c r="M577">
        <v>1.5267175572519101</v>
      </c>
      <c r="N577" t="s">
        <v>960</v>
      </c>
      <c r="O577">
        <v>0</v>
      </c>
      <c r="P577">
        <v>0</v>
      </c>
      <c r="Q577">
        <v>0</v>
      </c>
      <c r="R577">
        <v>0</v>
      </c>
    </row>
    <row r="578" spans="1:18" ht="16" x14ac:dyDescent="0.2">
      <c r="A578" s="127" t="s">
        <v>954</v>
      </c>
      <c r="B578" t="s">
        <v>277</v>
      </c>
      <c r="C578" t="s">
        <v>1121</v>
      </c>
      <c r="D578" t="s">
        <v>1122</v>
      </c>
      <c r="E578" t="s">
        <v>1074</v>
      </c>
      <c r="F578">
        <v>6</v>
      </c>
      <c r="G578">
        <v>2</v>
      </c>
      <c r="H578">
        <v>5.7287255052147898</v>
      </c>
      <c r="I578" t="s">
        <v>957</v>
      </c>
      <c r="J578" t="s">
        <v>1707</v>
      </c>
      <c r="K578">
        <v>2.1428571428571401E-2</v>
      </c>
      <c r="L578" t="s">
        <v>959</v>
      </c>
      <c r="M578">
        <v>1.5267175572519101</v>
      </c>
      <c r="N578" t="s">
        <v>960</v>
      </c>
      <c r="O578">
        <v>0</v>
      </c>
      <c r="P578">
        <v>0</v>
      </c>
      <c r="Q578">
        <v>0</v>
      </c>
      <c r="R578">
        <v>0</v>
      </c>
    </row>
    <row r="579" spans="1:18" ht="16" x14ac:dyDescent="0.2">
      <c r="A579" s="127" t="s">
        <v>954</v>
      </c>
      <c r="B579" t="s">
        <v>277</v>
      </c>
      <c r="C579" t="s">
        <v>3129</v>
      </c>
      <c r="D579" t="s">
        <v>3130</v>
      </c>
      <c r="E579">
        <v>4</v>
      </c>
      <c r="F579">
        <v>4</v>
      </c>
      <c r="G579">
        <v>1</v>
      </c>
      <c r="H579">
        <v>6.9993092401574</v>
      </c>
      <c r="I579" t="s">
        <v>957</v>
      </c>
      <c r="J579" t="s">
        <v>3366</v>
      </c>
      <c r="K579">
        <v>5.7142857142857099E-2</v>
      </c>
      <c r="L579" t="s">
        <v>959</v>
      </c>
      <c r="M579">
        <v>1.5267175572519101</v>
      </c>
      <c r="N579" t="s">
        <v>960</v>
      </c>
      <c r="O579">
        <v>0</v>
      </c>
      <c r="P579">
        <v>0</v>
      </c>
      <c r="Q579">
        <v>0</v>
      </c>
      <c r="R579">
        <v>0</v>
      </c>
    </row>
    <row r="580" spans="1:18" ht="16" x14ac:dyDescent="0.2">
      <c r="A580" s="127" t="s">
        <v>954</v>
      </c>
      <c r="B580" t="s">
        <v>285</v>
      </c>
      <c r="C580" t="s">
        <v>979</v>
      </c>
      <c r="D580" t="s">
        <v>980</v>
      </c>
      <c r="E580">
        <v>3</v>
      </c>
      <c r="F580">
        <v>3</v>
      </c>
      <c r="G580">
        <v>1</v>
      </c>
      <c r="H580">
        <v>5.0367309321099398</v>
      </c>
      <c r="I580" t="s">
        <v>957</v>
      </c>
      <c r="J580" t="s">
        <v>2060</v>
      </c>
      <c r="K580">
        <v>9.2857142857142902E-2</v>
      </c>
      <c r="L580" t="s">
        <v>959</v>
      </c>
      <c r="M580">
        <v>2.2900763358778602</v>
      </c>
      <c r="N580" t="s">
        <v>960</v>
      </c>
      <c r="O580">
        <v>0</v>
      </c>
      <c r="P580">
        <v>0</v>
      </c>
      <c r="Q580">
        <v>0</v>
      </c>
      <c r="R580">
        <v>0</v>
      </c>
    </row>
    <row r="581" spans="1:18" ht="16" x14ac:dyDescent="0.2">
      <c r="A581" s="127" t="s">
        <v>954</v>
      </c>
      <c r="B581" t="s">
        <v>285</v>
      </c>
      <c r="C581" t="s">
        <v>223</v>
      </c>
      <c r="D581" t="s">
        <v>3707</v>
      </c>
      <c r="E581">
        <v>7</v>
      </c>
      <c r="F581">
        <v>7</v>
      </c>
      <c r="G581">
        <v>1</v>
      </c>
      <c r="H581">
        <v>11.195297529843099</v>
      </c>
      <c r="I581" t="s">
        <v>957</v>
      </c>
      <c r="J581" t="s">
        <v>3708</v>
      </c>
      <c r="K581">
        <v>2.1428571428571401E-2</v>
      </c>
      <c r="L581" t="s">
        <v>959</v>
      </c>
      <c r="M581">
        <v>1.5267175572519101</v>
      </c>
      <c r="N581" t="s">
        <v>960</v>
      </c>
      <c r="O581">
        <v>0</v>
      </c>
      <c r="P581" t="s">
        <v>5017</v>
      </c>
      <c r="Q581">
        <v>0</v>
      </c>
      <c r="R581">
        <v>0</v>
      </c>
    </row>
    <row r="582" spans="1:18" ht="16" x14ac:dyDescent="0.2">
      <c r="A582" s="127" t="s">
        <v>954</v>
      </c>
      <c r="B582" t="s">
        <v>285</v>
      </c>
      <c r="C582" t="s">
        <v>1104</v>
      </c>
      <c r="D582" t="s">
        <v>1105</v>
      </c>
      <c r="E582">
        <v>3</v>
      </c>
      <c r="F582">
        <v>3</v>
      </c>
      <c r="G582">
        <v>1</v>
      </c>
      <c r="H582">
        <v>4.1231056256176597</v>
      </c>
      <c r="I582" t="s">
        <v>957</v>
      </c>
      <c r="J582" t="s">
        <v>1354</v>
      </c>
      <c r="K582">
        <v>5.8823529411764698E-2</v>
      </c>
      <c r="L582" t="s">
        <v>1099</v>
      </c>
      <c r="M582">
        <v>1.5267175572519101</v>
      </c>
      <c r="N582" t="s">
        <v>973</v>
      </c>
      <c r="O582">
        <v>0</v>
      </c>
      <c r="P582">
        <v>0</v>
      </c>
      <c r="Q582">
        <v>0</v>
      </c>
      <c r="R582">
        <v>0</v>
      </c>
    </row>
    <row r="583" spans="1:18" ht="16" x14ac:dyDescent="0.2">
      <c r="A583" s="127" t="s">
        <v>954</v>
      </c>
      <c r="B583" t="s">
        <v>285</v>
      </c>
      <c r="C583" t="s">
        <v>1324</v>
      </c>
      <c r="E583">
        <v>4</v>
      </c>
      <c r="F583">
        <v>4</v>
      </c>
      <c r="G583">
        <v>1</v>
      </c>
      <c r="H583">
        <v>4.08370836396114</v>
      </c>
      <c r="I583" t="s">
        <v>957</v>
      </c>
      <c r="J583" t="s">
        <v>1325</v>
      </c>
      <c r="K583">
        <v>0.11764705882352899</v>
      </c>
      <c r="L583" t="s">
        <v>1099</v>
      </c>
      <c r="M583">
        <v>2.2900763358778602</v>
      </c>
      <c r="N583" t="s">
        <v>973</v>
      </c>
      <c r="O583">
        <v>0</v>
      </c>
      <c r="P583">
        <v>0</v>
      </c>
      <c r="Q583">
        <v>0</v>
      </c>
      <c r="R583" t="s">
        <v>5019</v>
      </c>
    </row>
    <row r="584" spans="1:18" ht="16" x14ac:dyDescent="0.2">
      <c r="A584" s="127" t="s">
        <v>954</v>
      </c>
      <c r="B584" t="s">
        <v>285</v>
      </c>
      <c r="C584" t="s">
        <v>2300</v>
      </c>
      <c r="D584" t="s">
        <v>2301</v>
      </c>
      <c r="E584">
        <v>9</v>
      </c>
      <c r="F584">
        <v>9</v>
      </c>
      <c r="G584">
        <v>1</v>
      </c>
      <c r="H584">
        <v>4.1231056256176597</v>
      </c>
      <c r="I584" t="s">
        <v>957</v>
      </c>
      <c r="J584" t="s">
        <v>3443</v>
      </c>
      <c r="K584">
        <v>5.8823529411764698E-2</v>
      </c>
      <c r="L584" t="s">
        <v>1099</v>
      </c>
      <c r="M584">
        <v>1.5267175572519101</v>
      </c>
      <c r="N584" t="s">
        <v>973</v>
      </c>
      <c r="O584">
        <v>0</v>
      </c>
      <c r="P584">
        <v>0</v>
      </c>
      <c r="Q584">
        <v>0</v>
      </c>
      <c r="R584">
        <v>0</v>
      </c>
    </row>
    <row r="585" spans="1:18" ht="16" x14ac:dyDescent="0.2">
      <c r="A585" s="127" t="s">
        <v>954</v>
      </c>
      <c r="B585" t="s">
        <v>285</v>
      </c>
      <c r="C585" t="s">
        <v>3742</v>
      </c>
      <c r="D585" t="s">
        <v>3743</v>
      </c>
      <c r="E585" t="s">
        <v>1102</v>
      </c>
      <c r="F585">
        <v>4</v>
      </c>
      <c r="G585">
        <v>2</v>
      </c>
      <c r="H585">
        <v>4.0502856694776899</v>
      </c>
      <c r="I585" t="s">
        <v>957</v>
      </c>
      <c r="J585" t="s">
        <v>3744</v>
      </c>
      <c r="K585">
        <v>0.11764705882352899</v>
      </c>
      <c r="L585" t="s">
        <v>1099</v>
      </c>
      <c r="M585">
        <v>0.76335877862595403</v>
      </c>
      <c r="N585" t="s">
        <v>973</v>
      </c>
      <c r="O585">
        <v>0</v>
      </c>
      <c r="P585">
        <v>0</v>
      </c>
      <c r="Q585">
        <v>0</v>
      </c>
      <c r="R585">
        <v>0</v>
      </c>
    </row>
    <row r="586" spans="1:18" ht="16" x14ac:dyDescent="0.2">
      <c r="A586" s="127" t="s">
        <v>954</v>
      </c>
      <c r="B586" t="s">
        <v>285</v>
      </c>
      <c r="C586" t="s">
        <v>1822</v>
      </c>
      <c r="D586" t="s">
        <v>1823</v>
      </c>
      <c r="E586">
        <v>12</v>
      </c>
      <c r="F586">
        <v>12</v>
      </c>
      <c r="G586">
        <v>1</v>
      </c>
      <c r="H586">
        <v>3.9980136589705699</v>
      </c>
      <c r="I586" t="s">
        <v>957</v>
      </c>
      <c r="J586" t="s">
        <v>3304</v>
      </c>
      <c r="K586">
        <v>0.17647058823529399</v>
      </c>
      <c r="L586" t="s">
        <v>1099</v>
      </c>
      <c r="M586">
        <v>2.2900763358778602</v>
      </c>
      <c r="N586" t="s">
        <v>973</v>
      </c>
      <c r="O586">
        <v>0</v>
      </c>
      <c r="P586">
        <v>0</v>
      </c>
      <c r="Q586">
        <v>0</v>
      </c>
      <c r="R586">
        <v>0</v>
      </c>
    </row>
    <row r="587" spans="1:18" ht="16" x14ac:dyDescent="0.2">
      <c r="A587" s="127" t="s">
        <v>954</v>
      </c>
      <c r="B587" t="s">
        <v>285</v>
      </c>
      <c r="C587" t="s">
        <v>2996</v>
      </c>
      <c r="D587" t="s">
        <v>2997</v>
      </c>
      <c r="E587">
        <v>10</v>
      </c>
      <c r="F587">
        <v>10</v>
      </c>
      <c r="G587">
        <v>1</v>
      </c>
      <c r="H587">
        <v>4.1231056256176597</v>
      </c>
      <c r="I587" t="s">
        <v>957</v>
      </c>
      <c r="J587" t="s">
        <v>2998</v>
      </c>
      <c r="K587">
        <v>5.8823529411764698E-2</v>
      </c>
      <c r="L587" t="s">
        <v>1099</v>
      </c>
      <c r="M587">
        <v>1.5267175572519101</v>
      </c>
      <c r="N587" t="s">
        <v>973</v>
      </c>
      <c r="O587">
        <v>0</v>
      </c>
      <c r="P587">
        <v>0</v>
      </c>
      <c r="Q587">
        <v>0</v>
      </c>
      <c r="R587">
        <v>0</v>
      </c>
    </row>
    <row r="588" spans="1:18" ht="16" x14ac:dyDescent="0.2">
      <c r="A588" s="127" t="s">
        <v>954</v>
      </c>
      <c r="B588" t="s">
        <v>285</v>
      </c>
      <c r="C588" t="s">
        <v>438</v>
      </c>
      <c r="D588" t="s">
        <v>3638</v>
      </c>
      <c r="E588">
        <v>9</v>
      </c>
      <c r="F588">
        <v>9</v>
      </c>
      <c r="G588">
        <v>1</v>
      </c>
      <c r="H588">
        <v>4.1231056256176597</v>
      </c>
      <c r="I588" t="s">
        <v>957</v>
      </c>
      <c r="J588" t="s">
        <v>3639</v>
      </c>
      <c r="K588">
        <v>5.8823529411764698E-2</v>
      </c>
      <c r="L588" t="s">
        <v>1099</v>
      </c>
      <c r="M588">
        <v>0.76335877862595403</v>
      </c>
      <c r="N588" t="s">
        <v>973</v>
      </c>
      <c r="O588">
        <v>0</v>
      </c>
      <c r="P588">
        <v>0</v>
      </c>
      <c r="Q588">
        <v>0</v>
      </c>
      <c r="R588">
        <v>0</v>
      </c>
    </row>
    <row r="589" spans="1:18" ht="16" x14ac:dyDescent="0.2">
      <c r="A589" s="127" t="s">
        <v>954</v>
      </c>
      <c r="B589" t="s">
        <v>285</v>
      </c>
      <c r="C589" t="s">
        <v>3649</v>
      </c>
      <c r="D589" t="s">
        <v>3650</v>
      </c>
      <c r="E589">
        <v>7</v>
      </c>
      <c r="F589">
        <v>7</v>
      </c>
      <c r="G589">
        <v>1</v>
      </c>
      <c r="H589">
        <v>4.1231056256176597</v>
      </c>
      <c r="I589" t="s">
        <v>957</v>
      </c>
      <c r="J589" t="s">
        <v>3651</v>
      </c>
      <c r="K589">
        <v>5.8823529411764698E-2</v>
      </c>
      <c r="L589" t="s">
        <v>1099</v>
      </c>
      <c r="M589">
        <v>0.76335877862595403</v>
      </c>
      <c r="N589" t="s">
        <v>973</v>
      </c>
      <c r="O589">
        <v>0</v>
      </c>
      <c r="P589">
        <v>0</v>
      </c>
      <c r="Q589">
        <v>0</v>
      </c>
      <c r="R589">
        <v>0</v>
      </c>
    </row>
    <row r="590" spans="1:18" ht="16" x14ac:dyDescent="0.2">
      <c r="A590" s="127" t="s">
        <v>954</v>
      </c>
      <c r="B590" t="s">
        <v>285</v>
      </c>
      <c r="C590" t="s">
        <v>2461</v>
      </c>
      <c r="D590" t="s">
        <v>2462</v>
      </c>
      <c r="E590">
        <v>4</v>
      </c>
      <c r="F590">
        <v>4</v>
      </c>
      <c r="G590">
        <v>1</v>
      </c>
      <c r="H590">
        <v>4.0502856694776899</v>
      </c>
      <c r="I590" t="s">
        <v>957</v>
      </c>
      <c r="J590" t="s">
        <v>2463</v>
      </c>
      <c r="K590">
        <v>0.11764705882352899</v>
      </c>
      <c r="L590" t="s">
        <v>1099</v>
      </c>
      <c r="M590">
        <v>0.76335877862595403</v>
      </c>
      <c r="N590" t="s">
        <v>973</v>
      </c>
      <c r="O590">
        <v>0</v>
      </c>
      <c r="P590">
        <v>0</v>
      </c>
      <c r="Q590">
        <v>0</v>
      </c>
      <c r="R590">
        <v>0</v>
      </c>
    </row>
    <row r="591" spans="1:18" ht="16" x14ac:dyDescent="0.2">
      <c r="A591" s="127" t="s">
        <v>954</v>
      </c>
      <c r="B591" t="s">
        <v>285</v>
      </c>
      <c r="C591" t="s">
        <v>2030</v>
      </c>
      <c r="D591" t="s">
        <v>2031</v>
      </c>
      <c r="E591">
        <v>6</v>
      </c>
      <c r="F591">
        <v>6</v>
      </c>
      <c r="G591">
        <v>1</v>
      </c>
      <c r="H591">
        <v>3.9738950519529501</v>
      </c>
      <c r="I591" t="s">
        <v>957</v>
      </c>
      <c r="J591" t="s">
        <v>2032</v>
      </c>
      <c r="K591">
        <v>0.11764705882352899</v>
      </c>
      <c r="L591" t="s">
        <v>1099</v>
      </c>
      <c r="M591">
        <v>1.5267175572519101</v>
      </c>
      <c r="N591" t="s">
        <v>973</v>
      </c>
      <c r="O591">
        <v>0</v>
      </c>
      <c r="P591">
        <v>0</v>
      </c>
      <c r="Q591">
        <v>0</v>
      </c>
      <c r="R591">
        <v>0</v>
      </c>
    </row>
    <row r="592" spans="1:18" ht="16" x14ac:dyDescent="0.2">
      <c r="A592" s="127" t="s">
        <v>954</v>
      </c>
      <c r="B592" t="s">
        <v>285</v>
      </c>
      <c r="C592" t="s">
        <v>1664</v>
      </c>
      <c r="D592" t="s">
        <v>1665</v>
      </c>
      <c r="E592">
        <v>4</v>
      </c>
      <c r="F592">
        <v>4</v>
      </c>
      <c r="G592">
        <v>1</v>
      </c>
      <c r="H592">
        <v>4.1231056256176597</v>
      </c>
      <c r="I592" t="s">
        <v>957</v>
      </c>
      <c r="J592" t="s">
        <v>1950</v>
      </c>
      <c r="K592">
        <v>5.8823529411764698E-2</v>
      </c>
      <c r="L592" t="s">
        <v>1099</v>
      </c>
      <c r="M592">
        <v>2.2900763358778602</v>
      </c>
      <c r="N592" t="s">
        <v>973</v>
      </c>
      <c r="O592">
        <v>0</v>
      </c>
      <c r="P592">
        <v>0</v>
      </c>
      <c r="Q592">
        <v>0</v>
      </c>
      <c r="R592">
        <v>0</v>
      </c>
    </row>
    <row r="593" spans="1:18" ht="16" x14ac:dyDescent="0.2">
      <c r="A593" s="127" t="s">
        <v>954</v>
      </c>
      <c r="B593" t="s">
        <v>285</v>
      </c>
      <c r="C593" t="s">
        <v>2929</v>
      </c>
      <c r="D593" t="s">
        <v>2930</v>
      </c>
      <c r="E593">
        <v>10</v>
      </c>
      <c r="F593">
        <v>10</v>
      </c>
      <c r="G593">
        <v>1</v>
      </c>
      <c r="H593">
        <v>4.08370836396114</v>
      </c>
      <c r="I593" t="s">
        <v>957</v>
      </c>
      <c r="J593" t="s">
        <v>2931</v>
      </c>
      <c r="K593">
        <v>0.11764705882352899</v>
      </c>
      <c r="L593" t="s">
        <v>1099</v>
      </c>
      <c r="M593">
        <v>1.5267175572519101</v>
      </c>
      <c r="N593" t="s">
        <v>973</v>
      </c>
      <c r="O593">
        <v>0</v>
      </c>
      <c r="P593">
        <v>0</v>
      </c>
      <c r="Q593">
        <v>0</v>
      </c>
      <c r="R593">
        <v>0</v>
      </c>
    </row>
    <row r="594" spans="1:18" ht="16" x14ac:dyDescent="0.2">
      <c r="A594" s="127" t="s">
        <v>954</v>
      </c>
      <c r="B594" t="s">
        <v>285</v>
      </c>
      <c r="C594" t="s">
        <v>2313</v>
      </c>
      <c r="D594" t="s">
        <v>2314</v>
      </c>
      <c r="E594">
        <v>3</v>
      </c>
      <c r="F594">
        <v>3</v>
      </c>
      <c r="G594">
        <v>1</v>
      </c>
      <c r="H594">
        <v>4.1231056256176597</v>
      </c>
      <c r="I594" t="s">
        <v>957</v>
      </c>
      <c r="J594" t="s">
        <v>2315</v>
      </c>
      <c r="K594">
        <v>5.8823529411764698E-2</v>
      </c>
      <c r="L594" t="s">
        <v>1099</v>
      </c>
      <c r="M594">
        <v>1.5267175572519101</v>
      </c>
      <c r="N594" t="s">
        <v>973</v>
      </c>
      <c r="O594">
        <v>0</v>
      </c>
      <c r="P594">
        <v>0</v>
      </c>
      <c r="Q594">
        <v>0</v>
      </c>
      <c r="R594">
        <v>0</v>
      </c>
    </row>
    <row r="595" spans="1:18" ht="16" x14ac:dyDescent="0.2">
      <c r="A595" s="127" t="s">
        <v>954</v>
      </c>
      <c r="B595" t="s">
        <v>285</v>
      </c>
      <c r="C595" t="s">
        <v>1096</v>
      </c>
      <c r="D595" t="s">
        <v>1097</v>
      </c>
      <c r="E595">
        <v>3</v>
      </c>
      <c r="F595">
        <v>3</v>
      </c>
      <c r="G595">
        <v>1</v>
      </c>
      <c r="H595">
        <v>4.1231056256176597</v>
      </c>
      <c r="I595" t="s">
        <v>957</v>
      </c>
      <c r="J595" t="s">
        <v>1098</v>
      </c>
      <c r="K595">
        <v>5.8823529411764698E-2</v>
      </c>
      <c r="L595" t="s">
        <v>1099</v>
      </c>
      <c r="M595">
        <v>0.76335877862595403</v>
      </c>
      <c r="N595" t="s">
        <v>973</v>
      </c>
      <c r="O595">
        <v>0</v>
      </c>
      <c r="P595">
        <v>0</v>
      </c>
      <c r="Q595">
        <v>0</v>
      </c>
      <c r="R595">
        <v>0</v>
      </c>
    </row>
    <row r="596" spans="1:18" ht="16" x14ac:dyDescent="0.2">
      <c r="A596" s="127" t="s">
        <v>954</v>
      </c>
      <c r="B596" t="s">
        <v>285</v>
      </c>
      <c r="C596" t="s">
        <v>1141</v>
      </c>
      <c r="D596" t="s">
        <v>1142</v>
      </c>
      <c r="E596">
        <v>3</v>
      </c>
      <c r="F596">
        <v>3</v>
      </c>
      <c r="G596">
        <v>1</v>
      </c>
      <c r="H596">
        <v>4.1231056256176597</v>
      </c>
      <c r="I596" t="s">
        <v>957</v>
      </c>
      <c r="J596" t="s">
        <v>1143</v>
      </c>
      <c r="K596">
        <v>5.8823529411764698E-2</v>
      </c>
      <c r="L596" t="s">
        <v>1099</v>
      </c>
      <c r="M596">
        <v>0.76335877862595403</v>
      </c>
      <c r="N596" t="s">
        <v>973</v>
      </c>
      <c r="O596">
        <v>0</v>
      </c>
      <c r="P596">
        <v>0</v>
      </c>
      <c r="Q596">
        <v>0</v>
      </c>
      <c r="R596">
        <v>0</v>
      </c>
    </row>
    <row r="597" spans="1:18" ht="16" x14ac:dyDescent="0.2">
      <c r="A597" s="127" t="s">
        <v>954</v>
      </c>
      <c r="B597" t="s">
        <v>285</v>
      </c>
      <c r="C597" t="s">
        <v>1941</v>
      </c>
      <c r="D597" t="s">
        <v>1942</v>
      </c>
      <c r="E597" t="s">
        <v>1692</v>
      </c>
      <c r="F597">
        <v>5</v>
      </c>
      <c r="G597">
        <v>2</v>
      </c>
      <c r="H597">
        <v>4.1231056256176597</v>
      </c>
      <c r="I597" t="s">
        <v>957</v>
      </c>
      <c r="J597" t="s">
        <v>3519</v>
      </c>
      <c r="K597">
        <v>5.8823529411764698E-2</v>
      </c>
      <c r="L597" t="s">
        <v>1099</v>
      </c>
      <c r="M597">
        <v>2.2900763358778602</v>
      </c>
      <c r="N597" t="s">
        <v>973</v>
      </c>
      <c r="O597">
        <v>0</v>
      </c>
      <c r="P597">
        <v>0</v>
      </c>
      <c r="Q597">
        <v>0</v>
      </c>
      <c r="R597">
        <v>0</v>
      </c>
    </row>
    <row r="598" spans="1:18" ht="16" x14ac:dyDescent="0.2">
      <c r="A598" s="127" t="s">
        <v>954</v>
      </c>
      <c r="B598" t="s">
        <v>285</v>
      </c>
      <c r="C598" t="s">
        <v>3557</v>
      </c>
      <c r="D598" t="s">
        <v>3558</v>
      </c>
      <c r="E598">
        <v>3</v>
      </c>
      <c r="F598">
        <v>3</v>
      </c>
      <c r="G598">
        <v>1</v>
      </c>
      <c r="H598">
        <v>4.1231056256176597</v>
      </c>
      <c r="I598" t="s">
        <v>957</v>
      </c>
      <c r="J598" t="s">
        <v>3559</v>
      </c>
      <c r="K598">
        <v>5.8823529411764698E-2</v>
      </c>
      <c r="L598" t="s">
        <v>1099</v>
      </c>
      <c r="M598">
        <v>0.76335877862595403</v>
      </c>
      <c r="N598" t="s">
        <v>973</v>
      </c>
      <c r="O598">
        <v>0</v>
      </c>
      <c r="P598">
        <v>0</v>
      </c>
      <c r="Q598">
        <v>0</v>
      </c>
      <c r="R598">
        <v>0</v>
      </c>
    </row>
    <row r="599" spans="1:18" ht="16" x14ac:dyDescent="0.2">
      <c r="A599" s="127" t="s">
        <v>954</v>
      </c>
      <c r="B599" t="s">
        <v>293</v>
      </c>
      <c r="C599" t="s">
        <v>2943</v>
      </c>
      <c r="D599" t="s">
        <v>2944</v>
      </c>
      <c r="E599" t="s">
        <v>2945</v>
      </c>
      <c r="F599">
        <v>10</v>
      </c>
      <c r="G599">
        <v>2</v>
      </c>
      <c r="H599">
        <v>11.8321595661992</v>
      </c>
      <c r="I599" t="s">
        <v>957</v>
      </c>
      <c r="J599" t="s">
        <v>2946</v>
      </c>
      <c r="K599">
        <v>7.14285714285714E-3</v>
      </c>
      <c r="L599" t="s">
        <v>959</v>
      </c>
      <c r="M599">
        <v>0.76335877862595403</v>
      </c>
      <c r="N599" t="s">
        <v>960</v>
      </c>
      <c r="O599">
        <v>0</v>
      </c>
      <c r="P599">
        <v>0</v>
      </c>
      <c r="Q599">
        <v>0</v>
      </c>
      <c r="R599">
        <v>0</v>
      </c>
    </row>
    <row r="600" spans="1:18" ht="16" x14ac:dyDescent="0.2">
      <c r="A600" s="127" t="s">
        <v>954</v>
      </c>
      <c r="B600" t="s">
        <v>293</v>
      </c>
      <c r="C600" t="s">
        <v>1964</v>
      </c>
      <c r="D600" t="s">
        <v>1965</v>
      </c>
      <c r="E600" t="s">
        <v>1966</v>
      </c>
      <c r="F600">
        <v>81</v>
      </c>
      <c r="G600">
        <v>4</v>
      </c>
      <c r="H600">
        <v>11.691295340075101</v>
      </c>
      <c r="I600" t="s">
        <v>957</v>
      </c>
      <c r="J600" t="s">
        <v>1967</v>
      </c>
      <c r="K600">
        <v>1.4285714285714299E-2</v>
      </c>
      <c r="L600" t="s">
        <v>959</v>
      </c>
      <c r="M600">
        <v>0.76335877862595403</v>
      </c>
      <c r="N600" t="s">
        <v>960</v>
      </c>
      <c r="O600">
        <v>0</v>
      </c>
      <c r="P600" t="s">
        <v>5018</v>
      </c>
      <c r="Q600">
        <v>0</v>
      </c>
      <c r="R600">
        <v>0</v>
      </c>
    </row>
    <row r="601" spans="1:18" ht="16" x14ac:dyDescent="0.2">
      <c r="A601" s="127" t="s">
        <v>954</v>
      </c>
      <c r="B601" t="s">
        <v>293</v>
      </c>
      <c r="C601" t="s">
        <v>3455</v>
      </c>
      <c r="D601" t="s">
        <v>3456</v>
      </c>
      <c r="E601">
        <v>9</v>
      </c>
      <c r="F601">
        <v>9</v>
      </c>
      <c r="G601">
        <v>1</v>
      </c>
      <c r="H601">
        <v>11.461278130078</v>
      </c>
      <c r="I601" t="s">
        <v>957</v>
      </c>
      <c r="J601" t="s">
        <v>3457</v>
      </c>
      <c r="K601">
        <v>1.4285714285714299E-2</v>
      </c>
      <c r="L601" t="s">
        <v>959</v>
      </c>
      <c r="M601">
        <v>0.76335877862595403</v>
      </c>
      <c r="N601" t="s">
        <v>960</v>
      </c>
      <c r="O601">
        <v>0</v>
      </c>
      <c r="P601">
        <v>0</v>
      </c>
      <c r="Q601">
        <v>0</v>
      </c>
      <c r="R601">
        <v>0</v>
      </c>
    </row>
    <row r="602" spans="1:18" ht="16" x14ac:dyDescent="0.2">
      <c r="A602" s="127" t="s">
        <v>954</v>
      </c>
      <c r="B602" t="s">
        <v>293</v>
      </c>
      <c r="C602" t="s">
        <v>2057</v>
      </c>
      <c r="D602" t="s">
        <v>2058</v>
      </c>
      <c r="E602">
        <v>3</v>
      </c>
      <c r="F602">
        <v>3</v>
      </c>
      <c r="G602">
        <v>1</v>
      </c>
      <c r="H602">
        <v>4.7377211021507799</v>
      </c>
      <c r="I602" t="s">
        <v>957</v>
      </c>
      <c r="J602" t="s">
        <v>3379</v>
      </c>
      <c r="K602">
        <v>0.128571428571429</v>
      </c>
      <c r="L602" t="s">
        <v>959</v>
      </c>
      <c r="M602">
        <v>1.5267175572519101</v>
      </c>
      <c r="N602" t="s">
        <v>960</v>
      </c>
      <c r="O602">
        <v>0</v>
      </c>
      <c r="P602">
        <v>0</v>
      </c>
      <c r="Q602">
        <v>0</v>
      </c>
      <c r="R602">
        <v>0</v>
      </c>
    </row>
    <row r="603" spans="1:18" ht="16" x14ac:dyDescent="0.2">
      <c r="A603" s="127" t="s">
        <v>954</v>
      </c>
      <c r="B603" t="s">
        <v>293</v>
      </c>
      <c r="C603" t="s">
        <v>3354</v>
      </c>
      <c r="D603" t="s">
        <v>3355</v>
      </c>
      <c r="E603">
        <v>3</v>
      </c>
      <c r="F603">
        <v>3</v>
      </c>
      <c r="G603">
        <v>1</v>
      </c>
      <c r="H603">
        <v>9.3263480390463602</v>
      </c>
      <c r="I603" t="s">
        <v>957</v>
      </c>
      <c r="J603" t="s">
        <v>3356</v>
      </c>
      <c r="K603">
        <v>0.05</v>
      </c>
      <c r="L603" t="s">
        <v>959</v>
      </c>
      <c r="M603">
        <v>0.76335877862595403</v>
      </c>
      <c r="N603" t="s">
        <v>960</v>
      </c>
      <c r="O603">
        <v>0</v>
      </c>
      <c r="P603">
        <v>0</v>
      </c>
      <c r="Q603">
        <v>0</v>
      </c>
      <c r="R603">
        <v>0</v>
      </c>
    </row>
    <row r="604" spans="1:18" ht="16" x14ac:dyDescent="0.2">
      <c r="A604" s="127" t="s">
        <v>954</v>
      </c>
      <c r="B604" t="s">
        <v>293</v>
      </c>
      <c r="C604" t="s">
        <v>2400</v>
      </c>
      <c r="D604" t="s">
        <v>2401</v>
      </c>
      <c r="E604">
        <v>16</v>
      </c>
      <c r="F604">
        <v>16</v>
      </c>
      <c r="G604">
        <v>1</v>
      </c>
      <c r="H604">
        <v>11.7912093988165</v>
      </c>
      <c r="I604" t="s">
        <v>957</v>
      </c>
      <c r="J604" t="s">
        <v>2402</v>
      </c>
      <c r="K604">
        <v>0.05</v>
      </c>
      <c r="L604" t="s">
        <v>959</v>
      </c>
      <c r="M604">
        <v>0.76335877862595403</v>
      </c>
      <c r="N604" t="s">
        <v>960</v>
      </c>
      <c r="O604">
        <v>0</v>
      </c>
      <c r="P604">
        <v>0</v>
      </c>
      <c r="Q604">
        <v>0</v>
      </c>
      <c r="R604">
        <v>0</v>
      </c>
    </row>
    <row r="605" spans="1:18" ht="16" x14ac:dyDescent="0.2">
      <c r="A605" s="127" t="s">
        <v>954</v>
      </c>
      <c r="B605" t="s">
        <v>293</v>
      </c>
      <c r="C605" t="s">
        <v>2675</v>
      </c>
      <c r="D605" t="s">
        <v>2676</v>
      </c>
      <c r="E605" t="s">
        <v>1052</v>
      </c>
      <c r="F605">
        <v>2</v>
      </c>
      <c r="G605">
        <v>2</v>
      </c>
      <c r="H605">
        <v>11.246412354404701</v>
      </c>
      <c r="I605" t="s">
        <v>957</v>
      </c>
      <c r="J605" t="s">
        <v>2677</v>
      </c>
      <c r="K605">
        <v>1.4285714285714299E-2</v>
      </c>
      <c r="L605" t="s">
        <v>959</v>
      </c>
      <c r="M605">
        <v>0.76335877862595403</v>
      </c>
      <c r="N605" t="s">
        <v>960</v>
      </c>
      <c r="O605">
        <v>0</v>
      </c>
      <c r="P605">
        <v>0</v>
      </c>
      <c r="Q605">
        <v>0</v>
      </c>
      <c r="R605">
        <v>0</v>
      </c>
    </row>
    <row r="606" spans="1:18" ht="16" x14ac:dyDescent="0.2">
      <c r="A606" s="127" t="s">
        <v>954</v>
      </c>
      <c r="B606" t="s">
        <v>293</v>
      </c>
      <c r="C606" t="s">
        <v>3711</v>
      </c>
      <c r="D606" t="s">
        <v>3712</v>
      </c>
      <c r="E606" t="s">
        <v>1434</v>
      </c>
      <c r="F606">
        <v>9</v>
      </c>
      <c r="G606">
        <v>3</v>
      </c>
      <c r="H606">
        <v>11.8321595661992</v>
      </c>
      <c r="I606" t="s">
        <v>957</v>
      </c>
      <c r="J606" t="s">
        <v>3713</v>
      </c>
      <c r="K606">
        <v>7.14285714285714E-3</v>
      </c>
      <c r="L606" t="s">
        <v>959</v>
      </c>
      <c r="M606">
        <v>0.76335877862595403</v>
      </c>
      <c r="N606" t="s">
        <v>960</v>
      </c>
      <c r="O606">
        <v>0</v>
      </c>
      <c r="P606">
        <v>0</v>
      </c>
      <c r="Q606">
        <v>0</v>
      </c>
      <c r="R606">
        <v>0</v>
      </c>
    </row>
    <row r="607" spans="1:18" ht="16" x14ac:dyDescent="0.2">
      <c r="A607" s="127" t="s">
        <v>954</v>
      </c>
      <c r="B607" t="s">
        <v>293</v>
      </c>
      <c r="C607" t="s">
        <v>2652</v>
      </c>
      <c r="D607" t="s">
        <v>2653</v>
      </c>
      <c r="E607" t="s">
        <v>1052</v>
      </c>
      <c r="F607">
        <v>2</v>
      </c>
      <c r="G607">
        <v>2</v>
      </c>
      <c r="H607">
        <v>11.8321595661992</v>
      </c>
      <c r="I607" t="s">
        <v>957</v>
      </c>
      <c r="J607" t="s">
        <v>2654</v>
      </c>
      <c r="K607">
        <v>7.14285714285714E-3</v>
      </c>
      <c r="L607" t="s">
        <v>959</v>
      </c>
      <c r="M607">
        <v>0.76335877862595403</v>
      </c>
      <c r="N607" t="s">
        <v>960</v>
      </c>
      <c r="O607">
        <v>0</v>
      </c>
      <c r="P607">
        <v>0</v>
      </c>
      <c r="Q607">
        <v>0</v>
      </c>
      <c r="R607">
        <v>0</v>
      </c>
    </row>
    <row r="608" spans="1:18" ht="16" x14ac:dyDescent="0.2">
      <c r="A608" s="127" t="s">
        <v>954</v>
      </c>
      <c r="B608" t="s">
        <v>293</v>
      </c>
      <c r="C608" t="s">
        <v>510</v>
      </c>
      <c r="D608" t="s">
        <v>2086</v>
      </c>
      <c r="E608">
        <v>32</v>
      </c>
      <c r="F608">
        <v>32</v>
      </c>
      <c r="G608">
        <v>1</v>
      </c>
      <c r="H608">
        <v>11.8321595661992</v>
      </c>
      <c r="I608" t="s">
        <v>957</v>
      </c>
      <c r="J608" t="s">
        <v>2087</v>
      </c>
      <c r="K608">
        <v>7.14285714285714E-3</v>
      </c>
      <c r="L608" t="s">
        <v>959</v>
      </c>
      <c r="M608">
        <v>0.76335877862595403</v>
      </c>
      <c r="N608" t="s">
        <v>960</v>
      </c>
      <c r="O608">
        <v>0</v>
      </c>
      <c r="P608">
        <v>0</v>
      </c>
      <c r="Q608">
        <v>0</v>
      </c>
      <c r="R608">
        <v>0</v>
      </c>
    </row>
    <row r="609" spans="1:18" ht="16" x14ac:dyDescent="0.2">
      <c r="A609" s="127" t="s">
        <v>954</v>
      </c>
      <c r="B609" t="s">
        <v>293</v>
      </c>
      <c r="C609" t="s">
        <v>2629</v>
      </c>
      <c r="D609" t="s">
        <v>2630</v>
      </c>
      <c r="E609" t="s">
        <v>1974</v>
      </c>
      <c r="F609">
        <v>5</v>
      </c>
      <c r="G609">
        <v>2</v>
      </c>
      <c r="H609">
        <v>11.8321595661992</v>
      </c>
      <c r="I609" t="s">
        <v>957</v>
      </c>
      <c r="J609" t="s">
        <v>2631</v>
      </c>
      <c r="K609">
        <v>7.14285714285714E-3</v>
      </c>
      <c r="L609" t="s">
        <v>959</v>
      </c>
      <c r="M609">
        <v>0.76335877862595403</v>
      </c>
      <c r="N609" t="s">
        <v>960</v>
      </c>
      <c r="O609">
        <v>0</v>
      </c>
      <c r="P609">
        <v>0</v>
      </c>
      <c r="Q609">
        <v>0</v>
      </c>
      <c r="R609">
        <v>0</v>
      </c>
    </row>
    <row r="610" spans="1:18" ht="16" x14ac:dyDescent="0.2">
      <c r="A610" s="127" t="s">
        <v>954</v>
      </c>
      <c r="B610" t="s">
        <v>297</v>
      </c>
      <c r="C610" t="s">
        <v>1531</v>
      </c>
      <c r="D610" t="s">
        <v>1532</v>
      </c>
      <c r="E610">
        <v>5</v>
      </c>
      <c r="F610">
        <v>5</v>
      </c>
      <c r="G610">
        <v>1</v>
      </c>
      <c r="H610">
        <v>7.69030720260149</v>
      </c>
      <c r="I610" t="s">
        <v>957</v>
      </c>
      <c r="J610" t="s">
        <v>3264</v>
      </c>
      <c r="K610">
        <v>1.4285714285714299E-2</v>
      </c>
      <c r="L610" t="s">
        <v>959</v>
      </c>
      <c r="M610">
        <v>1.5267175572519101</v>
      </c>
      <c r="N610" t="s">
        <v>960</v>
      </c>
      <c r="O610" t="s">
        <v>5018</v>
      </c>
      <c r="P610">
        <v>0</v>
      </c>
      <c r="Q610">
        <v>0</v>
      </c>
      <c r="R610">
        <v>0</v>
      </c>
    </row>
    <row r="611" spans="1:18" ht="16" x14ac:dyDescent="0.2">
      <c r="A611" s="127" t="s">
        <v>954</v>
      </c>
      <c r="B611" t="s">
        <v>297</v>
      </c>
      <c r="C611" t="s">
        <v>2908</v>
      </c>
      <c r="D611" t="s">
        <v>2909</v>
      </c>
      <c r="E611" t="s">
        <v>1052</v>
      </c>
      <c r="F611">
        <v>2</v>
      </c>
      <c r="G611">
        <v>2</v>
      </c>
      <c r="H611">
        <v>11.8321595661992</v>
      </c>
      <c r="I611" t="s">
        <v>957</v>
      </c>
      <c r="J611" t="s">
        <v>2910</v>
      </c>
      <c r="K611">
        <v>7.14285714285714E-3</v>
      </c>
      <c r="L611" t="s">
        <v>959</v>
      </c>
      <c r="M611">
        <v>0.76335877862595403</v>
      </c>
      <c r="N611" t="s">
        <v>960</v>
      </c>
      <c r="O611" t="s">
        <v>5018</v>
      </c>
      <c r="P611">
        <v>0</v>
      </c>
      <c r="Q611">
        <v>0</v>
      </c>
      <c r="R611">
        <v>0</v>
      </c>
    </row>
    <row r="612" spans="1:18" ht="16" x14ac:dyDescent="0.2">
      <c r="A612" s="127" t="s">
        <v>954</v>
      </c>
      <c r="B612" t="s">
        <v>297</v>
      </c>
      <c r="C612" t="s">
        <v>2688</v>
      </c>
      <c r="D612" t="s">
        <v>2689</v>
      </c>
      <c r="E612" t="s">
        <v>1102</v>
      </c>
      <c r="F612">
        <v>4</v>
      </c>
      <c r="G612">
        <v>2</v>
      </c>
      <c r="H612">
        <v>7.2012092024916896</v>
      </c>
      <c r="I612" t="s">
        <v>957</v>
      </c>
      <c r="J612" t="s">
        <v>2690</v>
      </c>
      <c r="K612">
        <v>0.107142857142857</v>
      </c>
      <c r="L612" t="s">
        <v>959</v>
      </c>
      <c r="M612">
        <v>0.76335877862595403</v>
      </c>
      <c r="N612" t="s">
        <v>960</v>
      </c>
      <c r="O612" t="s">
        <v>5018</v>
      </c>
      <c r="P612">
        <v>0</v>
      </c>
      <c r="Q612">
        <v>0</v>
      </c>
      <c r="R612">
        <v>0</v>
      </c>
    </row>
    <row r="613" spans="1:18" ht="16" x14ac:dyDescent="0.2">
      <c r="A613" s="127" t="s">
        <v>954</v>
      </c>
      <c r="B613" t="s">
        <v>333</v>
      </c>
      <c r="C613" t="s">
        <v>3123</v>
      </c>
      <c r="D613" t="s">
        <v>3124</v>
      </c>
      <c r="E613" t="s">
        <v>970</v>
      </c>
      <c r="F613">
        <v>12</v>
      </c>
      <c r="G613">
        <v>2</v>
      </c>
      <c r="H613">
        <v>1.5491933384829699</v>
      </c>
      <c r="I613">
        <v>0.3</v>
      </c>
      <c r="J613" t="s">
        <v>957</v>
      </c>
      <c r="K613">
        <v>50</v>
      </c>
      <c r="L613" t="s">
        <v>977</v>
      </c>
      <c r="M613">
        <v>0.76335877862595403</v>
      </c>
      <c r="O613">
        <v>0</v>
      </c>
      <c r="P613">
        <v>0</v>
      </c>
      <c r="Q613">
        <v>0</v>
      </c>
      <c r="R613">
        <v>0</v>
      </c>
    </row>
    <row r="614" spans="1:18" ht="16" x14ac:dyDescent="0.2">
      <c r="A614" s="127" t="s">
        <v>954</v>
      </c>
      <c r="B614" t="s">
        <v>333</v>
      </c>
      <c r="C614" t="s">
        <v>568</v>
      </c>
      <c r="D614" t="s">
        <v>3662</v>
      </c>
      <c r="E614">
        <v>104</v>
      </c>
      <c r="F614">
        <v>104</v>
      </c>
      <c r="G614">
        <v>1</v>
      </c>
      <c r="H614">
        <v>7.7136243102707596</v>
      </c>
      <c r="I614">
        <v>0.5</v>
      </c>
      <c r="J614" t="s">
        <v>957</v>
      </c>
      <c r="K614">
        <v>87.5</v>
      </c>
      <c r="L614" t="s">
        <v>977</v>
      </c>
      <c r="M614">
        <v>0.76335877862595403</v>
      </c>
      <c r="O614">
        <v>0</v>
      </c>
      <c r="P614" t="s">
        <v>5017</v>
      </c>
      <c r="Q614">
        <v>0</v>
      </c>
      <c r="R614">
        <v>0</v>
      </c>
    </row>
    <row r="615" spans="1:18" ht="16" x14ac:dyDescent="0.2">
      <c r="A615" s="127" t="s">
        <v>954</v>
      </c>
      <c r="B615" t="s">
        <v>306</v>
      </c>
      <c r="C615" t="s">
        <v>2139</v>
      </c>
      <c r="D615" t="s">
        <v>2140</v>
      </c>
      <c r="E615" t="s">
        <v>2857</v>
      </c>
      <c r="F615">
        <v>6</v>
      </c>
      <c r="G615">
        <v>2</v>
      </c>
      <c r="H615">
        <v>4.80708449725749</v>
      </c>
      <c r="I615" t="s">
        <v>957</v>
      </c>
      <c r="J615" t="s">
        <v>3117</v>
      </c>
      <c r="K615">
        <v>0.128571428571429</v>
      </c>
      <c r="L615" t="s">
        <v>959</v>
      </c>
      <c r="M615">
        <v>2.2900763358778602</v>
      </c>
      <c r="N615" t="s">
        <v>987</v>
      </c>
      <c r="O615">
        <v>0</v>
      </c>
      <c r="P615">
        <v>0</v>
      </c>
      <c r="Q615">
        <v>0</v>
      </c>
      <c r="R615">
        <v>0</v>
      </c>
    </row>
    <row r="616" spans="1:18" ht="16" x14ac:dyDescent="0.2">
      <c r="A616" s="127" t="s">
        <v>954</v>
      </c>
      <c r="B616" t="s">
        <v>306</v>
      </c>
      <c r="C616" t="s">
        <v>3363</v>
      </c>
      <c r="D616" t="s">
        <v>3364</v>
      </c>
      <c r="E616" t="s">
        <v>1052</v>
      </c>
      <c r="F616">
        <v>2</v>
      </c>
      <c r="G616">
        <v>2</v>
      </c>
      <c r="H616">
        <v>7.6169262745559001</v>
      </c>
      <c r="I616" t="s">
        <v>957</v>
      </c>
      <c r="J616" t="s">
        <v>3365</v>
      </c>
      <c r="K616">
        <v>0.05</v>
      </c>
      <c r="L616" t="s">
        <v>959</v>
      </c>
      <c r="M616">
        <v>0.76335877862595403</v>
      </c>
      <c r="N616" t="s">
        <v>960</v>
      </c>
      <c r="O616">
        <v>0</v>
      </c>
      <c r="P616">
        <v>0</v>
      </c>
      <c r="Q616">
        <v>0</v>
      </c>
      <c r="R616">
        <v>0</v>
      </c>
    </row>
    <row r="617" spans="1:18" ht="16" x14ac:dyDescent="0.2">
      <c r="A617" s="127" t="s">
        <v>954</v>
      </c>
      <c r="B617" t="s">
        <v>306</v>
      </c>
      <c r="C617" t="s">
        <v>1280</v>
      </c>
      <c r="D617" t="s">
        <v>1281</v>
      </c>
      <c r="E617" t="s">
        <v>1052</v>
      </c>
      <c r="F617">
        <v>2</v>
      </c>
      <c r="G617">
        <v>2</v>
      </c>
      <c r="H617">
        <v>9.0141442535149796</v>
      </c>
      <c r="I617" t="s">
        <v>957</v>
      </c>
      <c r="J617" t="s">
        <v>1282</v>
      </c>
      <c r="K617">
        <v>2.8571428571428598E-2</v>
      </c>
      <c r="L617" t="s">
        <v>959</v>
      </c>
      <c r="M617">
        <v>0.76335877862595403</v>
      </c>
      <c r="N617" t="s">
        <v>960</v>
      </c>
      <c r="O617">
        <v>0</v>
      </c>
      <c r="P617">
        <v>0</v>
      </c>
      <c r="Q617">
        <v>0</v>
      </c>
      <c r="R617">
        <v>0</v>
      </c>
    </row>
    <row r="618" spans="1:18" ht="16" x14ac:dyDescent="0.2">
      <c r="A618" s="127" t="s">
        <v>954</v>
      </c>
      <c r="B618" t="s">
        <v>306</v>
      </c>
      <c r="C618" t="s">
        <v>1638</v>
      </c>
      <c r="D618" t="s">
        <v>1639</v>
      </c>
      <c r="E618">
        <v>3</v>
      </c>
      <c r="F618">
        <v>3</v>
      </c>
      <c r="G618">
        <v>1</v>
      </c>
      <c r="H618">
        <v>7.3526046413289103</v>
      </c>
      <c r="I618" t="s">
        <v>957</v>
      </c>
      <c r="J618" t="s">
        <v>1640</v>
      </c>
      <c r="K618">
        <v>0.05</v>
      </c>
      <c r="L618" t="s">
        <v>959</v>
      </c>
      <c r="M618">
        <v>0.76335877862595403</v>
      </c>
      <c r="N618" t="s">
        <v>960</v>
      </c>
      <c r="O618">
        <v>0</v>
      </c>
      <c r="P618">
        <v>0</v>
      </c>
      <c r="Q618">
        <v>0</v>
      </c>
      <c r="R618">
        <v>0</v>
      </c>
    </row>
    <row r="619" spans="1:18" ht="16" x14ac:dyDescent="0.2">
      <c r="A619" s="127" t="s">
        <v>954</v>
      </c>
      <c r="B619" t="s">
        <v>306</v>
      </c>
      <c r="C619" t="s">
        <v>1257</v>
      </c>
      <c r="D619" t="s">
        <v>1258</v>
      </c>
      <c r="E619">
        <v>3</v>
      </c>
      <c r="F619">
        <v>3</v>
      </c>
      <c r="G619">
        <v>1</v>
      </c>
      <c r="H619">
        <v>5.9851127208208501</v>
      </c>
      <c r="I619" t="s">
        <v>957</v>
      </c>
      <c r="J619" t="s">
        <v>1259</v>
      </c>
      <c r="K619">
        <v>8.5714285714285701E-2</v>
      </c>
      <c r="L619" t="s">
        <v>959</v>
      </c>
      <c r="M619">
        <v>1.5267175572519101</v>
      </c>
      <c r="N619" t="s">
        <v>960</v>
      </c>
      <c r="O619">
        <v>0</v>
      </c>
      <c r="P619">
        <v>0</v>
      </c>
      <c r="Q619">
        <v>0</v>
      </c>
      <c r="R619">
        <v>0</v>
      </c>
    </row>
    <row r="620" spans="1:18" ht="16" x14ac:dyDescent="0.2">
      <c r="A620" s="127" t="s">
        <v>954</v>
      </c>
      <c r="B620" t="s">
        <v>306</v>
      </c>
      <c r="C620" t="s">
        <v>1969</v>
      </c>
      <c r="D620" t="s">
        <v>1970</v>
      </c>
      <c r="E620" t="s">
        <v>3110</v>
      </c>
      <c r="F620">
        <v>20</v>
      </c>
      <c r="G620">
        <v>2</v>
      </c>
      <c r="H620">
        <v>3.16227766016838</v>
      </c>
      <c r="I620">
        <v>0.55000000000000004</v>
      </c>
      <c r="J620" t="s">
        <v>957</v>
      </c>
      <c r="K620">
        <v>50</v>
      </c>
      <c r="L620" t="s">
        <v>977</v>
      </c>
      <c r="M620">
        <v>1.5267175572519101</v>
      </c>
      <c r="N620" t="s">
        <v>987</v>
      </c>
      <c r="O620">
        <v>0</v>
      </c>
      <c r="P620" t="s">
        <v>5018</v>
      </c>
      <c r="Q620">
        <v>0</v>
      </c>
      <c r="R620">
        <v>0</v>
      </c>
    </row>
    <row r="621" spans="1:18" ht="16" x14ac:dyDescent="0.2">
      <c r="A621" s="127" t="s">
        <v>954</v>
      </c>
      <c r="B621" t="s">
        <v>306</v>
      </c>
      <c r="C621" t="s">
        <v>1875</v>
      </c>
      <c r="D621" t="s">
        <v>1876</v>
      </c>
      <c r="E621" t="s">
        <v>1877</v>
      </c>
      <c r="F621">
        <v>80</v>
      </c>
      <c r="G621">
        <v>7</v>
      </c>
      <c r="H621">
        <v>10.421395193362301</v>
      </c>
      <c r="I621" t="s">
        <v>957</v>
      </c>
      <c r="J621" t="s">
        <v>1878</v>
      </c>
      <c r="K621">
        <v>7.8571428571428598E-2</v>
      </c>
      <c r="L621" t="s">
        <v>959</v>
      </c>
      <c r="M621">
        <v>1.5267175572519101</v>
      </c>
      <c r="N621" t="s">
        <v>987</v>
      </c>
      <c r="O621">
        <v>0</v>
      </c>
      <c r="P621">
        <v>0</v>
      </c>
      <c r="Q621">
        <v>0</v>
      </c>
      <c r="R621">
        <v>0</v>
      </c>
    </row>
    <row r="622" spans="1:18" ht="16" x14ac:dyDescent="0.2">
      <c r="A622" s="127" t="s">
        <v>954</v>
      </c>
      <c r="B622" t="s">
        <v>306</v>
      </c>
      <c r="C622" t="s">
        <v>3221</v>
      </c>
      <c r="D622" t="s">
        <v>3222</v>
      </c>
      <c r="E622" t="s">
        <v>3575</v>
      </c>
      <c r="F622">
        <v>9</v>
      </c>
      <c r="G622">
        <v>3</v>
      </c>
      <c r="H622">
        <v>5.3851648071345002</v>
      </c>
      <c r="I622" t="s">
        <v>957</v>
      </c>
      <c r="J622" t="s">
        <v>3576</v>
      </c>
      <c r="K622" t="s">
        <v>3577</v>
      </c>
      <c r="L622" t="s">
        <v>2024</v>
      </c>
      <c r="M622">
        <v>1.5267175572519101</v>
      </c>
      <c r="N622" t="s">
        <v>987</v>
      </c>
      <c r="O622">
        <v>0</v>
      </c>
      <c r="P622">
        <v>0</v>
      </c>
      <c r="Q622">
        <v>0</v>
      </c>
      <c r="R622">
        <v>0</v>
      </c>
    </row>
    <row r="623" spans="1:18" ht="16" x14ac:dyDescent="0.2">
      <c r="A623" s="127" t="s">
        <v>954</v>
      </c>
      <c r="B623" t="s">
        <v>306</v>
      </c>
      <c r="C623" t="s">
        <v>1578</v>
      </c>
      <c r="D623" t="s">
        <v>1579</v>
      </c>
      <c r="E623">
        <v>4</v>
      </c>
      <c r="F623">
        <v>4</v>
      </c>
      <c r="G623">
        <v>1</v>
      </c>
      <c r="H623">
        <v>11.496926125918501</v>
      </c>
      <c r="I623" t="s">
        <v>957</v>
      </c>
      <c r="J623" t="s">
        <v>1580</v>
      </c>
      <c r="K623">
        <v>1.4285714285714299E-2</v>
      </c>
      <c r="L623" t="s">
        <v>959</v>
      </c>
      <c r="M623">
        <v>0.76335877862595403</v>
      </c>
      <c r="N623" t="s">
        <v>960</v>
      </c>
      <c r="O623">
        <v>0</v>
      </c>
      <c r="P623">
        <v>0</v>
      </c>
      <c r="Q623">
        <v>0</v>
      </c>
      <c r="R623">
        <v>0</v>
      </c>
    </row>
    <row r="624" spans="1:18" ht="16" x14ac:dyDescent="0.2">
      <c r="A624" s="127" t="s">
        <v>954</v>
      </c>
      <c r="B624" t="s">
        <v>306</v>
      </c>
      <c r="C624" t="s">
        <v>2563</v>
      </c>
      <c r="D624" t="s">
        <v>2564</v>
      </c>
      <c r="E624" t="s">
        <v>1052</v>
      </c>
      <c r="F624">
        <v>2</v>
      </c>
      <c r="G624">
        <v>2</v>
      </c>
      <c r="H624">
        <v>10.605878528655399</v>
      </c>
      <c r="I624" t="s">
        <v>957</v>
      </c>
      <c r="J624" t="s">
        <v>2565</v>
      </c>
      <c r="K624">
        <v>1.4285714285714299E-2</v>
      </c>
      <c r="L624" t="s">
        <v>959</v>
      </c>
      <c r="M624">
        <v>0.76335877862595403</v>
      </c>
      <c r="N624" t="s">
        <v>960</v>
      </c>
      <c r="O624">
        <v>0</v>
      </c>
      <c r="P624">
        <v>0</v>
      </c>
      <c r="Q624">
        <v>0</v>
      </c>
      <c r="R624">
        <v>0</v>
      </c>
    </row>
    <row r="625" spans="1:18" ht="16" x14ac:dyDescent="0.2">
      <c r="A625" s="127" t="s">
        <v>954</v>
      </c>
      <c r="B625" t="s">
        <v>306</v>
      </c>
      <c r="C625" t="s">
        <v>1076</v>
      </c>
      <c r="D625" t="s">
        <v>1077</v>
      </c>
      <c r="E625" t="s">
        <v>1022</v>
      </c>
      <c r="F625">
        <v>3</v>
      </c>
      <c r="G625">
        <v>2</v>
      </c>
      <c r="H625">
        <v>4.6427460402806799</v>
      </c>
      <c r="I625" t="s">
        <v>957</v>
      </c>
      <c r="J625" t="s">
        <v>1078</v>
      </c>
      <c r="K625">
        <v>0.114285714285714</v>
      </c>
      <c r="L625" t="s">
        <v>959</v>
      </c>
      <c r="M625">
        <v>2.2900763358778602</v>
      </c>
      <c r="N625" t="s">
        <v>960</v>
      </c>
      <c r="O625">
        <v>0</v>
      </c>
      <c r="P625">
        <v>0</v>
      </c>
      <c r="Q625">
        <v>0</v>
      </c>
      <c r="R625">
        <v>0</v>
      </c>
    </row>
    <row r="626" spans="1:18" ht="16" x14ac:dyDescent="0.2">
      <c r="A626" s="127" t="s">
        <v>954</v>
      </c>
      <c r="B626" t="s">
        <v>306</v>
      </c>
      <c r="C626" t="s">
        <v>1869</v>
      </c>
      <c r="D626" t="s">
        <v>1870</v>
      </c>
      <c r="E626" t="s">
        <v>3165</v>
      </c>
      <c r="F626">
        <v>13</v>
      </c>
      <c r="G626">
        <v>5</v>
      </c>
      <c r="H626">
        <v>5.2105420240260898</v>
      </c>
      <c r="I626" t="s">
        <v>957</v>
      </c>
      <c r="J626" t="s">
        <v>3166</v>
      </c>
      <c r="K626" t="s">
        <v>3167</v>
      </c>
      <c r="L626" t="s">
        <v>2024</v>
      </c>
      <c r="M626">
        <v>2.2900763358778602</v>
      </c>
      <c r="N626" t="s">
        <v>987</v>
      </c>
      <c r="O626">
        <v>0</v>
      </c>
      <c r="P626">
        <v>0</v>
      </c>
      <c r="Q626">
        <v>0</v>
      </c>
      <c r="R626">
        <v>0</v>
      </c>
    </row>
    <row r="627" spans="1:18" ht="16" x14ac:dyDescent="0.2">
      <c r="A627" s="127" t="s">
        <v>954</v>
      </c>
      <c r="B627" t="s">
        <v>306</v>
      </c>
      <c r="C627" t="s">
        <v>1849</v>
      </c>
      <c r="D627" t="s">
        <v>1850</v>
      </c>
      <c r="E627">
        <v>3</v>
      </c>
      <c r="F627">
        <v>3</v>
      </c>
      <c r="G627">
        <v>1</v>
      </c>
      <c r="H627">
        <v>11.8321595661992</v>
      </c>
      <c r="I627" t="s">
        <v>957</v>
      </c>
      <c r="J627" t="s">
        <v>1851</v>
      </c>
      <c r="K627">
        <v>7.14285714285714E-3</v>
      </c>
      <c r="L627" t="s">
        <v>959</v>
      </c>
      <c r="M627">
        <v>0.76335877862595403</v>
      </c>
      <c r="N627" t="s">
        <v>960</v>
      </c>
      <c r="O627">
        <v>0</v>
      </c>
      <c r="P627">
        <v>0</v>
      </c>
      <c r="Q627">
        <v>0</v>
      </c>
      <c r="R627">
        <v>0</v>
      </c>
    </row>
    <row r="628" spans="1:18" ht="16" x14ac:dyDescent="0.2">
      <c r="A628" s="127" t="s">
        <v>954</v>
      </c>
      <c r="B628" t="s">
        <v>306</v>
      </c>
      <c r="C628" t="s">
        <v>2120</v>
      </c>
      <c r="D628" t="s">
        <v>2121</v>
      </c>
      <c r="E628" t="s">
        <v>1022</v>
      </c>
      <c r="F628">
        <v>3</v>
      </c>
      <c r="G628">
        <v>2</v>
      </c>
      <c r="H628">
        <v>9.6185501396824495</v>
      </c>
      <c r="I628" t="s">
        <v>957</v>
      </c>
      <c r="J628" t="s">
        <v>2122</v>
      </c>
      <c r="K628">
        <v>4.2857142857142899E-2</v>
      </c>
      <c r="L628" t="s">
        <v>959</v>
      </c>
      <c r="M628">
        <v>0.76335877862595403</v>
      </c>
      <c r="N628" t="s">
        <v>960</v>
      </c>
      <c r="O628">
        <v>0</v>
      </c>
      <c r="P628">
        <v>0</v>
      </c>
      <c r="Q628">
        <v>0</v>
      </c>
      <c r="R628">
        <v>0</v>
      </c>
    </row>
    <row r="629" spans="1:18" ht="16" x14ac:dyDescent="0.2">
      <c r="A629" s="127" t="s">
        <v>954</v>
      </c>
      <c r="B629" t="s">
        <v>306</v>
      </c>
      <c r="C629" t="s">
        <v>3374</v>
      </c>
      <c r="D629" t="s">
        <v>3375</v>
      </c>
      <c r="E629" t="s">
        <v>3376</v>
      </c>
      <c r="F629">
        <v>9</v>
      </c>
      <c r="G629">
        <v>5</v>
      </c>
      <c r="H629">
        <v>9.1656757470711501</v>
      </c>
      <c r="I629" t="s">
        <v>957</v>
      </c>
      <c r="J629" t="s">
        <v>3377</v>
      </c>
      <c r="K629">
        <v>3.5714285714285698E-2</v>
      </c>
      <c r="L629" t="s">
        <v>959</v>
      </c>
      <c r="M629">
        <v>0.76335877862595403</v>
      </c>
      <c r="N629" t="s">
        <v>960</v>
      </c>
      <c r="O629">
        <v>0</v>
      </c>
      <c r="P629">
        <v>0</v>
      </c>
      <c r="Q629">
        <v>0</v>
      </c>
      <c r="R629">
        <v>0</v>
      </c>
    </row>
    <row r="630" spans="1:18" ht="16" x14ac:dyDescent="0.2">
      <c r="A630" s="127" t="s">
        <v>954</v>
      </c>
      <c r="B630" t="s">
        <v>306</v>
      </c>
      <c r="C630" t="s">
        <v>1972</v>
      </c>
      <c r="D630" t="s">
        <v>1973</v>
      </c>
      <c r="E630" t="s">
        <v>1974</v>
      </c>
      <c r="F630">
        <v>5</v>
      </c>
      <c r="G630">
        <v>2</v>
      </c>
      <c r="H630">
        <v>5.6022269586114701</v>
      </c>
      <c r="I630" t="s">
        <v>957</v>
      </c>
      <c r="J630" t="s">
        <v>1975</v>
      </c>
      <c r="K630">
        <v>8.5714285714285701E-2</v>
      </c>
      <c r="L630" t="s">
        <v>959</v>
      </c>
      <c r="M630">
        <v>1.5267175572519101</v>
      </c>
      <c r="N630" t="s">
        <v>960</v>
      </c>
      <c r="O630">
        <v>0</v>
      </c>
      <c r="P630">
        <v>0</v>
      </c>
      <c r="Q630">
        <v>0</v>
      </c>
      <c r="R630">
        <v>0</v>
      </c>
    </row>
    <row r="631" spans="1:18" ht="16" x14ac:dyDescent="0.2">
      <c r="A631" s="127" t="s">
        <v>954</v>
      </c>
      <c r="B631" t="s">
        <v>306</v>
      </c>
      <c r="C631" t="s">
        <v>1506</v>
      </c>
      <c r="D631" t="s">
        <v>1507</v>
      </c>
      <c r="E631">
        <v>4</v>
      </c>
      <c r="F631">
        <v>4</v>
      </c>
      <c r="G631">
        <v>1</v>
      </c>
      <c r="H631">
        <v>8.7535022005862597</v>
      </c>
      <c r="I631" t="s">
        <v>957</v>
      </c>
      <c r="J631" t="s">
        <v>1508</v>
      </c>
      <c r="K631">
        <v>0.05</v>
      </c>
      <c r="L631" t="s">
        <v>959</v>
      </c>
      <c r="M631">
        <v>1.5267175572519101</v>
      </c>
      <c r="N631" t="s">
        <v>960</v>
      </c>
      <c r="O631">
        <v>0</v>
      </c>
      <c r="P631">
        <v>0</v>
      </c>
      <c r="Q631">
        <v>0</v>
      </c>
      <c r="R631">
        <v>0</v>
      </c>
    </row>
    <row r="632" spans="1:18" ht="16" x14ac:dyDescent="0.2">
      <c r="A632" s="127" t="s">
        <v>954</v>
      </c>
      <c r="B632" t="s">
        <v>306</v>
      </c>
      <c r="C632" t="s">
        <v>2599</v>
      </c>
      <c r="D632" t="s">
        <v>3121</v>
      </c>
      <c r="E632">
        <v>12</v>
      </c>
      <c r="F632">
        <v>12</v>
      </c>
      <c r="G632">
        <v>1</v>
      </c>
      <c r="H632">
        <v>10.5198956765955</v>
      </c>
      <c r="I632" t="s">
        <v>957</v>
      </c>
      <c r="J632" t="s">
        <v>3122</v>
      </c>
      <c r="K632">
        <v>8.5714285714285701E-2</v>
      </c>
      <c r="L632" t="s">
        <v>959</v>
      </c>
      <c r="M632">
        <v>1.5267175572519101</v>
      </c>
      <c r="N632" t="s">
        <v>960</v>
      </c>
      <c r="O632">
        <v>0</v>
      </c>
      <c r="P632">
        <v>0</v>
      </c>
      <c r="Q632">
        <v>0</v>
      </c>
      <c r="R632">
        <v>0</v>
      </c>
    </row>
    <row r="633" spans="1:18" ht="16" x14ac:dyDescent="0.2">
      <c r="A633" s="127" t="s">
        <v>954</v>
      </c>
      <c r="B633" t="s">
        <v>306</v>
      </c>
      <c r="C633" t="s">
        <v>1037</v>
      </c>
      <c r="D633" t="s">
        <v>1038</v>
      </c>
      <c r="E633" t="s">
        <v>1039</v>
      </c>
      <c r="F633">
        <v>3</v>
      </c>
      <c r="G633">
        <v>2</v>
      </c>
      <c r="H633">
        <v>11.8321595661992</v>
      </c>
      <c r="I633" t="s">
        <v>957</v>
      </c>
      <c r="J633" t="s">
        <v>1040</v>
      </c>
      <c r="K633">
        <v>7.14285714285714E-3</v>
      </c>
      <c r="L633" t="s">
        <v>959</v>
      </c>
      <c r="M633">
        <v>0.76335877862595403</v>
      </c>
      <c r="N633" t="s">
        <v>960</v>
      </c>
      <c r="O633">
        <v>0</v>
      </c>
      <c r="P633">
        <v>0</v>
      </c>
      <c r="Q633">
        <v>0</v>
      </c>
      <c r="R633">
        <v>0</v>
      </c>
    </row>
    <row r="634" spans="1:18" ht="16" x14ac:dyDescent="0.2">
      <c r="A634" s="127" t="s">
        <v>954</v>
      </c>
      <c r="B634" t="s">
        <v>306</v>
      </c>
      <c r="C634" t="s">
        <v>2877</v>
      </c>
      <c r="D634" t="s">
        <v>2878</v>
      </c>
      <c r="E634" t="s">
        <v>1488</v>
      </c>
      <c r="F634">
        <v>8</v>
      </c>
      <c r="G634">
        <v>2</v>
      </c>
      <c r="H634">
        <v>5.1313946819893497</v>
      </c>
      <c r="I634" t="s">
        <v>957</v>
      </c>
      <c r="J634" t="s">
        <v>2879</v>
      </c>
      <c r="K634">
        <v>0.128571428571429</v>
      </c>
      <c r="L634" t="s">
        <v>959</v>
      </c>
      <c r="M634">
        <v>0.76335877862595403</v>
      </c>
      <c r="N634" t="s">
        <v>960</v>
      </c>
      <c r="O634">
        <v>0</v>
      </c>
      <c r="P634" t="s">
        <v>5018</v>
      </c>
      <c r="Q634">
        <v>0</v>
      </c>
      <c r="R634">
        <v>0</v>
      </c>
    </row>
    <row r="635" spans="1:18" ht="16" x14ac:dyDescent="0.2">
      <c r="A635" s="127" t="s">
        <v>954</v>
      </c>
      <c r="B635" t="s">
        <v>310</v>
      </c>
      <c r="C635" t="s">
        <v>179</v>
      </c>
      <c r="D635" t="s">
        <v>2968</v>
      </c>
      <c r="E635">
        <v>3</v>
      </c>
      <c r="F635">
        <v>3</v>
      </c>
      <c r="G635">
        <v>1</v>
      </c>
      <c r="H635">
        <v>11.246412354404701</v>
      </c>
      <c r="I635" t="s">
        <v>957</v>
      </c>
      <c r="J635" t="s">
        <v>2969</v>
      </c>
      <c r="K635">
        <v>1.4285714285714299E-2</v>
      </c>
      <c r="L635" t="s">
        <v>959</v>
      </c>
      <c r="M635">
        <v>0.76335877862595403</v>
      </c>
      <c r="N635" t="s">
        <v>960</v>
      </c>
      <c r="O635">
        <v>0</v>
      </c>
      <c r="P635">
        <v>0</v>
      </c>
      <c r="Q635">
        <v>0</v>
      </c>
      <c r="R635">
        <v>0</v>
      </c>
    </row>
    <row r="636" spans="1:18" ht="16" x14ac:dyDescent="0.2">
      <c r="A636" s="127" t="s">
        <v>954</v>
      </c>
      <c r="B636" t="s">
        <v>310</v>
      </c>
      <c r="C636" t="s">
        <v>1604</v>
      </c>
      <c r="D636" t="s">
        <v>1605</v>
      </c>
      <c r="E636">
        <v>3</v>
      </c>
      <c r="F636">
        <v>3</v>
      </c>
      <c r="G636">
        <v>1</v>
      </c>
      <c r="H636">
        <v>9.8631957611800996</v>
      </c>
      <c r="I636" t="s">
        <v>957</v>
      </c>
      <c r="J636" t="s">
        <v>1606</v>
      </c>
      <c r="K636">
        <v>1.4285714285714299E-2</v>
      </c>
      <c r="L636" t="s">
        <v>959</v>
      </c>
      <c r="M636">
        <v>0.76335877862595403</v>
      </c>
      <c r="N636" t="s">
        <v>960</v>
      </c>
      <c r="O636">
        <v>0</v>
      </c>
      <c r="P636">
        <v>0</v>
      </c>
      <c r="Q636">
        <v>0</v>
      </c>
      <c r="R636">
        <v>0</v>
      </c>
    </row>
    <row r="637" spans="1:18" ht="16" x14ac:dyDescent="0.2">
      <c r="A637" s="127" t="s">
        <v>954</v>
      </c>
      <c r="B637" t="s">
        <v>314</v>
      </c>
      <c r="C637" t="s">
        <v>1531</v>
      </c>
      <c r="D637" t="s">
        <v>1532</v>
      </c>
      <c r="E637" t="s">
        <v>1008</v>
      </c>
      <c r="F637">
        <v>7</v>
      </c>
      <c r="G637">
        <v>2</v>
      </c>
      <c r="H637">
        <v>8.9921729926428497</v>
      </c>
      <c r="I637" t="s">
        <v>957</v>
      </c>
      <c r="J637" t="s">
        <v>1533</v>
      </c>
      <c r="K637">
        <v>1.4285714285714299E-2</v>
      </c>
      <c r="L637" t="s">
        <v>959</v>
      </c>
      <c r="M637">
        <v>1.5267175572519101</v>
      </c>
      <c r="N637" t="s">
        <v>1534</v>
      </c>
      <c r="O637">
        <v>0</v>
      </c>
      <c r="P637">
        <v>0</v>
      </c>
      <c r="Q637">
        <v>0</v>
      </c>
      <c r="R637">
        <v>0</v>
      </c>
    </row>
    <row r="638" spans="1:18" ht="16" x14ac:dyDescent="0.2">
      <c r="A638" s="127" t="s">
        <v>954</v>
      </c>
      <c r="B638" t="s">
        <v>314</v>
      </c>
      <c r="C638" t="s">
        <v>297</v>
      </c>
      <c r="D638" t="s">
        <v>2534</v>
      </c>
      <c r="E638">
        <v>2</v>
      </c>
      <c r="F638">
        <v>2</v>
      </c>
      <c r="G638">
        <v>1</v>
      </c>
      <c r="H638">
        <v>9.0368644790565895</v>
      </c>
      <c r="I638" t="s">
        <v>957</v>
      </c>
      <c r="J638" t="s">
        <v>2535</v>
      </c>
      <c r="K638">
        <v>2.1428571428571401E-2</v>
      </c>
      <c r="L638" t="s">
        <v>959</v>
      </c>
      <c r="M638">
        <v>1.5267175572519101</v>
      </c>
      <c r="N638" t="s">
        <v>2505</v>
      </c>
      <c r="O638">
        <v>0</v>
      </c>
      <c r="P638" t="s">
        <v>5018</v>
      </c>
      <c r="Q638">
        <v>0</v>
      </c>
      <c r="R638">
        <v>0</v>
      </c>
    </row>
    <row r="639" spans="1:18" ht="16" x14ac:dyDescent="0.2">
      <c r="A639" s="127" t="s">
        <v>954</v>
      </c>
      <c r="B639" t="s">
        <v>314</v>
      </c>
      <c r="C639" t="s">
        <v>1969</v>
      </c>
      <c r="D639" t="s">
        <v>1970</v>
      </c>
      <c r="E639" t="s">
        <v>1971</v>
      </c>
      <c r="F639">
        <v>21</v>
      </c>
      <c r="G639">
        <v>2</v>
      </c>
      <c r="H639">
        <v>3.1091263510295999</v>
      </c>
      <c r="I639">
        <v>0.72</v>
      </c>
      <c r="J639" t="s">
        <v>957</v>
      </c>
      <c r="K639">
        <v>50</v>
      </c>
      <c r="L639" t="s">
        <v>977</v>
      </c>
      <c r="M639">
        <v>1.5267175572519101</v>
      </c>
      <c r="N639" t="s">
        <v>973</v>
      </c>
      <c r="O639">
        <v>0</v>
      </c>
      <c r="P639" t="s">
        <v>5018</v>
      </c>
      <c r="Q639">
        <v>0</v>
      </c>
      <c r="R639">
        <v>0</v>
      </c>
    </row>
    <row r="640" spans="1:18" ht="16" x14ac:dyDescent="0.2">
      <c r="A640" s="127" t="s">
        <v>954</v>
      </c>
      <c r="B640" t="s">
        <v>314</v>
      </c>
      <c r="C640" t="s">
        <v>1875</v>
      </c>
      <c r="D640" t="s">
        <v>1876</v>
      </c>
      <c r="E640" t="s">
        <v>3535</v>
      </c>
      <c r="F640">
        <v>65</v>
      </c>
      <c r="G640">
        <v>6</v>
      </c>
      <c r="H640">
        <v>5.3590166343646102</v>
      </c>
      <c r="I640" t="s">
        <v>957</v>
      </c>
      <c r="J640" t="s">
        <v>3536</v>
      </c>
      <c r="K640" t="s">
        <v>3537</v>
      </c>
      <c r="L640" t="s">
        <v>2024</v>
      </c>
      <c r="M640">
        <v>1.5267175572519101</v>
      </c>
      <c r="N640" t="s">
        <v>1534</v>
      </c>
      <c r="O640">
        <v>0</v>
      </c>
      <c r="P640">
        <v>0</v>
      </c>
      <c r="Q640">
        <v>0</v>
      </c>
      <c r="R640">
        <v>0</v>
      </c>
    </row>
    <row r="641" spans="1:18" ht="16" x14ac:dyDescent="0.2">
      <c r="A641" s="127" t="s">
        <v>954</v>
      </c>
      <c r="B641" t="s">
        <v>314</v>
      </c>
      <c r="C641" t="s">
        <v>968</v>
      </c>
      <c r="D641" t="s">
        <v>969</v>
      </c>
      <c r="E641" t="s">
        <v>970</v>
      </c>
      <c r="F641">
        <v>12</v>
      </c>
      <c r="G641">
        <v>2</v>
      </c>
      <c r="H641">
        <v>5.3851648071345002</v>
      </c>
      <c r="I641" t="s">
        <v>957</v>
      </c>
      <c r="J641" t="s">
        <v>971</v>
      </c>
      <c r="K641">
        <v>3.4482758620689703E-2</v>
      </c>
      <c r="L641" t="s">
        <v>972</v>
      </c>
      <c r="M641">
        <v>0.76335877862595403</v>
      </c>
      <c r="N641" t="s">
        <v>973</v>
      </c>
      <c r="O641">
        <v>0</v>
      </c>
      <c r="P641">
        <v>0</v>
      </c>
      <c r="Q641">
        <v>0</v>
      </c>
      <c r="R641">
        <v>0</v>
      </c>
    </row>
    <row r="642" spans="1:18" ht="16" x14ac:dyDescent="0.2">
      <c r="A642" s="127" t="s">
        <v>954</v>
      </c>
      <c r="B642" t="s">
        <v>318</v>
      </c>
      <c r="C642" t="s">
        <v>1660</v>
      </c>
      <c r="D642" t="s">
        <v>1661</v>
      </c>
      <c r="E642" t="s">
        <v>1442</v>
      </c>
      <c r="F642">
        <v>5</v>
      </c>
      <c r="G642">
        <v>2</v>
      </c>
      <c r="H642">
        <v>5.4540998801827403</v>
      </c>
      <c r="I642" t="s">
        <v>957</v>
      </c>
      <c r="J642" t="s">
        <v>1662</v>
      </c>
      <c r="K642">
        <v>0.17857142857142899</v>
      </c>
      <c r="L642" t="s">
        <v>959</v>
      </c>
      <c r="M642">
        <v>1.5267175572519101</v>
      </c>
      <c r="N642" t="s">
        <v>960</v>
      </c>
      <c r="O642">
        <v>0</v>
      </c>
      <c r="P642">
        <v>0</v>
      </c>
      <c r="Q642">
        <v>0</v>
      </c>
      <c r="R642">
        <v>0</v>
      </c>
    </row>
    <row r="643" spans="1:18" ht="16" x14ac:dyDescent="0.2">
      <c r="A643" s="127" t="s">
        <v>954</v>
      </c>
      <c r="B643" t="s">
        <v>318</v>
      </c>
      <c r="C643" t="s">
        <v>1935</v>
      </c>
      <c r="D643" t="s">
        <v>1936</v>
      </c>
      <c r="E643" t="s">
        <v>1052</v>
      </c>
      <c r="F643">
        <v>2</v>
      </c>
      <c r="G643">
        <v>2</v>
      </c>
      <c r="H643">
        <v>7.6169262745559001</v>
      </c>
      <c r="I643" t="s">
        <v>957</v>
      </c>
      <c r="J643" t="s">
        <v>1937</v>
      </c>
      <c r="K643">
        <v>0.05</v>
      </c>
      <c r="L643" t="s">
        <v>959</v>
      </c>
      <c r="M643">
        <v>0.76335877862595403</v>
      </c>
      <c r="N643" t="s">
        <v>960</v>
      </c>
      <c r="O643">
        <v>0</v>
      </c>
      <c r="P643">
        <v>0</v>
      </c>
      <c r="Q643">
        <v>0</v>
      </c>
      <c r="R643">
        <v>0</v>
      </c>
    </row>
    <row r="644" spans="1:18" ht="16" x14ac:dyDescent="0.2">
      <c r="A644" s="127" t="s">
        <v>954</v>
      </c>
      <c r="B644" t="s">
        <v>318</v>
      </c>
      <c r="C644" t="s">
        <v>1625</v>
      </c>
      <c r="D644" t="s">
        <v>1626</v>
      </c>
      <c r="E644">
        <v>4</v>
      </c>
      <c r="F644">
        <v>4</v>
      </c>
      <c r="G644">
        <v>1</v>
      </c>
      <c r="H644">
        <v>5.6817971061043497</v>
      </c>
      <c r="I644" t="s">
        <v>957</v>
      </c>
      <c r="J644" t="s">
        <v>1628</v>
      </c>
      <c r="K644">
        <v>2.1428571428571401E-2</v>
      </c>
      <c r="L644" t="s">
        <v>959</v>
      </c>
      <c r="M644">
        <v>1.5267175572519101</v>
      </c>
      <c r="N644" t="s">
        <v>960</v>
      </c>
      <c r="O644">
        <v>0</v>
      </c>
      <c r="P644">
        <v>0</v>
      </c>
      <c r="Q644">
        <v>0</v>
      </c>
      <c r="R644">
        <v>0</v>
      </c>
    </row>
    <row r="645" spans="1:18" ht="16" x14ac:dyDescent="0.2">
      <c r="A645" s="127" t="s">
        <v>954</v>
      </c>
      <c r="B645" t="s">
        <v>318</v>
      </c>
      <c r="C645" t="s">
        <v>2613</v>
      </c>
      <c r="D645" t="s">
        <v>2614</v>
      </c>
      <c r="E645" t="s">
        <v>2615</v>
      </c>
      <c r="F645">
        <v>13</v>
      </c>
      <c r="G645">
        <v>2</v>
      </c>
      <c r="H645">
        <v>4.8961924408302</v>
      </c>
      <c r="I645" t="s">
        <v>957</v>
      </c>
      <c r="J645" t="s">
        <v>2616</v>
      </c>
      <c r="K645">
        <v>2.1428571428571401E-2</v>
      </c>
      <c r="L645" t="s">
        <v>959</v>
      </c>
      <c r="M645">
        <v>2.2900763358778602</v>
      </c>
      <c r="N645" t="s">
        <v>960</v>
      </c>
      <c r="O645">
        <v>0</v>
      </c>
      <c r="P645">
        <v>0</v>
      </c>
      <c r="Q645">
        <v>0</v>
      </c>
      <c r="R645">
        <v>0</v>
      </c>
    </row>
    <row r="646" spans="1:18" ht="16" x14ac:dyDescent="0.2">
      <c r="A646" s="127" t="s">
        <v>954</v>
      </c>
      <c r="B646" t="s">
        <v>318</v>
      </c>
      <c r="C646" t="s">
        <v>1134</v>
      </c>
      <c r="D646" t="s">
        <v>1135</v>
      </c>
      <c r="E646" t="s">
        <v>1349</v>
      </c>
      <c r="F646">
        <v>25</v>
      </c>
      <c r="G646">
        <v>2</v>
      </c>
      <c r="H646">
        <v>5.8756186596618498</v>
      </c>
      <c r="I646" t="s">
        <v>957</v>
      </c>
      <c r="J646" t="s">
        <v>1350</v>
      </c>
      <c r="K646">
        <v>1.4285714285714299E-2</v>
      </c>
      <c r="L646" t="s">
        <v>959</v>
      </c>
      <c r="M646">
        <v>1.5267175572519101</v>
      </c>
      <c r="N646" t="s">
        <v>960</v>
      </c>
      <c r="O646">
        <v>0</v>
      </c>
      <c r="P646">
        <v>0</v>
      </c>
      <c r="Q646">
        <v>0</v>
      </c>
      <c r="R646">
        <v>0</v>
      </c>
    </row>
    <row r="647" spans="1:18" ht="16" x14ac:dyDescent="0.2">
      <c r="A647" s="127" t="s">
        <v>954</v>
      </c>
      <c r="B647" t="s">
        <v>318</v>
      </c>
      <c r="C647" t="s">
        <v>1093</v>
      </c>
      <c r="D647" t="s">
        <v>1094</v>
      </c>
      <c r="E647" t="s">
        <v>1052</v>
      </c>
      <c r="F647">
        <v>2</v>
      </c>
      <c r="G647">
        <v>2</v>
      </c>
      <c r="H647">
        <v>5.1159522451267501</v>
      </c>
      <c r="I647" t="s">
        <v>957</v>
      </c>
      <c r="J647" t="s">
        <v>1133</v>
      </c>
      <c r="K647">
        <v>7.8571428571428598E-2</v>
      </c>
      <c r="L647" t="s">
        <v>959</v>
      </c>
      <c r="M647">
        <v>1.5267175572519101</v>
      </c>
      <c r="N647" t="s">
        <v>960</v>
      </c>
      <c r="O647">
        <v>0</v>
      </c>
      <c r="P647">
        <v>0</v>
      </c>
      <c r="Q647">
        <v>0</v>
      </c>
      <c r="R647">
        <v>0</v>
      </c>
    </row>
    <row r="648" spans="1:18" ht="16" x14ac:dyDescent="0.2">
      <c r="A648" s="127" t="s">
        <v>954</v>
      </c>
      <c r="B648" t="s">
        <v>322</v>
      </c>
      <c r="C648" t="s">
        <v>2510</v>
      </c>
      <c r="D648" t="s">
        <v>2511</v>
      </c>
      <c r="E648">
        <v>3</v>
      </c>
      <c r="F648">
        <v>3</v>
      </c>
      <c r="G648">
        <v>1</v>
      </c>
      <c r="H648">
        <v>5.4447511404536897</v>
      </c>
      <c r="I648" t="s">
        <v>957</v>
      </c>
      <c r="J648" t="s">
        <v>2512</v>
      </c>
      <c r="K648">
        <v>9.2857142857142902E-2</v>
      </c>
      <c r="L648" t="s">
        <v>959</v>
      </c>
      <c r="M648">
        <v>2.2900763358778602</v>
      </c>
      <c r="N648" t="s">
        <v>960</v>
      </c>
      <c r="O648">
        <v>0</v>
      </c>
      <c r="P648">
        <v>0</v>
      </c>
      <c r="Q648">
        <v>0</v>
      </c>
      <c r="R648">
        <v>0</v>
      </c>
    </row>
    <row r="649" spans="1:18" ht="16" x14ac:dyDescent="0.2">
      <c r="A649" s="127" t="s">
        <v>954</v>
      </c>
      <c r="B649" t="s">
        <v>322</v>
      </c>
      <c r="C649" t="s">
        <v>138</v>
      </c>
      <c r="D649" t="s">
        <v>1697</v>
      </c>
      <c r="E649">
        <v>3</v>
      </c>
      <c r="F649">
        <v>3</v>
      </c>
      <c r="G649">
        <v>1</v>
      </c>
      <c r="H649">
        <v>11.8321595661992</v>
      </c>
      <c r="I649" t="s">
        <v>957</v>
      </c>
      <c r="J649" t="s">
        <v>1698</v>
      </c>
      <c r="K649">
        <v>7.14285714285714E-3</v>
      </c>
      <c r="L649" t="s">
        <v>959</v>
      </c>
      <c r="M649">
        <v>0.76335877862595403</v>
      </c>
      <c r="N649" t="s">
        <v>960</v>
      </c>
      <c r="O649">
        <v>0</v>
      </c>
      <c r="P649">
        <v>0</v>
      </c>
      <c r="Q649">
        <v>0</v>
      </c>
      <c r="R649">
        <v>0</v>
      </c>
    </row>
    <row r="650" spans="1:18" ht="16" x14ac:dyDescent="0.2">
      <c r="A650" s="127" t="s">
        <v>954</v>
      </c>
      <c r="B650" t="s">
        <v>322</v>
      </c>
      <c r="C650" t="s">
        <v>2233</v>
      </c>
      <c r="D650" t="s">
        <v>2234</v>
      </c>
      <c r="E650">
        <v>6</v>
      </c>
      <c r="F650">
        <v>6</v>
      </c>
      <c r="G650">
        <v>1</v>
      </c>
      <c r="H650">
        <v>5.2040709982694002</v>
      </c>
      <c r="I650" t="s">
        <v>957</v>
      </c>
      <c r="J650" t="s">
        <v>2235</v>
      </c>
      <c r="K650">
        <v>0.16428571428571401</v>
      </c>
      <c r="L650" t="s">
        <v>959</v>
      </c>
      <c r="M650">
        <v>1.5267175572519101</v>
      </c>
      <c r="N650" t="s">
        <v>960</v>
      </c>
      <c r="O650">
        <v>0</v>
      </c>
      <c r="P650">
        <v>0</v>
      </c>
      <c r="Q650">
        <v>0</v>
      </c>
      <c r="R650">
        <v>0</v>
      </c>
    </row>
    <row r="651" spans="1:18" ht="16" x14ac:dyDescent="0.2">
      <c r="A651" s="127" t="s">
        <v>954</v>
      </c>
      <c r="B651" t="s">
        <v>322</v>
      </c>
      <c r="C651" t="s">
        <v>2526</v>
      </c>
      <c r="D651" t="s">
        <v>2527</v>
      </c>
      <c r="E651">
        <v>5</v>
      </c>
      <c r="F651">
        <v>5</v>
      </c>
      <c r="G651">
        <v>1</v>
      </c>
      <c r="H651">
        <v>5.70710058434305</v>
      </c>
      <c r="I651" t="s">
        <v>957</v>
      </c>
      <c r="J651" t="s">
        <v>2528</v>
      </c>
      <c r="K651">
        <v>0.157142857142857</v>
      </c>
      <c r="L651" t="s">
        <v>959</v>
      </c>
      <c r="M651">
        <v>1.5267175572519101</v>
      </c>
      <c r="N651" t="s">
        <v>960</v>
      </c>
      <c r="O651">
        <v>0</v>
      </c>
      <c r="P651">
        <v>0</v>
      </c>
      <c r="Q651">
        <v>0</v>
      </c>
      <c r="R651">
        <v>0</v>
      </c>
    </row>
    <row r="652" spans="1:18" ht="16" x14ac:dyDescent="0.2">
      <c r="A652" s="127" t="s">
        <v>954</v>
      </c>
      <c r="B652" t="s">
        <v>322</v>
      </c>
      <c r="C652" t="s">
        <v>1355</v>
      </c>
      <c r="D652" t="s">
        <v>2148</v>
      </c>
      <c r="E652">
        <v>3</v>
      </c>
      <c r="F652">
        <v>3</v>
      </c>
      <c r="G652">
        <v>1</v>
      </c>
      <c r="H652">
        <v>5.33624664123582</v>
      </c>
      <c r="I652" t="s">
        <v>957</v>
      </c>
      <c r="J652" t="s">
        <v>3095</v>
      </c>
      <c r="K652">
        <v>0.157142857142857</v>
      </c>
      <c r="L652" t="s">
        <v>959</v>
      </c>
      <c r="M652">
        <v>2.2900763358778602</v>
      </c>
      <c r="N652" t="s">
        <v>960</v>
      </c>
      <c r="O652">
        <v>0</v>
      </c>
      <c r="P652">
        <v>0</v>
      </c>
      <c r="Q652">
        <v>0</v>
      </c>
      <c r="R652">
        <v>0</v>
      </c>
    </row>
    <row r="653" spans="1:18" ht="16" x14ac:dyDescent="0.2">
      <c r="A653" s="127" t="s">
        <v>954</v>
      </c>
      <c r="B653" t="s">
        <v>322</v>
      </c>
      <c r="C653" t="s">
        <v>1147</v>
      </c>
      <c r="D653" t="s">
        <v>1148</v>
      </c>
      <c r="E653">
        <v>6</v>
      </c>
      <c r="F653">
        <v>6</v>
      </c>
      <c r="G653">
        <v>1</v>
      </c>
      <c r="H653">
        <v>6.3178595742413304</v>
      </c>
      <c r="I653" t="s">
        <v>957</v>
      </c>
      <c r="J653" t="s">
        <v>2261</v>
      </c>
      <c r="K653">
        <v>9.2857142857142902E-2</v>
      </c>
      <c r="L653" t="s">
        <v>959</v>
      </c>
      <c r="M653">
        <v>3.8167938931297698</v>
      </c>
      <c r="N653" t="s">
        <v>960</v>
      </c>
      <c r="O653">
        <v>0</v>
      </c>
      <c r="P653">
        <v>0</v>
      </c>
      <c r="Q653">
        <v>0</v>
      </c>
      <c r="R653">
        <v>0</v>
      </c>
    </row>
    <row r="654" spans="1:18" ht="16" x14ac:dyDescent="0.2">
      <c r="A654" s="127" t="s">
        <v>954</v>
      </c>
      <c r="B654" t="s">
        <v>325</v>
      </c>
      <c r="C654" t="s">
        <v>2520</v>
      </c>
      <c r="D654" t="s">
        <v>2521</v>
      </c>
      <c r="E654">
        <v>5</v>
      </c>
      <c r="F654">
        <v>5</v>
      </c>
      <c r="G654">
        <v>1</v>
      </c>
      <c r="H654">
        <v>7.5153230593121902</v>
      </c>
      <c r="I654" t="s">
        <v>957</v>
      </c>
      <c r="J654" t="s">
        <v>2831</v>
      </c>
      <c r="K654">
        <v>0.157142857142857</v>
      </c>
      <c r="L654" t="s">
        <v>959</v>
      </c>
      <c r="M654">
        <v>2.2900763358778602</v>
      </c>
      <c r="N654" t="s">
        <v>960</v>
      </c>
      <c r="O654">
        <v>0</v>
      </c>
      <c r="P654">
        <v>0</v>
      </c>
      <c r="Q654">
        <v>0</v>
      </c>
      <c r="R654">
        <v>0</v>
      </c>
    </row>
    <row r="655" spans="1:18" ht="16" x14ac:dyDescent="0.2">
      <c r="A655" s="127" t="s">
        <v>954</v>
      </c>
      <c r="B655" t="s">
        <v>325</v>
      </c>
      <c r="C655" t="s">
        <v>1751</v>
      </c>
      <c r="D655" t="s">
        <v>1752</v>
      </c>
      <c r="E655" t="s">
        <v>1102</v>
      </c>
      <c r="F655">
        <v>4</v>
      </c>
      <c r="G655">
        <v>2</v>
      </c>
      <c r="H655">
        <v>5.9741258101075196</v>
      </c>
      <c r="I655" t="s">
        <v>957</v>
      </c>
      <c r="J655" t="s">
        <v>3728</v>
      </c>
      <c r="K655">
        <v>7.1428571428571397E-2</v>
      </c>
      <c r="L655" t="s">
        <v>959</v>
      </c>
      <c r="M655">
        <v>1.5267175572519101</v>
      </c>
      <c r="N655" t="s">
        <v>960</v>
      </c>
      <c r="O655">
        <v>0</v>
      </c>
      <c r="P655">
        <v>0</v>
      </c>
      <c r="Q655">
        <v>0</v>
      </c>
      <c r="R655">
        <v>0</v>
      </c>
    </row>
    <row r="656" spans="1:18" ht="16" x14ac:dyDescent="0.2">
      <c r="A656" s="127" t="s">
        <v>954</v>
      </c>
      <c r="B656" t="s">
        <v>325</v>
      </c>
      <c r="C656" t="s">
        <v>2780</v>
      </c>
      <c r="D656" t="s">
        <v>2781</v>
      </c>
      <c r="E656">
        <v>4</v>
      </c>
      <c r="F656">
        <v>4</v>
      </c>
      <c r="G656">
        <v>1</v>
      </c>
      <c r="H656">
        <v>5.7734855309166404</v>
      </c>
      <c r="I656" t="s">
        <v>957</v>
      </c>
      <c r="J656" t="s">
        <v>3056</v>
      </c>
      <c r="K656">
        <v>9.2857142857142902E-2</v>
      </c>
      <c r="L656" t="s">
        <v>959</v>
      </c>
      <c r="M656">
        <v>2.2900763358778602</v>
      </c>
      <c r="N656" t="s">
        <v>960</v>
      </c>
      <c r="O656">
        <v>0</v>
      </c>
      <c r="P656">
        <v>0</v>
      </c>
      <c r="Q656">
        <v>0</v>
      </c>
      <c r="R656">
        <v>0</v>
      </c>
    </row>
    <row r="657" spans="1:18" ht="16" x14ac:dyDescent="0.2">
      <c r="A657" s="127" t="s">
        <v>954</v>
      </c>
      <c r="B657" t="s">
        <v>325</v>
      </c>
      <c r="C657" t="s">
        <v>3660</v>
      </c>
      <c r="E657">
        <v>4</v>
      </c>
      <c r="F657">
        <v>4</v>
      </c>
      <c r="G657">
        <v>1</v>
      </c>
      <c r="H657">
        <v>7.4127923080359004</v>
      </c>
      <c r="I657" t="s">
        <v>957</v>
      </c>
      <c r="J657" t="s">
        <v>3661</v>
      </c>
      <c r="K657">
        <v>7.8571428571428598E-2</v>
      </c>
      <c r="L657" t="s">
        <v>959</v>
      </c>
      <c r="M657">
        <v>0.76335877862595403</v>
      </c>
      <c r="N657" t="s">
        <v>960</v>
      </c>
      <c r="O657">
        <v>0</v>
      </c>
      <c r="P657">
        <v>0</v>
      </c>
      <c r="Q657">
        <v>0</v>
      </c>
      <c r="R657">
        <v>0</v>
      </c>
    </row>
    <row r="658" spans="1:18" ht="16" x14ac:dyDescent="0.2">
      <c r="A658" s="127" t="s">
        <v>954</v>
      </c>
      <c r="B658" t="s">
        <v>325</v>
      </c>
      <c r="C658" t="s">
        <v>2270</v>
      </c>
      <c r="D658" t="s">
        <v>2271</v>
      </c>
      <c r="E658">
        <v>3</v>
      </c>
      <c r="F658">
        <v>3</v>
      </c>
      <c r="G658">
        <v>1</v>
      </c>
      <c r="H658">
        <v>11.8321595661992</v>
      </c>
      <c r="I658" t="s">
        <v>957</v>
      </c>
      <c r="J658" t="s">
        <v>2272</v>
      </c>
      <c r="K658">
        <v>7.14285714285714E-3</v>
      </c>
      <c r="L658" t="s">
        <v>959</v>
      </c>
      <c r="M658">
        <v>0.76335877862595403</v>
      </c>
      <c r="N658" t="s">
        <v>960</v>
      </c>
      <c r="O658">
        <v>0</v>
      </c>
      <c r="P658">
        <v>0</v>
      </c>
      <c r="Q658">
        <v>0</v>
      </c>
      <c r="R658">
        <v>0</v>
      </c>
    </row>
    <row r="659" spans="1:18" ht="16" x14ac:dyDescent="0.2">
      <c r="A659" s="127" t="s">
        <v>954</v>
      </c>
      <c r="B659" t="s">
        <v>325</v>
      </c>
      <c r="C659" t="s">
        <v>2051</v>
      </c>
      <c r="D659" t="s">
        <v>2052</v>
      </c>
      <c r="E659">
        <v>3</v>
      </c>
      <c r="F659">
        <v>3</v>
      </c>
      <c r="G659">
        <v>1</v>
      </c>
      <c r="H659">
        <v>10.320921222120401</v>
      </c>
      <c r="I659" t="s">
        <v>957</v>
      </c>
      <c r="J659" t="s">
        <v>2053</v>
      </c>
      <c r="K659">
        <v>2.8571428571428598E-2</v>
      </c>
      <c r="L659" t="s">
        <v>959</v>
      </c>
      <c r="M659">
        <v>0.76335877862595403</v>
      </c>
      <c r="N659" t="s">
        <v>960</v>
      </c>
      <c r="O659">
        <v>0</v>
      </c>
      <c r="P659">
        <v>0</v>
      </c>
      <c r="Q659">
        <v>0</v>
      </c>
      <c r="R659">
        <v>0</v>
      </c>
    </row>
    <row r="660" spans="1:18" ht="16" x14ac:dyDescent="0.2">
      <c r="A660" s="127" t="s">
        <v>954</v>
      </c>
      <c r="B660" t="s">
        <v>325</v>
      </c>
      <c r="C660" t="s">
        <v>983</v>
      </c>
      <c r="D660" t="s">
        <v>984</v>
      </c>
      <c r="E660">
        <v>6</v>
      </c>
      <c r="F660">
        <v>6</v>
      </c>
      <c r="G660">
        <v>1</v>
      </c>
      <c r="H660">
        <v>6.8463994881553898</v>
      </c>
      <c r="I660" t="s">
        <v>957</v>
      </c>
      <c r="J660" t="s">
        <v>3604</v>
      </c>
      <c r="K660">
        <v>0.128571428571429</v>
      </c>
      <c r="L660" t="s">
        <v>959</v>
      </c>
      <c r="M660">
        <v>2.2900763358778602</v>
      </c>
      <c r="N660" t="s">
        <v>960</v>
      </c>
      <c r="O660">
        <v>0</v>
      </c>
      <c r="P660">
        <v>0</v>
      </c>
      <c r="Q660">
        <v>0</v>
      </c>
      <c r="R660">
        <v>0</v>
      </c>
    </row>
    <row r="661" spans="1:18" ht="16" x14ac:dyDescent="0.2">
      <c r="A661" s="127" t="s">
        <v>954</v>
      </c>
      <c r="B661" t="s">
        <v>325</v>
      </c>
      <c r="C661" t="s">
        <v>2523</v>
      </c>
      <c r="D661" t="s">
        <v>2668</v>
      </c>
      <c r="E661">
        <v>5</v>
      </c>
      <c r="F661">
        <v>5</v>
      </c>
      <c r="G661">
        <v>1</v>
      </c>
      <c r="H661">
        <v>6.6886565074105802</v>
      </c>
      <c r="I661" t="s">
        <v>957</v>
      </c>
      <c r="J661" t="s">
        <v>2525</v>
      </c>
      <c r="K661">
        <v>3.5714285714285698E-2</v>
      </c>
      <c r="L661" t="s">
        <v>959</v>
      </c>
      <c r="M661">
        <v>1.5267175572519101</v>
      </c>
      <c r="N661" t="s">
        <v>960</v>
      </c>
      <c r="O661">
        <v>0</v>
      </c>
      <c r="P661">
        <v>0</v>
      </c>
      <c r="Q661">
        <v>0</v>
      </c>
      <c r="R661">
        <v>0</v>
      </c>
    </row>
    <row r="662" spans="1:18" ht="16" x14ac:dyDescent="0.2">
      <c r="A662" s="127" t="s">
        <v>954</v>
      </c>
      <c r="B662" t="s">
        <v>325</v>
      </c>
      <c r="C662" t="s">
        <v>2242</v>
      </c>
      <c r="D662" t="s">
        <v>2243</v>
      </c>
      <c r="E662">
        <v>3</v>
      </c>
      <c r="F662">
        <v>3</v>
      </c>
      <c r="G662">
        <v>1</v>
      </c>
      <c r="H662">
        <v>5.33410591724338</v>
      </c>
      <c r="I662" t="s">
        <v>957</v>
      </c>
      <c r="J662" t="s">
        <v>2244</v>
      </c>
      <c r="K662">
        <v>9.2857142857142902E-2</v>
      </c>
      <c r="L662" t="s">
        <v>959</v>
      </c>
      <c r="M662">
        <v>2.2900763358778602</v>
      </c>
      <c r="N662" t="s">
        <v>987</v>
      </c>
      <c r="O662">
        <v>0</v>
      </c>
      <c r="P662">
        <v>0</v>
      </c>
      <c r="Q662">
        <v>0</v>
      </c>
      <c r="R662">
        <v>0</v>
      </c>
    </row>
    <row r="663" spans="1:18" ht="16" x14ac:dyDescent="0.2">
      <c r="A663" s="127" t="s">
        <v>954</v>
      </c>
      <c r="B663" t="s">
        <v>325</v>
      </c>
      <c r="C663" t="s">
        <v>1574</v>
      </c>
      <c r="D663" t="s">
        <v>1575</v>
      </c>
      <c r="E663" t="s">
        <v>1576</v>
      </c>
      <c r="F663">
        <v>4</v>
      </c>
      <c r="G663">
        <v>3</v>
      </c>
      <c r="H663">
        <v>8.2507846639172708</v>
      </c>
      <c r="I663" t="s">
        <v>957</v>
      </c>
      <c r="J663" t="s">
        <v>1577</v>
      </c>
      <c r="K663">
        <v>5.7142857142857099E-2</v>
      </c>
      <c r="L663" t="s">
        <v>959</v>
      </c>
      <c r="M663">
        <v>1.5267175572519101</v>
      </c>
      <c r="N663" t="s">
        <v>960</v>
      </c>
      <c r="O663">
        <v>0</v>
      </c>
      <c r="P663">
        <v>0</v>
      </c>
      <c r="Q663">
        <v>0</v>
      </c>
      <c r="R663">
        <v>0</v>
      </c>
    </row>
    <row r="664" spans="1:18" ht="16" x14ac:dyDescent="0.2">
      <c r="A664" s="127" t="s">
        <v>954</v>
      </c>
      <c r="B664" t="s">
        <v>325</v>
      </c>
      <c r="C664" t="s">
        <v>2757</v>
      </c>
      <c r="D664" t="s">
        <v>2758</v>
      </c>
      <c r="E664" t="s">
        <v>1816</v>
      </c>
      <c r="F664">
        <v>4</v>
      </c>
      <c r="G664">
        <v>3</v>
      </c>
      <c r="H664">
        <v>7.2212706707980798</v>
      </c>
      <c r="I664" t="s">
        <v>957</v>
      </c>
      <c r="J664" t="s">
        <v>3678</v>
      </c>
      <c r="K664">
        <v>0.114285714285714</v>
      </c>
      <c r="L664" t="s">
        <v>959</v>
      </c>
      <c r="M664">
        <v>1.5267175572519101</v>
      </c>
      <c r="N664" t="s">
        <v>960</v>
      </c>
      <c r="O664">
        <v>0</v>
      </c>
      <c r="P664">
        <v>0</v>
      </c>
      <c r="Q664">
        <v>0</v>
      </c>
      <c r="R664">
        <v>0</v>
      </c>
    </row>
    <row r="665" spans="1:18" ht="16" x14ac:dyDescent="0.2">
      <c r="A665" s="127" t="s">
        <v>954</v>
      </c>
      <c r="B665" t="s">
        <v>325</v>
      </c>
      <c r="C665" t="s">
        <v>3066</v>
      </c>
      <c r="D665" t="s">
        <v>3067</v>
      </c>
      <c r="E665" t="s">
        <v>1102</v>
      </c>
      <c r="F665">
        <v>4</v>
      </c>
      <c r="G665">
        <v>2</v>
      </c>
      <c r="H665">
        <v>10.0485454293056</v>
      </c>
      <c r="I665" t="s">
        <v>957</v>
      </c>
      <c r="J665" t="s">
        <v>3709</v>
      </c>
      <c r="K665">
        <v>6.4285714285714293E-2</v>
      </c>
      <c r="L665" t="s">
        <v>959</v>
      </c>
      <c r="M665">
        <v>1.5267175572519101</v>
      </c>
      <c r="N665" t="s">
        <v>960</v>
      </c>
      <c r="O665">
        <v>0</v>
      </c>
      <c r="P665">
        <v>0</v>
      </c>
      <c r="Q665">
        <v>0</v>
      </c>
      <c r="R665">
        <v>0</v>
      </c>
    </row>
    <row r="666" spans="1:18" ht="16" x14ac:dyDescent="0.2">
      <c r="A666" s="127" t="s">
        <v>954</v>
      </c>
      <c r="B666" t="s">
        <v>325</v>
      </c>
      <c r="C666" t="s">
        <v>322</v>
      </c>
      <c r="D666" t="s">
        <v>1087</v>
      </c>
      <c r="E666" t="s">
        <v>1088</v>
      </c>
      <c r="F666">
        <v>34</v>
      </c>
      <c r="G666">
        <v>3</v>
      </c>
      <c r="H666">
        <v>11.8321595661992</v>
      </c>
      <c r="I666" t="s">
        <v>957</v>
      </c>
      <c r="J666" t="s">
        <v>1089</v>
      </c>
      <c r="K666">
        <v>7.14285714285714E-3</v>
      </c>
      <c r="L666" t="s">
        <v>959</v>
      </c>
      <c r="M666">
        <v>0.76335877862595403</v>
      </c>
      <c r="N666" t="s">
        <v>960</v>
      </c>
      <c r="O666">
        <v>0</v>
      </c>
      <c r="P666">
        <v>0</v>
      </c>
      <c r="Q666">
        <v>0</v>
      </c>
      <c r="R666">
        <v>0</v>
      </c>
    </row>
    <row r="667" spans="1:18" ht="16" x14ac:dyDescent="0.2">
      <c r="A667" s="127" t="s">
        <v>954</v>
      </c>
      <c r="B667" t="s">
        <v>325</v>
      </c>
      <c r="C667" t="s">
        <v>2937</v>
      </c>
      <c r="D667" t="s">
        <v>2938</v>
      </c>
      <c r="E667" t="s">
        <v>1438</v>
      </c>
      <c r="F667">
        <v>8</v>
      </c>
      <c r="G667">
        <v>2</v>
      </c>
      <c r="H667">
        <v>6.5443994515856998</v>
      </c>
      <c r="I667" t="s">
        <v>957</v>
      </c>
      <c r="J667" t="s">
        <v>2939</v>
      </c>
      <c r="K667">
        <v>0.16428571428571401</v>
      </c>
      <c r="L667" t="s">
        <v>959</v>
      </c>
      <c r="M667">
        <v>2.2900763358778602</v>
      </c>
      <c r="N667" t="s">
        <v>960</v>
      </c>
      <c r="O667">
        <v>0</v>
      </c>
      <c r="P667">
        <v>0</v>
      </c>
      <c r="Q667">
        <v>0</v>
      </c>
      <c r="R667">
        <v>0</v>
      </c>
    </row>
    <row r="668" spans="1:18" ht="16" x14ac:dyDescent="0.2">
      <c r="A668" s="127" t="s">
        <v>954</v>
      </c>
      <c r="B668" t="s">
        <v>325</v>
      </c>
      <c r="C668" t="s">
        <v>2940</v>
      </c>
      <c r="D668" t="s">
        <v>2941</v>
      </c>
      <c r="E668" t="s">
        <v>1102</v>
      </c>
      <c r="F668">
        <v>4</v>
      </c>
      <c r="G668">
        <v>2</v>
      </c>
      <c r="H668">
        <v>8.3509503909313292</v>
      </c>
      <c r="I668" t="s">
        <v>957</v>
      </c>
      <c r="J668" t="s">
        <v>2942</v>
      </c>
      <c r="K668">
        <v>0.05</v>
      </c>
      <c r="L668" t="s">
        <v>959</v>
      </c>
      <c r="M668">
        <v>1.5267175572519101</v>
      </c>
      <c r="N668" t="s">
        <v>960</v>
      </c>
      <c r="O668">
        <v>0</v>
      </c>
      <c r="P668">
        <v>0</v>
      </c>
      <c r="Q668">
        <v>0</v>
      </c>
      <c r="R668">
        <v>0</v>
      </c>
    </row>
    <row r="669" spans="1:18" ht="16" x14ac:dyDescent="0.2">
      <c r="A669" s="127" t="s">
        <v>954</v>
      </c>
      <c r="B669" t="s">
        <v>325</v>
      </c>
      <c r="C669" t="s">
        <v>1932</v>
      </c>
      <c r="D669" t="s">
        <v>2354</v>
      </c>
      <c r="E669">
        <v>3</v>
      </c>
      <c r="F669">
        <v>3</v>
      </c>
      <c r="G669">
        <v>1</v>
      </c>
      <c r="H669">
        <v>5.2683995322630102</v>
      </c>
      <c r="I669" t="s">
        <v>957</v>
      </c>
      <c r="J669" t="s">
        <v>2355</v>
      </c>
      <c r="K669">
        <v>3.5714285714285698E-2</v>
      </c>
      <c r="L669" t="s">
        <v>959</v>
      </c>
      <c r="M669">
        <v>1.5267175572519101</v>
      </c>
      <c r="N669" t="s">
        <v>960</v>
      </c>
      <c r="O669">
        <v>0</v>
      </c>
      <c r="P669">
        <v>0</v>
      </c>
      <c r="Q669">
        <v>0</v>
      </c>
      <c r="R669">
        <v>0</v>
      </c>
    </row>
    <row r="670" spans="1:18" ht="16" x14ac:dyDescent="0.2">
      <c r="A670" s="127" t="s">
        <v>954</v>
      </c>
      <c r="B670" t="s">
        <v>325</v>
      </c>
      <c r="C670" t="s">
        <v>3070</v>
      </c>
      <c r="D670" t="s">
        <v>3071</v>
      </c>
      <c r="E670" t="s">
        <v>1598</v>
      </c>
      <c r="F670">
        <v>7</v>
      </c>
      <c r="G670">
        <v>2</v>
      </c>
      <c r="H670">
        <v>8.2644756957577599</v>
      </c>
      <c r="I670" t="s">
        <v>957</v>
      </c>
      <c r="J670" t="s">
        <v>3211</v>
      </c>
      <c r="K670">
        <v>0.1</v>
      </c>
      <c r="L670" t="s">
        <v>959</v>
      </c>
      <c r="M670">
        <v>1.5267175572519101</v>
      </c>
      <c r="N670" t="s">
        <v>960</v>
      </c>
      <c r="O670">
        <v>0</v>
      </c>
      <c r="P670">
        <v>0</v>
      </c>
      <c r="Q670">
        <v>0</v>
      </c>
      <c r="R670">
        <v>0</v>
      </c>
    </row>
    <row r="671" spans="1:18" ht="16" x14ac:dyDescent="0.2">
      <c r="A671" s="127" t="s">
        <v>954</v>
      </c>
      <c r="B671" t="s">
        <v>325</v>
      </c>
      <c r="C671" t="s">
        <v>3570</v>
      </c>
      <c r="D671" t="s">
        <v>3571</v>
      </c>
      <c r="E671" t="s">
        <v>1230</v>
      </c>
      <c r="F671">
        <v>4</v>
      </c>
      <c r="G671">
        <v>2</v>
      </c>
      <c r="H671">
        <v>9.2230674839183706</v>
      </c>
      <c r="I671" t="s">
        <v>957</v>
      </c>
      <c r="J671" t="s">
        <v>3572</v>
      </c>
      <c r="K671">
        <v>4.2857142857142899E-2</v>
      </c>
      <c r="L671" t="s">
        <v>959</v>
      </c>
      <c r="M671">
        <v>0.76335877862595403</v>
      </c>
      <c r="N671" t="s">
        <v>960</v>
      </c>
      <c r="O671">
        <v>0</v>
      </c>
      <c r="P671">
        <v>0</v>
      </c>
      <c r="Q671">
        <v>0</v>
      </c>
      <c r="R671">
        <v>0</v>
      </c>
    </row>
    <row r="672" spans="1:18" ht="16" x14ac:dyDescent="0.2">
      <c r="A672" s="127" t="s">
        <v>954</v>
      </c>
      <c r="B672" t="s">
        <v>325</v>
      </c>
      <c r="C672" t="s">
        <v>3755</v>
      </c>
      <c r="D672" t="s">
        <v>3756</v>
      </c>
      <c r="E672">
        <v>22</v>
      </c>
      <c r="F672">
        <v>22</v>
      </c>
      <c r="G672">
        <v>1</v>
      </c>
      <c r="H672">
        <v>11.8060464296044</v>
      </c>
      <c r="I672" t="s">
        <v>957</v>
      </c>
      <c r="J672" t="s">
        <v>3757</v>
      </c>
      <c r="K672">
        <v>2.8571428571428598E-2</v>
      </c>
      <c r="L672" t="s">
        <v>959</v>
      </c>
      <c r="M672">
        <v>0.76335877862595403</v>
      </c>
      <c r="N672" t="s">
        <v>960</v>
      </c>
      <c r="O672">
        <v>0</v>
      </c>
      <c r="P672">
        <v>0</v>
      </c>
      <c r="Q672">
        <v>0</v>
      </c>
      <c r="R672">
        <v>0</v>
      </c>
    </row>
    <row r="673" spans="1:18" ht="16" x14ac:dyDescent="0.2">
      <c r="A673" s="127" t="s">
        <v>954</v>
      </c>
      <c r="B673" t="s">
        <v>325</v>
      </c>
      <c r="C673" t="s">
        <v>1625</v>
      </c>
      <c r="D673" t="s">
        <v>1626</v>
      </c>
      <c r="E673" t="s">
        <v>1627</v>
      </c>
      <c r="F673">
        <v>8</v>
      </c>
      <c r="G673">
        <v>2</v>
      </c>
      <c r="H673">
        <v>10.3267699227736</v>
      </c>
      <c r="I673" t="s">
        <v>957</v>
      </c>
      <c r="J673" t="s">
        <v>1628</v>
      </c>
      <c r="K673">
        <v>2.1428571428571401E-2</v>
      </c>
      <c r="L673" t="s">
        <v>959</v>
      </c>
      <c r="M673">
        <v>1.5267175572519101</v>
      </c>
      <c r="N673" t="s">
        <v>960</v>
      </c>
      <c r="O673">
        <v>0</v>
      </c>
      <c r="P673">
        <v>0</v>
      </c>
      <c r="Q673">
        <v>0</v>
      </c>
      <c r="R673">
        <v>0</v>
      </c>
    </row>
    <row r="674" spans="1:18" ht="16" x14ac:dyDescent="0.2">
      <c r="A674" s="127" t="s">
        <v>954</v>
      </c>
      <c r="B674" t="s">
        <v>325</v>
      </c>
      <c r="C674" t="s">
        <v>2363</v>
      </c>
      <c r="D674" t="s">
        <v>2364</v>
      </c>
      <c r="E674" t="s">
        <v>2365</v>
      </c>
      <c r="F674">
        <v>43</v>
      </c>
      <c r="G674">
        <v>4</v>
      </c>
      <c r="H674">
        <v>11.367572785926599</v>
      </c>
      <c r="I674" t="s">
        <v>957</v>
      </c>
      <c r="J674" t="s">
        <v>2366</v>
      </c>
      <c r="K674">
        <v>4.2857142857142899E-2</v>
      </c>
      <c r="L674" t="s">
        <v>959</v>
      </c>
      <c r="M674">
        <v>0.76335877862595403</v>
      </c>
      <c r="N674" t="s">
        <v>987</v>
      </c>
      <c r="O674">
        <v>0</v>
      </c>
      <c r="P674">
        <v>0</v>
      </c>
      <c r="Q674">
        <v>0</v>
      </c>
      <c r="R674">
        <v>0</v>
      </c>
    </row>
    <row r="675" spans="1:18" ht="16" x14ac:dyDescent="0.2">
      <c r="A675" s="127" t="s">
        <v>954</v>
      </c>
      <c r="B675" t="s">
        <v>325</v>
      </c>
      <c r="C675" t="s">
        <v>2613</v>
      </c>
      <c r="D675" t="s">
        <v>3226</v>
      </c>
      <c r="E675" t="s">
        <v>3227</v>
      </c>
      <c r="F675">
        <v>41</v>
      </c>
      <c r="G675">
        <v>6</v>
      </c>
      <c r="H675">
        <v>5.3851648071345002</v>
      </c>
      <c r="I675" t="s">
        <v>957</v>
      </c>
      <c r="J675" t="s">
        <v>3228</v>
      </c>
      <c r="K675" t="s">
        <v>3229</v>
      </c>
      <c r="L675" t="s">
        <v>2024</v>
      </c>
      <c r="M675">
        <v>2.2900763358778602</v>
      </c>
      <c r="N675" t="s">
        <v>987</v>
      </c>
      <c r="O675">
        <v>0</v>
      </c>
      <c r="P675">
        <v>0</v>
      </c>
      <c r="Q675">
        <v>0</v>
      </c>
      <c r="R675">
        <v>0</v>
      </c>
    </row>
    <row r="676" spans="1:18" ht="16" x14ac:dyDescent="0.2">
      <c r="A676" s="127" t="s">
        <v>954</v>
      </c>
      <c r="B676" t="s">
        <v>325</v>
      </c>
      <c r="C676" t="s">
        <v>1134</v>
      </c>
      <c r="D676" t="s">
        <v>1135</v>
      </c>
      <c r="E676" t="s">
        <v>1136</v>
      </c>
      <c r="F676">
        <v>47</v>
      </c>
      <c r="G676">
        <v>4</v>
      </c>
      <c r="H676">
        <v>10.270204738282199</v>
      </c>
      <c r="I676" t="s">
        <v>957</v>
      </c>
      <c r="J676" t="s">
        <v>1137</v>
      </c>
      <c r="K676">
        <v>1.4285714285714299E-2</v>
      </c>
      <c r="L676" t="s">
        <v>959</v>
      </c>
      <c r="M676">
        <v>1.5267175572519101</v>
      </c>
      <c r="N676" t="s">
        <v>987</v>
      </c>
      <c r="O676">
        <v>0</v>
      </c>
      <c r="P676">
        <v>0</v>
      </c>
      <c r="Q676">
        <v>0</v>
      </c>
      <c r="R676">
        <v>0</v>
      </c>
    </row>
    <row r="677" spans="1:18" ht="16" x14ac:dyDescent="0.2">
      <c r="A677" s="127" t="s">
        <v>954</v>
      </c>
      <c r="B677" t="s">
        <v>325</v>
      </c>
      <c r="C677" t="s">
        <v>2921</v>
      </c>
      <c r="D677" t="s">
        <v>2922</v>
      </c>
      <c r="E677">
        <v>7</v>
      </c>
      <c r="F677">
        <v>7</v>
      </c>
      <c r="G677">
        <v>1</v>
      </c>
      <c r="H677">
        <v>10.4464597034461</v>
      </c>
      <c r="I677" t="s">
        <v>957</v>
      </c>
      <c r="J677" t="s">
        <v>2923</v>
      </c>
      <c r="K677">
        <v>0.05</v>
      </c>
      <c r="L677" t="s">
        <v>959</v>
      </c>
      <c r="M677">
        <v>0.76335877862595403</v>
      </c>
      <c r="N677" t="s">
        <v>960</v>
      </c>
      <c r="O677">
        <v>0</v>
      </c>
      <c r="P677">
        <v>0</v>
      </c>
      <c r="Q677">
        <v>0</v>
      </c>
      <c r="R677">
        <v>0</v>
      </c>
    </row>
    <row r="678" spans="1:18" ht="16" x14ac:dyDescent="0.2">
      <c r="A678" s="127" t="s">
        <v>954</v>
      </c>
      <c r="B678" t="s">
        <v>325</v>
      </c>
      <c r="C678" t="s">
        <v>991</v>
      </c>
      <c r="D678" t="s">
        <v>992</v>
      </c>
      <c r="E678" t="s">
        <v>1022</v>
      </c>
      <c r="F678">
        <v>3</v>
      </c>
      <c r="G678">
        <v>2</v>
      </c>
      <c r="H678">
        <v>4.7379988353274998</v>
      </c>
      <c r="I678" t="s">
        <v>957</v>
      </c>
      <c r="J678" t="s">
        <v>993</v>
      </c>
      <c r="K678">
        <v>0.107142857142857</v>
      </c>
      <c r="L678" t="s">
        <v>959</v>
      </c>
      <c r="M678">
        <v>3.0534351145038201</v>
      </c>
      <c r="N678" t="s">
        <v>960</v>
      </c>
      <c r="O678">
        <v>0</v>
      </c>
      <c r="P678">
        <v>0</v>
      </c>
      <c r="Q678">
        <v>0</v>
      </c>
      <c r="R678">
        <v>0</v>
      </c>
    </row>
    <row r="679" spans="1:18" ht="16" x14ac:dyDescent="0.2">
      <c r="A679" s="127" t="s">
        <v>954</v>
      </c>
      <c r="B679" t="s">
        <v>325</v>
      </c>
      <c r="C679" t="s">
        <v>1760</v>
      </c>
      <c r="D679" t="s">
        <v>1761</v>
      </c>
      <c r="E679" t="s">
        <v>1052</v>
      </c>
      <c r="F679">
        <v>2</v>
      </c>
      <c r="G679">
        <v>2</v>
      </c>
      <c r="H679">
        <v>5.8894659362644504</v>
      </c>
      <c r="I679" t="s">
        <v>957</v>
      </c>
      <c r="J679" t="s">
        <v>1762</v>
      </c>
      <c r="K679">
        <v>7.8571428571428598E-2</v>
      </c>
      <c r="L679" t="s">
        <v>959</v>
      </c>
      <c r="M679">
        <v>0.76335877862595403</v>
      </c>
      <c r="N679" t="s">
        <v>960</v>
      </c>
      <c r="O679">
        <v>0</v>
      </c>
      <c r="P679">
        <v>0</v>
      </c>
      <c r="Q679">
        <v>0</v>
      </c>
      <c r="R679">
        <v>0</v>
      </c>
    </row>
    <row r="680" spans="1:18" ht="16" x14ac:dyDescent="0.2">
      <c r="A680" s="127" t="s">
        <v>954</v>
      </c>
      <c r="B680" t="s">
        <v>325</v>
      </c>
      <c r="C680" t="s">
        <v>2370</v>
      </c>
      <c r="D680" t="s">
        <v>2371</v>
      </c>
      <c r="E680">
        <v>6</v>
      </c>
      <c r="F680">
        <v>6</v>
      </c>
      <c r="G680">
        <v>1</v>
      </c>
      <c r="H680">
        <v>5.9424484137879503</v>
      </c>
      <c r="I680" t="s">
        <v>957</v>
      </c>
      <c r="J680" t="s">
        <v>2372</v>
      </c>
      <c r="K680">
        <v>9.2857142857142902E-2</v>
      </c>
      <c r="L680" t="s">
        <v>959</v>
      </c>
      <c r="M680">
        <v>1.5267175572519101</v>
      </c>
      <c r="N680" t="s">
        <v>960</v>
      </c>
      <c r="O680">
        <v>0</v>
      </c>
      <c r="P680">
        <v>0</v>
      </c>
      <c r="Q680">
        <v>0</v>
      </c>
      <c r="R680">
        <v>0</v>
      </c>
    </row>
    <row r="681" spans="1:18" ht="16" x14ac:dyDescent="0.2">
      <c r="A681" s="127" t="s">
        <v>954</v>
      </c>
      <c r="B681" t="s">
        <v>325</v>
      </c>
      <c r="C681" t="s">
        <v>3426</v>
      </c>
      <c r="D681" t="s">
        <v>3427</v>
      </c>
      <c r="E681">
        <v>3</v>
      </c>
      <c r="F681">
        <v>3</v>
      </c>
      <c r="G681">
        <v>1</v>
      </c>
      <c r="H681">
        <v>5.1512418871648</v>
      </c>
      <c r="I681" t="s">
        <v>957</v>
      </c>
      <c r="J681" t="s">
        <v>3428</v>
      </c>
      <c r="K681">
        <v>0.107142857142857</v>
      </c>
      <c r="L681" t="s">
        <v>959</v>
      </c>
      <c r="M681">
        <v>0.76335877862595403</v>
      </c>
      <c r="N681" t="s">
        <v>960</v>
      </c>
      <c r="O681">
        <v>0</v>
      </c>
      <c r="P681">
        <v>0</v>
      </c>
      <c r="Q681">
        <v>0</v>
      </c>
      <c r="R681">
        <v>0</v>
      </c>
    </row>
    <row r="682" spans="1:18" ht="16" x14ac:dyDescent="0.2">
      <c r="A682" s="127" t="s">
        <v>954</v>
      </c>
      <c r="B682" t="s">
        <v>325</v>
      </c>
      <c r="C682" t="s">
        <v>1150</v>
      </c>
      <c r="D682" t="s">
        <v>1151</v>
      </c>
      <c r="E682">
        <v>4</v>
      </c>
      <c r="F682">
        <v>4</v>
      </c>
      <c r="G682">
        <v>1</v>
      </c>
      <c r="H682">
        <v>5.0960741563719303</v>
      </c>
      <c r="I682" t="s">
        <v>957</v>
      </c>
      <c r="J682" t="s">
        <v>3735</v>
      </c>
      <c r="K682">
        <v>0.121428571428571</v>
      </c>
      <c r="L682" t="s">
        <v>959</v>
      </c>
      <c r="M682">
        <v>1.5267175572519101</v>
      </c>
      <c r="N682" t="s">
        <v>960</v>
      </c>
      <c r="O682">
        <v>0</v>
      </c>
      <c r="P682">
        <v>0</v>
      </c>
      <c r="Q682">
        <v>0</v>
      </c>
      <c r="R682">
        <v>0</v>
      </c>
    </row>
    <row r="683" spans="1:18" ht="16" x14ac:dyDescent="0.2">
      <c r="A683" s="127" t="s">
        <v>954</v>
      </c>
      <c r="B683" t="s">
        <v>325</v>
      </c>
      <c r="C683" t="s">
        <v>1926</v>
      </c>
      <c r="D683" t="s">
        <v>1927</v>
      </c>
      <c r="E683">
        <v>4</v>
      </c>
      <c r="F683">
        <v>4</v>
      </c>
      <c r="G683">
        <v>1</v>
      </c>
      <c r="H683">
        <v>6.4241507531589397</v>
      </c>
      <c r="I683" t="s">
        <v>957</v>
      </c>
      <c r="J683" t="s">
        <v>1928</v>
      </c>
      <c r="K683">
        <v>6.4285714285714293E-2</v>
      </c>
      <c r="L683" t="s">
        <v>959</v>
      </c>
      <c r="M683">
        <v>2.2900763358778602</v>
      </c>
      <c r="N683" t="s">
        <v>987</v>
      </c>
      <c r="O683">
        <v>0</v>
      </c>
      <c r="P683">
        <v>0</v>
      </c>
      <c r="Q683">
        <v>0</v>
      </c>
      <c r="R683">
        <v>0</v>
      </c>
    </row>
    <row r="684" spans="1:18" ht="16" x14ac:dyDescent="0.2">
      <c r="A684" s="127" t="s">
        <v>954</v>
      </c>
      <c r="B684" t="s">
        <v>325</v>
      </c>
      <c r="C684" t="s">
        <v>2964</v>
      </c>
      <c r="D684" t="s">
        <v>2965</v>
      </c>
      <c r="E684" t="s">
        <v>2966</v>
      </c>
      <c r="F684">
        <v>6</v>
      </c>
      <c r="G684">
        <v>3</v>
      </c>
      <c r="H684">
        <v>8.4048650038907198</v>
      </c>
      <c r="I684" t="s">
        <v>957</v>
      </c>
      <c r="J684" t="s">
        <v>2967</v>
      </c>
      <c r="K684">
        <v>0.121428571428571</v>
      </c>
      <c r="L684" t="s">
        <v>959</v>
      </c>
      <c r="M684">
        <v>1.5267175572519101</v>
      </c>
      <c r="N684" t="s">
        <v>960</v>
      </c>
      <c r="O684">
        <v>0</v>
      </c>
      <c r="P684" t="s">
        <v>5017</v>
      </c>
      <c r="Q684">
        <v>0</v>
      </c>
      <c r="R684" t="s">
        <v>5019</v>
      </c>
    </row>
    <row r="685" spans="1:18" ht="16" x14ac:dyDescent="0.2">
      <c r="A685" s="127" t="s">
        <v>954</v>
      </c>
      <c r="B685" t="s">
        <v>325</v>
      </c>
      <c r="C685" t="s">
        <v>2236</v>
      </c>
      <c r="D685" t="s">
        <v>2237</v>
      </c>
      <c r="E685">
        <v>3</v>
      </c>
      <c r="F685">
        <v>3</v>
      </c>
      <c r="G685">
        <v>1</v>
      </c>
      <c r="H685">
        <v>9.5260013526857499</v>
      </c>
      <c r="I685" t="s">
        <v>957</v>
      </c>
      <c r="J685" t="s">
        <v>2238</v>
      </c>
      <c r="K685">
        <v>2.1428571428571401E-2</v>
      </c>
      <c r="L685" t="s">
        <v>959</v>
      </c>
      <c r="M685">
        <v>0.76335877862595403</v>
      </c>
      <c r="N685" t="s">
        <v>960</v>
      </c>
      <c r="O685">
        <v>0</v>
      </c>
      <c r="P685">
        <v>0</v>
      </c>
      <c r="Q685">
        <v>0</v>
      </c>
      <c r="R685">
        <v>0</v>
      </c>
    </row>
    <row r="686" spans="1:18" ht="16" x14ac:dyDescent="0.2">
      <c r="A686" s="127" t="s">
        <v>954</v>
      </c>
      <c r="B686" t="s">
        <v>325</v>
      </c>
      <c r="C686" t="s">
        <v>1649</v>
      </c>
      <c r="D686" t="s">
        <v>1650</v>
      </c>
      <c r="E686">
        <v>5</v>
      </c>
      <c r="F686">
        <v>5</v>
      </c>
      <c r="G686">
        <v>1</v>
      </c>
      <c r="H686">
        <v>4.5947819875929898</v>
      </c>
      <c r="I686" t="s">
        <v>957</v>
      </c>
      <c r="J686" t="s">
        <v>2880</v>
      </c>
      <c r="K686">
        <v>0.2</v>
      </c>
      <c r="L686" t="s">
        <v>959</v>
      </c>
      <c r="M686">
        <v>3.0534351145038201</v>
      </c>
      <c r="N686" t="s">
        <v>960</v>
      </c>
      <c r="O686">
        <v>0</v>
      </c>
      <c r="P686">
        <v>0</v>
      </c>
      <c r="Q686">
        <v>0</v>
      </c>
      <c r="R686">
        <v>0</v>
      </c>
    </row>
    <row r="687" spans="1:18" ht="16" x14ac:dyDescent="0.2">
      <c r="A687" s="127" t="s">
        <v>954</v>
      </c>
      <c r="B687" t="s">
        <v>325</v>
      </c>
      <c r="C687" t="s">
        <v>2526</v>
      </c>
      <c r="D687" t="s">
        <v>2527</v>
      </c>
      <c r="E687" t="s">
        <v>1074</v>
      </c>
      <c r="F687">
        <v>6</v>
      </c>
      <c r="G687">
        <v>2</v>
      </c>
      <c r="H687">
        <v>6.9232255186018499</v>
      </c>
      <c r="I687" t="s">
        <v>957</v>
      </c>
      <c r="J687" t="s">
        <v>3528</v>
      </c>
      <c r="K687">
        <v>0.157142857142857</v>
      </c>
      <c r="L687" t="s">
        <v>959</v>
      </c>
      <c r="M687">
        <v>1.5267175572519101</v>
      </c>
      <c r="N687" t="s">
        <v>960</v>
      </c>
      <c r="O687">
        <v>0</v>
      </c>
      <c r="P687">
        <v>0</v>
      </c>
      <c r="Q687">
        <v>0</v>
      </c>
      <c r="R687">
        <v>0</v>
      </c>
    </row>
    <row r="688" spans="1:18" ht="16" x14ac:dyDescent="0.2">
      <c r="A688" s="127" t="s">
        <v>954</v>
      </c>
      <c r="B688" t="s">
        <v>325</v>
      </c>
      <c r="C688" t="s">
        <v>2319</v>
      </c>
      <c r="D688" t="s">
        <v>2320</v>
      </c>
      <c r="E688" t="s">
        <v>1488</v>
      </c>
      <c r="F688">
        <v>8</v>
      </c>
      <c r="G688">
        <v>2</v>
      </c>
      <c r="H688">
        <v>8.6605486722228395</v>
      </c>
      <c r="I688" t="s">
        <v>957</v>
      </c>
      <c r="J688" t="s">
        <v>2321</v>
      </c>
      <c r="K688">
        <v>0.157142857142857</v>
      </c>
      <c r="L688" t="s">
        <v>959</v>
      </c>
      <c r="M688">
        <v>0.76335877862595403</v>
      </c>
      <c r="N688" t="s">
        <v>987</v>
      </c>
      <c r="O688">
        <v>0</v>
      </c>
      <c r="P688">
        <v>0</v>
      </c>
      <c r="Q688">
        <v>0</v>
      </c>
      <c r="R688">
        <v>0</v>
      </c>
    </row>
    <row r="689" spans="1:18" ht="16" x14ac:dyDescent="0.2">
      <c r="A689" s="127" t="s">
        <v>954</v>
      </c>
      <c r="B689" t="s">
        <v>325</v>
      </c>
      <c r="C689" t="s">
        <v>1041</v>
      </c>
      <c r="E689" t="s">
        <v>1434</v>
      </c>
      <c r="F689">
        <v>9</v>
      </c>
      <c r="G689">
        <v>3</v>
      </c>
      <c r="H689">
        <v>6.0872716866907499</v>
      </c>
      <c r="I689" t="s">
        <v>957</v>
      </c>
      <c r="J689" t="s">
        <v>1435</v>
      </c>
      <c r="K689">
        <v>0.17142857142857101</v>
      </c>
      <c r="L689" t="s">
        <v>959</v>
      </c>
      <c r="M689">
        <v>2.2900763358778602</v>
      </c>
      <c r="N689" t="s">
        <v>960</v>
      </c>
      <c r="O689">
        <v>0</v>
      </c>
      <c r="P689">
        <v>0</v>
      </c>
      <c r="Q689">
        <v>0</v>
      </c>
      <c r="R689">
        <v>0</v>
      </c>
    </row>
    <row r="690" spans="1:18" ht="16" x14ac:dyDescent="0.2">
      <c r="A690" s="127" t="s">
        <v>954</v>
      </c>
      <c r="B690" t="s">
        <v>325</v>
      </c>
      <c r="C690" t="s">
        <v>2394</v>
      </c>
      <c r="D690" t="s">
        <v>2395</v>
      </c>
      <c r="E690" t="s">
        <v>1039</v>
      </c>
      <c r="F690">
        <v>3</v>
      </c>
      <c r="G690">
        <v>2</v>
      </c>
      <c r="H690">
        <v>4.6645993494094302</v>
      </c>
      <c r="I690" t="s">
        <v>957</v>
      </c>
      <c r="J690" t="s">
        <v>3220</v>
      </c>
      <c r="K690">
        <v>7.8571428571428598E-2</v>
      </c>
      <c r="L690" t="s">
        <v>959</v>
      </c>
      <c r="M690">
        <v>1.5267175572519101</v>
      </c>
      <c r="N690" t="s">
        <v>960</v>
      </c>
      <c r="O690">
        <v>0</v>
      </c>
      <c r="P690">
        <v>0</v>
      </c>
      <c r="Q690">
        <v>0</v>
      </c>
      <c r="R690">
        <v>0</v>
      </c>
    </row>
    <row r="691" spans="1:18" ht="16" x14ac:dyDescent="0.2">
      <c r="A691" s="127" t="s">
        <v>954</v>
      </c>
      <c r="B691" t="s">
        <v>325</v>
      </c>
      <c r="C691" t="s">
        <v>1512</v>
      </c>
      <c r="D691" t="s">
        <v>1513</v>
      </c>
      <c r="E691" t="s">
        <v>1438</v>
      </c>
      <c r="F691">
        <v>8</v>
      </c>
      <c r="G691">
        <v>2</v>
      </c>
      <c r="H691">
        <v>4.5820356468844103</v>
      </c>
      <c r="I691" t="s">
        <v>957</v>
      </c>
      <c r="J691" t="s">
        <v>1514</v>
      </c>
      <c r="K691">
        <v>0.185714285714286</v>
      </c>
      <c r="L691" t="s">
        <v>959</v>
      </c>
      <c r="M691">
        <v>1.5267175572519101</v>
      </c>
      <c r="N691" t="s">
        <v>960</v>
      </c>
      <c r="O691">
        <v>0</v>
      </c>
      <c r="P691">
        <v>0</v>
      </c>
      <c r="Q691">
        <v>0</v>
      </c>
      <c r="R691">
        <v>0</v>
      </c>
    </row>
    <row r="692" spans="1:18" ht="16" x14ac:dyDescent="0.2">
      <c r="A692" s="127" t="s">
        <v>954</v>
      </c>
      <c r="B692" t="s">
        <v>325</v>
      </c>
      <c r="C692" s="128" t="s">
        <v>2987</v>
      </c>
      <c r="D692" t="s">
        <v>2988</v>
      </c>
      <c r="E692" t="s">
        <v>1085</v>
      </c>
      <c r="F692">
        <v>5</v>
      </c>
      <c r="G692">
        <v>2</v>
      </c>
      <c r="H692">
        <v>6.42227779150355</v>
      </c>
      <c r="I692" t="s">
        <v>957</v>
      </c>
      <c r="J692" t="s">
        <v>3009</v>
      </c>
      <c r="K692">
        <v>9.2857142857142902E-2</v>
      </c>
      <c r="L692" t="s">
        <v>959</v>
      </c>
      <c r="M692">
        <v>1.5267175572519101</v>
      </c>
      <c r="N692" s="128" t="s">
        <v>960</v>
      </c>
      <c r="O692">
        <v>0</v>
      </c>
      <c r="P692">
        <v>0</v>
      </c>
      <c r="Q692">
        <v>0</v>
      </c>
      <c r="R692">
        <v>0</v>
      </c>
    </row>
    <row r="693" spans="1:18" ht="16" x14ac:dyDescent="0.2">
      <c r="A693" s="127" t="s">
        <v>954</v>
      </c>
      <c r="B693" t="s">
        <v>325</v>
      </c>
      <c r="C693" t="s">
        <v>2433</v>
      </c>
      <c r="D693" t="s">
        <v>2434</v>
      </c>
      <c r="E693" t="s">
        <v>1432</v>
      </c>
      <c r="F693">
        <v>6</v>
      </c>
      <c r="G693">
        <v>2</v>
      </c>
      <c r="H693">
        <v>5.1304266068185003</v>
      </c>
      <c r="I693" t="s">
        <v>957</v>
      </c>
      <c r="J693" t="s">
        <v>2716</v>
      </c>
      <c r="K693">
        <v>0.114285714285714</v>
      </c>
      <c r="L693" t="s">
        <v>959</v>
      </c>
      <c r="M693">
        <v>1.5267175572519101</v>
      </c>
      <c r="N693" t="s">
        <v>960</v>
      </c>
      <c r="O693">
        <v>0</v>
      </c>
      <c r="P693">
        <v>0</v>
      </c>
      <c r="Q693">
        <v>0</v>
      </c>
      <c r="R693">
        <v>0</v>
      </c>
    </row>
    <row r="694" spans="1:18" ht="16" x14ac:dyDescent="0.2">
      <c r="A694" s="127" t="s">
        <v>954</v>
      </c>
      <c r="B694" t="s">
        <v>325</v>
      </c>
      <c r="C694" t="s">
        <v>2770</v>
      </c>
      <c r="D694" t="s">
        <v>2771</v>
      </c>
      <c r="E694" t="s">
        <v>1052</v>
      </c>
      <c r="F694">
        <v>2</v>
      </c>
      <c r="G694">
        <v>2</v>
      </c>
      <c r="H694">
        <v>6.0401114686857396</v>
      </c>
      <c r="I694" t="s">
        <v>957</v>
      </c>
      <c r="J694" t="s">
        <v>2868</v>
      </c>
      <c r="K694">
        <v>5.7142857142857099E-2</v>
      </c>
      <c r="L694" t="s">
        <v>959</v>
      </c>
      <c r="M694">
        <v>1.5267175572519101</v>
      </c>
      <c r="N694" t="s">
        <v>960</v>
      </c>
      <c r="O694">
        <v>0</v>
      </c>
      <c r="P694">
        <v>0</v>
      </c>
      <c r="Q694">
        <v>0</v>
      </c>
      <c r="R694">
        <v>0</v>
      </c>
    </row>
    <row r="695" spans="1:18" ht="16" x14ac:dyDescent="0.2">
      <c r="A695" s="127" t="s">
        <v>954</v>
      </c>
      <c r="B695" t="s">
        <v>325</v>
      </c>
      <c r="C695" t="s">
        <v>3493</v>
      </c>
      <c r="D695" t="s">
        <v>3494</v>
      </c>
      <c r="E695" t="s">
        <v>1052</v>
      </c>
      <c r="F695">
        <v>2</v>
      </c>
      <c r="G695">
        <v>2</v>
      </c>
      <c r="H695">
        <v>6.5320904449362098</v>
      </c>
      <c r="I695" t="s">
        <v>957</v>
      </c>
      <c r="J695" t="s">
        <v>3495</v>
      </c>
      <c r="K695">
        <v>7.8571428571428598E-2</v>
      </c>
      <c r="L695" t="s">
        <v>959</v>
      </c>
      <c r="M695">
        <v>0.76335877862595403</v>
      </c>
      <c r="N695" t="s">
        <v>960</v>
      </c>
      <c r="O695">
        <v>0</v>
      </c>
      <c r="P695">
        <v>0</v>
      </c>
      <c r="Q695">
        <v>0</v>
      </c>
      <c r="R695">
        <v>0</v>
      </c>
    </row>
    <row r="696" spans="1:18" ht="16" x14ac:dyDescent="0.2">
      <c r="A696" s="127" t="s">
        <v>954</v>
      </c>
      <c r="B696" t="s">
        <v>325</v>
      </c>
      <c r="C696" t="s">
        <v>2091</v>
      </c>
      <c r="D696" t="s">
        <v>2092</v>
      </c>
      <c r="E696" t="s">
        <v>2093</v>
      </c>
      <c r="F696">
        <v>6</v>
      </c>
      <c r="G696">
        <v>3</v>
      </c>
      <c r="H696">
        <v>5.8825450311374903</v>
      </c>
      <c r="I696" t="s">
        <v>957</v>
      </c>
      <c r="J696" t="s">
        <v>2094</v>
      </c>
      <c r="K696">
        <v>0.14285714285714299</v>
      </c>
      <c r="L696" t="s">
        <v>959</v>
      </c>
      <c r="M696">
        <v>2.2900763358778602</v>
      </c>
      <c r="N696" t="s">
        <v>960</v>
      </c>
      <c r="O696">
        <v>0</v>
      </c>
      <c r="P696">
        <v>0</v>
      </c>
      <c r="Q696">
        <v>0</v>
      </c>
      <c r="R696">
        <v>0</v>
      </c>
    </row>
    <row r="697" spans="1:18" ht="16" x14ac:dyDescent="0.2">
      <c r="A697" s="127" t="s">
        <v>954</v>
      </c>
      <c r="B697" t="s">
        <v>325</v>
      </c>
      <c r="C697" t="s">
        <v>1734</v>
      </c>
      <c r="D697" t="s">
        <v>1735</v>
      </c>
      <c r="E697">
        <v>3</v>
      </c>
      <c r="F697">
        <v>3</v>
      </c>
      <c r="G697">
        <v>1</v>
      </c>
      <c r="H697">
        <v>8.5715132667088092</v>
      </c>
      <c r="I697" t="s">
        <v>957</v>
      </c>
      <c r="J697" t="s">
        <v>2695</v>
      </c>
      <c r="K697">
        <v>3.5714285714285698E-2</v>
      </c>
      <c r="L697" t="s">
        <v>959</v>
      </c>
      <c r="M697">
        <v>1.5267175572519101</v>
      </c>
      <c r="N697" t="s">
        <v>960</v>
      </c>
      <c r="O697">
        <v>0</v>
      </c>
      <c r="P697">
        <v>0</v>
      </c>
      <c r="Q697">
        <v>0</v>
      </c>
      <c r="R697">
        <v>0</v>
      </c>
    </row>
    <row r="698" spans="1:18" ht="16" x14ac:dyDescent="0.2">
      <c r="A698" s="127" t="s">
        <v>954</v>
      </c>
      <c r="B698" t="s">
        <v>325</v>
      </c>
      <c r="C698" t="s">
        <v>3447</v>
      </c>
      <c r="D698" t="s">
        <v>3448</v>
      </c>
      <c r="E698" t="s">
        <v>1039</v>
      </c>
      <c r="F698">
        <v>3</v>
      </c>
      <c r="G698">
        <v>2</v>
      </c>
      <c r="H698">
        <v>6.48148165087109</v>
      </c>
      <c r="I698" t="s">
        <v>957</v>
      </c>
      <c r="J698" t="s">
        <v>3617</v>
      </c>
      <c r="K698">
        <v>6.4285714285714293E-2</v>
      </c>
      <c r="L698" t="s">
        <v>959</v>
      </c>
      <c r="M698">
        <v>1.5267175572519101</v>
      </c>
      <c r="N698" t="s">
        <v>960</v>
      </c>
      <c r="O698">
        <v>0</v>
      </c>
      <c r="P698">
        <v>0</v>
      </c>
      <c r="Q698">
        <v>0</v>
      </c>
      <c r="R698">
        <v>0</v>
      </c>
    </row>
    <row r="699" spans="1:18" ht="16" x14ac:dyDescent="0.2">
      <c r="A699" s="127" t="s">
        <v>954</v>
      </c>
      <c r="B699" t="s">
        <v>325</v>
      </c>
      <c r="C699" t="s">
        <v>1715</v>
      </c>
      <c r="D699" t="s">
        <v>1716</v>
      </c>
      <c r="E699">
        <v>4</v>
      </c>
      <c r="F699">
        <v>4</v>
      </c>
      <c r="G699">
        <v>1</v>
      </c>
      <c r="H699">
        <v>5.5226313575898702</v>
      </c>
      <c r="I699" t="s">
        <v>957</v>
      </c>
      <c r="J699" t="s">
        <v>1717</v>
      </c>
      <c r="K699">
        <v>0.1</v>
      </c>
      <c r="L699" t="s">
        <v>959</v>
      </c>
      <c r="M699">
        <v>1.5267175572519101</v>
      </c>
      <c r="N699" t="s">
        <v>960</v>
      </c>
      <c r="O699">
        <v>0</v>
      </c>
      <c r="P699">
        <v>0</v>
      </c>
      <c r="Q699">
        <v>0</v>
      </c>
      <c r="R699">
        <v>0</v>
      </c>
    </row>
    <row r="700" spans="1:18" ht="16" x14ac:dyDescent="0.2">
      <c r="A700" s="127" t="s">
        <v>954</v>
      </c>
      <c r="B700" t="s">
        <v>325</v>
      </c>
      <c r="C700" t="s">
        <v>3243</v>
      </c>
      <c r="D700" t="s">
        <v>3244</v>
      </c>
      <c r="E700" t="s">
        <v>1039</v>
      </c>
      <c r="F700">
        <v>3</v>
      </c>
      <c r="G700">
        <v>2</v>
      </c>
      <c r="H700">
        <v>7.7101605553796002</v>
      </c>
      <c r="I700" t="s">
        <v>957</v>
      </c>
      <c r="J700" t="s">
        <v>3245</v>
      </c>
      <c r="K700">
        <v>5.7142857142857099E-2</v>
      </c>
      <c r="L700" t="s">
        <v>959</v>
      </c>
      <c r="M700">
        <v>0.76335877862595403</v>
      </c>
      <c r="N700" t="s">
        <v>960</v>
      </c>
      <c r="O700">
        <v>0</v>
      </c>
      <c r="P700">
        <v>0</v>
      </c>
      <c r="Q700">
        <v>0</v>
      </c>
      <c r="R700">
        <v>0</v>
      </c>
    </row>
    <row r="701" spans="1:18" ht="16" x14ac:dyDescent="0.2">
      <c r="A701" s="127" t="s">
        <v>954</v>
      </c>
      <c r="B701" t="s">
        <v>325</v>
      </c>
      <c r="C701" t="s">
        <v>1147</v>
      </c>
      <c r="D701" t="s">
        <v>1148</v>
      </c>
      <c r="E701">
        <v>4</v>
      </c>
      <c r="F701">
        <v>4</v>
      </c>
      <c r="G701">
        <v>1</v>
      </c>
      <c r="H701">
        <v>5.2204646109736101</v>
      </c>
      <c r="I701" t="s">
        <v>957</v>
      </c>
      <c r="J701" t="s">
        <v>3055</v>
      </c>
      <c r="K701">
        <v>9.2857142857142902E-2</v>
      </c>
      <c r="L701" t="s">
        <v>959</v>
      </c>
      <c r="M701">
        <v>3.8167938931297698</v>
      </c>
      <c r="N701" t="s">
        <v>960</v>
      </c>
      <c r="O701">
        <v>0</v>
      </c>
      <c r="P701">
        <v>0</v>
      </c>
      <c r="Q701">
        <v>0</v>
      </c>
      <c r="R701">
        <v>0</v>
      </c>
    </row>
    <row r="702" spans="1:18" ht="16" x14ac:dyDescent="0.2">
      <c r="A702" s="127" t="s">
        <v>954</v>
      </c>
      <c r="B702" t="s">
        <v>329</v>
      </c>
      <c r="C702" t="s">
        <v>1986</v>
      </c>
      <c r="D702" t="s">
        <v>1987</v>
      </c>
      <c r="E702" t="s">
        <v>1052</v>
      </c>
      <c r="F702">
        <v>2</v>
      </c>
      <c r="G702">
        <v>2</v>
      </c>
      <c r="H702">
        <v>5.9154401723314303</v>
      </c>
      <c r="I702" t="s">
        <v>957</v>
      </c>
      <c r="J702" t="s">
        <v>1988</v>
      </c>
      <c r="K702">
        <v>3.5714285714285698E-2</v>
      </c>
      <c r="L702" t="s">
        <v>959</v>
      </c>
      <c r="M702">
        <v>0.76335877862595403</v>
      </c>
      <c r="N702" t="s">
        <v>960</v>
      </c>
      <c r="O702">
        <v>0</v>
      </c>
      <c r="P702">
        <v>0</v>
      </c>
      <c r="Q702">
        <v>0</v>
      </c>
      <c r="R702">
        <v>0</v>
      </c>
    </row>
    <row r="703" spans="1:18" ht="16" x14ac:dyDescent="0.2">
      <c r="A703" s="127" t="s">
        <v>954</v>
      </c>
      <c r="B703" t="s">
        <v>329</v>
      </c>
      <c r="C703" t="s">
        <v>1312</v>
      </c>
      <c r="D703" t="s">
        <v>1313</v>
      </c>
      <c r="E703">
        <v>3</v>
      </c>
      <c r="F703">
        <v>3</v>
      </c>
      <c r="G703">
        <v>1</v>
      </c>
      <c r="H703">
        <v>5.1510891938413597</v>
      </c>
      <c r="I703" t="s">
        <v>957</v>
      </c>
      <c r="J703" t="s">
        <v>1314</v>
      </c>
      <c r="K703">
        <v>5.7142857142857099E-2</v>
      </c>
      <c r="L703" t="s">
        <v>959</v>
      </c>
      <c r="M703">
        <v>1.5267175572519101</v>
      </c>
      <c r="N703" t="s">
        <v>960</v>
      </c>
      <c r="O703">
        <v>0</v>
      </c>
      <c r="P703">
        <v>0</v>
      </c>
      <c r="Q703">
        <v>0</v>
      </c>
      <c r="R703">
        <v>0</v>
      </c>
    </row>
    <row r="704" spans="1:18" ht="16" x14ac:dyDescent="0.2">
      <c r="A704" s="127" t="s">
        <v>954</v>
      </c>
      <c r="B704" t="s">
        <v>329</v>
      </c>
      <c r="C704" t="s">
        <v>297</v>
      </c>
      <c r="D704" t="s">
        <v>2534</v>
      </c>
      <c r="E704">
        <v>5</v>
      </c>
      <c r="F704">
        <v>5</v>
      </c>
      <c r="G704">
        <v>1</v>
      </c>
      <c r="H704">
        <v>7.50889222414364</v>
      </c>
      <c r="I704" t="s">
        <v>957</v>
      </c>
      <c r="J704" t="s">
        <v>3352</v>
      </c>
      <c r="K704">
        <v>2.1428571428571401E-2</v>
      </c>
      <c r="L704" t="s">
        <v>959</v>
      </c>
      <c r="M704">
        <v>1.5267175572519101</v>
      </c>
      <c r="N704" t="s">
        <v>960</v>
      </c>
      <c r="O704">
        <v>0</v>
      </c>
      <c r="P704" t="s">
        <v>5018</v>
      </c>
      <c r="Q704">
        <v>0</v>
      </c>
      <c r="R704">
        <v>0</v>
      </c>
    </row>
    <row r="705" spans="1:18" ht="16" x14ac:dyDescent="0.2">
      <c r="A705" s="127" t="s">
        <v>954</v>
      </c>
      <c r="B705" t="s">
        <v>329</v>
      </c>
      <c r="C705" t="s">
        <v>338</v>
      </c>
      <c r="D705" t="s">
        <v>3738</v>
      </c>
      <c r="E705" t="s">
        <v>3739</v>
      </c>
      <c r="F705">
        <v>26</v>
      </c>
      <c r="G705">
        <v>3</v>
      </c>
      <c r="H705">
        <v>11.825794051560001</v>
      </c>
      <c r="I705" t="s">
        <v>957</v>
      </c>
      <c r="J705" t="s">
        <v>3740</v>
      </c>
      <c r="K705">
        <v>1.4285714285714299E-2</v>
      </c>
      <c r="L705" t="s">
        <v>959</v>
      </c>
      <c r="M705">
        <v>0.76335877862595403</v>
      </c>
      <c r="N705" t="s">
        <v>960</v>
      </c>
      <c r="O705">
        <v>0</v>
      </c>
      <c r="P705">
        <v>0</v>
      </c>
      <c r="Q705">
        <v>0</v>
      </c>
      <c r="R705">
        <v>0</v>
      </c>
    </row>
    <row r="706" spans="1:18" ht="16" x14ac:dyDescent="0.2">
      <c r="A706" s="127" t="s">
        <v>954</v>
      </c>
      <c r="B706" t="s">
        <v>343</v>
      </c>
      <c r="C706" t="s">
        <v>2139</v>
      </c>
      <c r="D706" t="s">
        <v>2140</v>
      </c>
      <c r="E706" t="s">
        <v>1598</v>
      </c>
      <c r="F706">
        <v>7</v>
      </c>
      <c r="G706">
        <v>2</v>
      </c>
      <c r="H706">
        <v>6.5173559829399403</v>
      </c>
      <c r="I706" t="s">
        <v>957</v>
      </c>
      <c r="J706" t="s">
        <v>2176</v>
      </c>
      <c r="K706">
        <v>0.128571428571429</v>
      </c>
      <c r="L706" t="s">
        <v>959</v>
      </c>
      <c r="M706">
        <v>2.2900763358778602</v>
      </c>
      <c r="N706" t="s">
        <v>960</v>
      </c>
      <c r="O706">
        <v>0</v>
      </c>
      <c r="P706">
        <v>0</v>
      </c>
      <c r="Q706">
        <v>0</v>
      </c>
      <c r="R706">
        <v>0</v>
      </c>
    </row>
    <row r="707" spans="1:18" ht="16" x14ac:dyDescent="0.2">
      <c r="A707" s="127" t="s">
        <v>954</v>
      </c>
      <c r="B707" t="s">
        <v>343</v>
      </c>
      <c r="C707" t="s">
        <v>2077</v>
      </c>
      <c r="D707" t="s">
        <v>2078</v>
      </c>
      <c r="E707">
        <v>3</v>
      </c>
      <c r="F707">
        <v>3</v>
      </c>
      <c r="G707">
        <v>1</v>
      </c>
      <c r="H707">
        <v>4.1231056256176597</v>
      </c>
      <c r="I707" t="s">
        <v>957</v>
      </c>
      <c r="J707" t="s">
        <v>2248</v>
      </c>
      <c r="K707">
        <v>5.8823529411764698E-2</v>
      </c>
      <c r="L707" t="s">
        <v>1099</v>
      </c>
      <c r="M707">
        <v>1.5267175572519101</v>
      </c>
      <c r="N707" t="s">
        <v>973</v>
      </c>
      <c r="O707">
        <v>0</v>
      </c>
      <c r="P707">
        <v>0</v>
      </c>
      <c r="Q707">
        <v>0</v>
      </c>
      <c r="R707">
        <v>0</v>
      </c>
    </row>
    <row r="708" spans="1:18" ht="16" x14ac:dyDescent="0.2">
      <c r="A708" s="127" t="s">
        <v>954</v>
      </c>
      <c r="B708" t="s">
        <v>343</v>
      </c>
      <c r="C708" t="s">
        <v>1670</v>
      </c>
      <c r="D708" t="s">
        <v>1671</v>
      </c>
      <c r="E708">
        <v>3</v>
      </c>
      <c r="F708">
        <v>3</v>
      </c>
      <c r="G708">
        <v>1</v>
      </c>
      <c r="H708">
        <v>6.2620784927354904</v>
      </c>
      <c r="I708" t="s">
        <v>957</v>
      </c>
      <c r="J708" t="s">
        <v>3027</v>
      </c>
      <c r="K708">
        <v>5.7142857142857099E-2</v>
      </c>
      <c r="L708" t="s">
        <v>959</v>
      </c>
      <c r="M708">
        <v>1.5267175572519101</v>
      </c>
      <c r="N708" t="s">
        <v>960</v>
      </c>
      <c r="O708">
        <v>0</v>
      </c>
      <c r="P708">
        <v>0</v>
      </c>
      <c r="Q708">
        <v>0</v>
      </c>
      <c r="R708">
        <v>0</v>
      </c>
    </row>
    <row r="709" spans="1:18" ht="16" x14ac:dyDescent="0.2">
      <c r="A709" s="127" t="s">
        <v>954</v>
      </c>
      <c r="B709" t="s">
        <v>343</v>
      </c>
      <c r="C709" t="s">
        <v>1190</v>
      </c>
      <c r="D709" t="s">
        <v>1191</v>
      </c>
      <c r="E709" t="s">
        <v>1022</v>
      </c>
      <c r="F709">
        <v>3</v>
      </c>
      <c r="G709">
        <v>2</v>
      </c>
      <c r="H709">
        <v>6.1790948996764703</v>
      </c>
      <c r="I709" t="s">
        <v>957</v>
      </c>
      <c r="J709" t="s">
        <v>1192</v>
      </c>
      <c r="K709">
        <v>9.2857142857142902E-2</v>
      </c>
      <c r="L709" t="s">
        <v>959</v>
      </c>
      <c r="M709">
        <v>0.76335877862595403</v>
      </c>
      <c r="N709" t="s">
        <v>960</v>
      </c>
      <c r="O709">
        <v>0</v>
      </c>
      <c r="P709">
        <v>0</v>
      </c>
      <c r="Q709">
        <v>0</v>
      </c>
      <c r="R709">
        <v>0</v>
      </c>
    </row>
    <row r="710" spans="1:18" ht="16" x14ac:dyDescent="0.2">
      <c r="A710" s="127" t="s">
        <v>954</v>
      </c>
      <c r="B710" t="s">
        <v>343</v>
      </c>
      <c r="C710" t="s">
        <v>1469</v>
      </c>
      <c r="D710" t="s">
        <v>1470</v>
      </c>
      <c r="E710">
        <v>3</v>
      </c>
      <c r="F710">
        <v>3</v>
      </c>
      <c r="G710">
        <v>1</v>
      </c>
      <c r="H710">
        <v>9.2271210246703408</v>
      </c>
      <c r="I710" t="s">
        <v>957</v>
      </c>
      <c r="J710" t="s">
        <v>1471</v>
      </c>
      <c r="K710">
        <v>2.8571428571428598E-2</v>
      </c>
      <c r="L710" t="s">
        <v>959</v>
      </c>
      <c r="M710">
        <v>0.76335877862595403</v>
      </c>
      <c r="N710" t="s">
        <v>960</v>
      </c>
      <c r="O710">
        <v>0</v>
      </c>
      <c r="P710">
        <v>0</v>
      </c>
      <c r="Q710">
        <v>0</v>
      </c>
      <c r="R710">
        <v>0</v>
      </c>
    </row>
    <row r="711" spans="1:18" ht="16" x14ac:dyDescent="0.2">
      <c r="A711" s="127" t="s">
        <v>954</v>
      </c>
      <c r="B711" t="s">
        <v>343</v>
      </c>
      <c r="C711" t="s">
        <v>1104</v>
      </c>
      <c r="D711" t="s">
        <v>1105</v>
      </c>
      <c r="E711" t="s">
        <v>1074</v>
      </c>
      <c r="F711">
        <v>6</v>
      </c>
      <c r="G711">
        <v>2</v>
      </c>
      <c r="H711">
        <v>9.8110296538613593</v>
      </c>
      <c r="I711" t="s">
        <v>957</v>
      </c>
      <c r="J711" t="s">
        <v>1106</v>
      </c>
      <c r="K711">
        <v>4.2857142857142899E-2</v>
      </c>
      <c r="L711" t="s">
        <v>959</v>
      </c>
      <c r="M711">
        <v>1.5267175572519101</v>
      </c>
      <c r="N711" t="s">
        <v>960</v>
      </c>
      <c r="O711">
        <v>0</v>
      </c>
      <c r="P711">
        <v>0</v>
      </c>
      <c r="Q711">
        <v>0</v>
      </c>
      <c r="R711">
        <v>0</v>
      </c>
    </row>
    <row r="712" spans="1:18" ht="16" x14ac:dyDescent="0.2">
      <c r="A712" s="127" t="s">
        <v>954</v>
      </c>
      <c r="B712" t="s">
        <v>343</v>
      </c>
      <c r="C712" t="s">
        <v>1721</v>
      </c>
      <c r="D712" t="s">
        <v>1722</v>
      </c>
      <c r="E712" t="s">
        <v>1052</v>
      </c>
      <c r="F712">
        <v>2</v>
      </c>
      <c r="G712">
        <v>2</v>
      </c>
      <c r="H712">
        <v>5.1172774497196496</v>
      </c>
      <c r="I712" t="s">
        <v>957</v>
      </c>
      <c r="J712" t="s">
        <v>1845</v>
      </c>
      <c r="K712">
        <v>7.1428571428571397E-2</v>
      </c>
      <c r="L712" t="s">
        <v>959</v>
      </c>
      <c r="M712">
        <v>1.5267175572519101</v>
      </c>
      <c r="N712" t="s">
        <v>960</v>
      </c>
      <c r="O712">
        <v>0</v>
      </c>
      <c r="P712">
        <v>0</v>
      </c>
      <c r="Q712">
        <v>0</v>
      </c>
      <c r="R712">
        <v>0</v>
      </c>
    </row>
    <row r="713" spans="1:18" ht="16" x14ac:dyDescent="0.2">
      <c r="A713" s="127" t="s">
        <v>954</v>
      </c>
      <c r="B713" t="s">
        <v>343</v>
      </c>
      <c r="C713" t="s">
        <v>1592</v>
      </c>
      <c r="D713" t="s">
        <v>1593</v>
      </c>
      <c r="E713">
        <v>4</v>
      </c>
      <c r="F713">
        <v>4</v>
      </c>
      <c r="G713">
        <v>1</v>
      </c>
      <c r="H713">
        <v>6.1849311486340204</v>
      </c>
      <c r="I713" t="s">
        <v>957</v>
      </c>
      <c r="J713" t="s">
        <v>3555</v>
      </c>
      <c r="K713">
        <v>5.7142857142857099E-2</v>
      </c>
      <c r="L713" t="s">
        <v>959</v>
      </c>
      <c r="M713">
        <v>2.2900763358778602</v>
      </c>
      <c r="N713" t="s">
        <v>960</v>
      </c>
      <c r="O713">
        <v>0</v>
      </c>
      <c r="P713">
        <v>0</v>
      </c>
      <c r="Q713">
        <v>0</v>
      </c>
      <c r="R713">
        <v>0</v>
      </c>
    </row>
    <row r="714" spans="1:18" ht="16" x14ac:dyDescent="0.2">
      <c r="A714" s="127" t="s">
        <v>954</v>
      </c>
      <c r="B714" t="s">
        <v>343</v>
      </c>
      <c r="C714" t="s">
        <v>1076</v>
      </c>
      <c r="D714" t="s">
        <v>1077</v>
      </c>
      <c r="E714" t="s">
        <v>1230</v>
      </c>
      <c r="F714">
        <v>4</v>
      </c>
      <c r="G714">
        <v>2</v>
      </c>
      <c r="H714">
        <v>6.2966504821109499</v>
      </c>
      <c r="I714" t="s">
        <v>957</v>
      </c>
      <c r="J714" t="s">
        <v>3132</v>
      </c>
      <c r="K714">
        <v>0.114285714285714</v>
      </c>
      <c r="L714" t="s">
        <v>959</v>
      </c>
      <c r="M714">
        <v>2.2900763358778602</v>
      </c>
      <c r="N714" t="s">
        <v>960</v>
      </c>
      <c r="O714">
        <v>0</v>
      </c>
      <c r="P714">
        <v>0</v>
      </c>
      <c r="Q714">
        <v>0</v>
      </c>
      <c r="R714">
        <v>0</v>
      </c>
    </row>
    <row r="715" spans="1:18" ht="16" x14ac:dyDescent="0.2">
      <c r="A715" s="127" t="s">
        <v>954</v>
      </c>
      <c r="B715" t="s">
        <v>343</v>
      </c>
      <c r="C715" t="s">
        <v>3419</v>
      </c>
      <c r="D715" t="s">
        <v>3420</v>
      </c>
      <c r="E715">
        <v>4</v>
      </c>
      <c r="F715">
        <v>4</v>
      </c>
      <c r="G715">
        <v>1</v>
      </c>
      <c r="H715">
        <v>8.3286369479120506</v>
      </c>
      <c r="I715" t="s">
        <v>957</v>
      </c>
      <c r="J715" t="s">
        <v>3421</v>
      </c>
      <c r="K715">
        <v>7.1428571428571397E-2</v>
      </c>
      <c r="L715" t="s">
        <v>959</v>
      </c>
      <c r="M715">
        <v>0.76335877862595403</v>
      </c>
      <c r="N715" t="s">
        <v>960</v>
      </c>
      <c r="O715">
        <v>0</v>
      </c>
      <c r="P715">
        <v>0</v>
      </c>
      <c r="Q715">
        <v>0</v>
      </c>
      <c r="R715">
        <v>0</v>
      </c>
    </row>
    <row r="716" spans="1:18" ht="16" x14ac:dyDescent="0.2">
      <c r="A716" s="127" t="s">
        <v>954</v>
      </c>
      <c r="B716" t="s">
        <v>343</v>
      </c>
      <c r="C716" t="s">
        <v>2249</v>
      </c>
      <c r="D716" t="s">
        <v>2250</v>
      </c>
      <c r="E716" t="s">
        <v>1039</v>
      </c>
      <c r="F716">
        <v>3</v>
      </c>
      <c r="G716">
        <v>2</v>
      </c>
      <c r="H716">
        <v>4.6297233610874997</v>
      </c>
      <c r="I716" t="s">
        <v>957</v>
      </c>
      <c r="J716" t="s">
        <v>2251</v>
      </c>
      <c r="K716">
        <v>0.17857142857142899</v>
      </c>
      <c r="L716" t="s">
        <v>959</v>
      </c>
      <c r="M716">
        <v>1.5267175572519101</v>
      </c>
      <c r="N716" t="s">
        <v>960</v>
      </c>
      <c r="O716">
        <v>0</v>
      </c>
      <c r="P716">
        <v>0</v>
      </c>
      <c r="Q716">
        <v>0</v>
      </c>
      <c r="R716">
        <v>0</v>
      </c>
    </row>
    <row r="717" spans="1:18" ht="16" x14ac:dyDescent="0.2">
      <c r="A717" s="127" t="s">
        <v>954</v>
      </c>
      <c r="B717" t="s">
        <v>343</v>
      </c>
      <c r="C717" t="s">
        <v>1944</v>
      </c>
      <c r="D717" t="s">
        <v>1945</v>
      </c>
      <c r="E717" t="s">
        <v>1022</v>
      </c>
      <c r="F717">
        <v>3</v>
      </c>
      <c r="G717">
        <v>2</v>
      </c>
      <c r="H717">
        <v>4.6735543377541404</v>
      </c>
      <c r="I717" t="s">
        <v>957</v>
      </c>
      <c r="J717" t="s">
        <v>1946</v>
      </c>
      <c r="K717">
        <v>0.15</v>
      </c>
      <c r="L717" t="s">
        <v>959</v>
      </c>
      <c r="M717">
        <v>1.5267175572519101</v>
      </c>
      <c r="N717" t="s">
        <v>960</v>
      </c>
      <c r="O717">
        <v>0</v>
      </c>
      <c r="P717">
        <v>0</v>
      </c>
      <c r="Q717">
        <v>0</v>
      </c>
      <c r="R717">
        <v>0</v>
      </c>
    </row>
    <row r="718" spans="1:18" ht="16" x14ac:dyDescent="0.2">
      <c r="A718" s="127" t="s">
        <v>954</v>
      </c>
      <c r="B718" t="s">
        <v>343</v>
      </c>
      <c r="C718" t="s">
        <v>1941</v>
      </c>
      <c r="D718" t="s">
        <v>1942</v>
      </c>
      <c r="E718" t="s">
        <v>1488</v>
      </c>
      <c r="F718">
        <v>8</v>
      </c>
      <c r="G718">
        <v>2</v>
      </c>
      <c r="H718">
        <v>6.5555532632474103</v>
      </c>
      <c r="I718" t="s">
        <v>957</v>
      </c>
      <c r="J718" t="s">
        <v>1943</v>
      </c>
      <c r="K718">
        <v>0.121428571428571</v>
      </c>
      <c r="L718" t="s">
        <v>959</v>
      </c>
      <c r="M718">
        <v>2.2900763358778602</v>
      </c>
      <c r="N718" t="s">
        <v>960</v>
      </c>
      <c r="O718">
        <v>0</v>
      </c>
      <c r="P718">
        <v>0</v>
      </c>
      <c r="Q718">
        <v>0</v>
      </c>
      <c r="R718">
        <v>0</v>
      </c>
    </row>
    <row r="719" spans="1:18" ht="16" x14ac:dyDescent="0.2">
      <c r="A719" s="127" t="s">
        <v>954</v>
      </c>
      <c r="B719" t="s">
        <v>347</v>
      </c>
      <c r="C719" t="s">
        <v>1680</v>
      </c>
      <c r="D719" t="s">
        <v>1681</v>
      </c>
      <c r="E719">
        <v>5</v>
      </c>
      <c r="F719">
        <v>5</v>
      </c>
      <c r="G719">
        <v>1</v>
      </c>
      <c r="H719">
        <v>9.5350585253359093</v>
      </c>
      <c r="I719" t="s">
        <v>957</v>
      </c>
      <c r="J719" t="s">
        <v>2709</v>
      </c>
      <c r="K719">
        <v>2.8571428571428598E-2</v>
      </c>
      <c r="L719" t="s">
        <v>959</v>
      </c>
      <c r="M719">
        <v>1.5267175572519101</v>
      </c>
      <c r="N719" t="s">
        <v>960</v>
      </c>
      <c r="O719">
        <v>0</v>
      </c>
      <c r="P719">
        <v>0</v>
      </c>
      <c r="Q719">
        <v>0</v>
      </c>
      <c r="R719">
        <v>0</v>
      </c>
    </row>
    <row r="720" spans="1:18" ht="16" x14ac:dyDescent="0.2">
      <c r="A720" s="127" t="s">
        <v>954</v>
      </c>
      <c r="B720" t="s">
        <v>347</v>
      </c>
      <c r="C720" t="s">
        <v>2617</v>
      </c>
      <c r="D720" t="s">
        <v>2618</v>
      </c>
      <c r="E720">
        <v>6</v>
      </c>
      <c r="F720">
        <v>6</v>
      </c>
      <c r="G720">
        <v>1</v>
      </c>
      <c r="H720">
        <v>6.4227356899012502</v>
      </c>
      <c r="I720" t="s">
        <v>957</v>
      </c>
      <c r="J720" t="s">
        <v>3762</v>
      </c>
      <c r="K720">
        <v>0.05</v>
      </c>
      <c r="L720" t="s">
        <v>959</v>
      </c>
      <c r="M720">
        <v>2.2900763358778602</v>
      </c>
      <c r="N720" t="s">
        <v>960</v>
      </c>
      <c r="O720">
        <v>0</v>
      </c>
      <c r="P720">
        <v>0</v>
      </c>
      <c r="Q720">
        <v>0</v>
      </c>
      <c r="R720">
        <v>0</v>
      </c>
    </row>
    <row r="721" spans="1:18" ht="16" x14ac:dyDescent="0.2">
      <c r="A721" s="127" t="s">
        <v>954</v>
      </c>
      <c r="B721" t="s">
        <v>347</v>
      </c>
      <c r="C721" t="s">
        <v>1383</v>
      </c>
      <c r="D721" t="s">
        <v>1384</v>
      </c>
      <c r="E721">
        <v>4</v>
      </c>
      <c r="F721">
        <v>4</v>
      </c>
      <c r="G721">
        <v>1</v>
      </c>
      <c r="H721">
        <v>6.0534142241583604</v>
      </c>
      <c r="I721" t="s">
        <v>957</v>
      </c>
      <c r="J721" t="s">
        <v>1385</v>
      </c>
      <c r="K721">
        <v>0.1</v>
      </c>
      <c r="L721" t="s">
        <v>959</v>
      </c>
      <c r="M721">
        <v>2.2900763358778602</v>
      </c>
      <c r="N721" t="s">
        <v>960</v>
      </c>
      <c r="O721">
        <v>0</v>
      </c>
      <c r="P721">
        <v>0</v>
      </c>
      <c r="Q721">
        <v>0</v>
      </c>
      <c r="R721">
        <v>0</v>
      </c>
    </row>
    <row r="722" spans="1:18" ht="16" x14ac:dyDescent="0.2">
      <c r="A722" s="127" t="s">
        <v>954</v>
      </c>
      <c r="B722" t="s">
        <v>347</v>
      </c>
      <c r="C722" t="s">
        <v>1453</v>
      </c>
      <c r="D722" t="s">
        <v>1454</v>
      </c>
      <c r="E722">
        <v>3</v>
      </c>
      <c r="F722">
        <v>3</v>
      </c>
      <c r="G722">
        <v>1</v>
      </c>
      <c r="H722">
        <v>7.7212644037873304</v>
      </c>
      <c r="I722" t="s">
        <v>957</v>
      </c>
      <c r="J722" t="s">
        <v>1455</v>
      </c>
      <c r="K722">
        <v>3.5714285714285698E-2</v>
      </c>
      <c r="L722" t="s">
        <v>959</v>
      </c>
      <c r="M722">
        <v>1.5267175572519101</v>
      </c>
      <c r="N722" t="s">
        <v>960</v>
      </c>
      <c r="O722">
        <v>0</v>
      </c>
      <c r="P722">
        <v>0</v>
      </c>
      <c r="Q722">
        <v>0</v>
      </c>
      <c r="R722">
        <v>0</v>
      </c>
    </row>
    <row r="723" spans="1:18" ht="16" x14ac:dyDescent="0.2">
      <c r="A723" s="127" t="s">
        <v>954</v>
      </c>
      <c r="B723" t="s">
        <v>347</v>
      </c>
      <c r="C723" t="s">
        <v>1807</v>
      </c>
      <c r="D723" t="s">
        <v>1808</v>
      </c>
      <c r="E723" t="s">
        <v>1052</v>
      </c>
      <c r="F723">
        <v>2</v>
      </c>
      <c r="G723">
        <v>2</v>
      </c>
      <c r="H723">
        <v>6.8982609487055697</v>
      </c>
      <c r="I723" t="s">
        <v>957</v>
      </c>
      <c r="J723" t="s">
        <v>1809</v>
      </c>
      <c r="K723">
        <v>4.2857142857142899E-2</v>
      </c>
      <c r="L723" t="s">
        <v>959</v>
      </c>
      <c r="M723">
        <v>1.5267175572519101</v>
      </c>
      <c r="N723" t="s">
        <v>960</v>
      </c>
      <c r="O723">
        <v>0</v>
      </c>
      <c r="P723">
        <v>0</v>
      </c>
      <c r="Q723">
        <v>0</v>
      </c>
      <c r="R723">
        <v>0</v>
      </c>
    </row>
    <row r="724" spans="1:18" ht="16" x14ac:dyDescent="0.2">
      <c r="A724" s="127" t="s">
        <v>954</v>
      </c>
      <c r="B724" t="s">
        <v>347</v>
      </c>
      <c r="C724" t="s">
        <v>1822</v>
      </c>
      <c r="D724" t="s">
        <v>1823</v>
      </c>
      <c r="E724">
        <v>3</v>
      </c>
      <c r="F724">
        <v>3</v>
      </c>
      <c r="G724">
        <v>1</v>
      </c>
      <c r="H724">
        <v>4.7376829570462897</v>
      </c>
      <c r="I724" t="s">
        <v>957</v>
      </c>
      <c r="J724" t="s">
        <v>2179</v>
      </c>
      <c r="K724">
        <v>0.107142857142857</v>
      </c>
      <c r="L724" t="s">
        <v>959</v>
      </c>
      <c r="M724">
        <v>2.2900763358778602</v>
      </c>
      <c r="N724" t="s">
        <v>960</v>
      </c>
      <c r="O724">
        <v>0</v>
      </c>
      <c r="P724">
        <v>0</v>
      </c>
      <c r="Q724">
        <v>0</v>
      </c>
      <c r="R724">
        <v>0</v>
      </c>
    </row>
    <row r="725" spans="1:18" ht="16" x14ac:dyDescent="0.2">
      <c r="A725" s="127" t="s">
        <v>954</v>
      </c>
      <c r="B725" t="s">
        <v>347</v>
      </c>
      <c r="C725" t="s">
        <v>1664</v>
      </c>
      <c r="D725" t="s">
        <v>1665</v>
      </c>
      <c r="E725">
        <v>3</v>
      </c>
      <c r="F725">
        <v>3</v>
      </c>
      <c r="G725">
        <v>1</v>
      </c>
      <c r="H725">
        <v>5.8154222231085999</v>
      </c>
      <c r="I725" t="s">
        <v>957</v>
      </c>
      <c r="J725" t="s">
        <v>1666</v>
      </c>
      <c r="K725">
        <v>0.107142857142857</v>
      </c>
      <c r="L725" t="s">
        <v>959</v>
      </c>
      <c r="M725">
        <v>2.2900763358778602</v>
      </c>
      <c r="N725" t="s">
        <v>960</v>
      </c>
      <c r="O725">
        <v>0</v>
      </c>
      <c r="P725">
        <v>0</v>
      </c>
      <c r="Q725">
        <v>0</v>
      </c>
      <c r="R725">
        <v>0</v>
      </c>
    </row>
    <row r="726" spans="1:18" ht="16" x14ac:dyDescent="0.2">
      <c r="A726" s="127" t="s">
        <v>954</v>
      </c>
      <c r="B726" t="s">
        <v>347</v>
      </c>
      <c r="C726" t="s">
        <v>1667</v>
      </c>
      <c r="D726" t="s">
        <v>1668</v>
      </c>
      <c r="E726">
        <v>3</v>
      </c>
      <c r="F726">
        <v>3</v>
      </c>
      <c r="G726">
        <v>1</v>
      </c>
      <c r="H726">
        <v>8.0341427208795899</v>
      </c>
      <c r="I726" t="s">
        <v>957</v>
      </c>
      <c r="J726" t="s">
        <v>1669</v>
      </c>
      <c r="K726">
        <v>4.2857142857142899E-2</v>
      </c>
      <c r="L726" t="s">
        <v>959</v>
      </c>
      <c r="M726">
        <v>0.76335877862595403</v>
      </c>
      <c r="N726" t="s">
        <v>960</v>
      </c>
      <c r="O726">
        <v>0</v>
      </c>
      <c r="P726">
        <v>0</v>
      </c>
      <c r="Q726">
        <v>0</v>
      </c>
      <c r="R726">
        <v>0</v>
      </c>
    </row>
    <row r="727" spans="1:18" ht="16" x14ac:dyDescent="0.2">
      <c r="A727" s="127" t="s">
        <v>954</v>
      </c>
      <c r="B727" t="s">
        <v>347</v>
      </c>
      <c r="C727" t="s">
        <v>1902</v>
      </c>
      <c r="D727" t="s">
        <v>1903</v>
      </c>
      <c r="E727" t="s">
        <v>1904</v>
      </c>
      <c r="F727">
        <v>28</v>
      </c>
      <c r="G727">
        <v>4</v>
      </c>
      <c r="H727">
        <v>11.830260778199801</v>
      </c>
      <c r="I727" t="s">
        <v>957</v>
      </c>
      <c r="J727" t="s">
        <v>1905</v>
      </c>
      <c r="K727">
        <v>0.107142857142857</v>
      </c>
      <c r="L727" t="s">
        <v>959</v>
      </c>
      <c r="M727">
        <v>0.76335877862595403</v>
      </c>
      <c r="N727" t="s">
        <v>960</v>
      </c>
      <c r="O727">
        <v>0</v>
      </c>
      <c r="P727">
        <v>0</v>
      </c>
      <c r="Q727">
        <v>0</v>
      </c>
      <c r="R727">
        <v>0</v>
      </c>
    </row>
    <row r="728" spans="1:18" ht="16" x14ac:dyDescent="0.2">
      <c r="A728" s="127" t="s">
        <v>954</v>
      </c>
      <c r="B728" t="s">
        <v>347</v>
      </c>
      <c r="C728" t="s">
        <v>2865</v>
      </c>
      <c r="D728" t="s">
        <v>2866</v>
      </c>
      <c r="E728">
        <v>4</v>
      </c>
      <c r="F728">
        <v>4</v>
      </c>
      <c r="G728">
        <v>1</v>
      </c>
      <c r="H728">
        <v>11.8321595661992</v>
      </c>
      <c r="I728" t="s">
        <v>957</v>
      </c>
      <c r="J728" t="s">
        <v>2867</v>
      </c>
      <c r="K728">
        <v>7.14285714285714E-3</v>
      </c>
      <c r="L728" t="s">
        <v>959</v>
      </c>
      <c r="M728">
        <v>0.76335877862595403</v>
      </c>
      <c r="N728" t="s">
        <v>960</v>
      </c>
      <c r="O728">
        <v>0</v>
      </c>
      <c r="P728">
        <v>0</v>
      </c>
      <c r="Q728">
        <v>0</v>
      </c>
      <c r="R728">
        <v>0</v>
      </c>
    </row>
    <row r="729" spans="1:18" ht="16" x14ac:dyDescent="0.2">
      <c r="A729" s="127" t="s">
        <v>954</v>
      </c>
      <c r="B729" t="s">
        <v>351</v>
      </c>
      <c r="C729" t="s">
        <v>1016</v>
      </c>
      <c r="D729" t="s">
        <v>1017</v>
      </c>
      <c r="E729" t="s">
        <v>1158</v>
      </c>
      <c r="F729">
        <v>9</v>
      </c>
      <c r="G729">
        <v>3</v>
      </c>
      <c r="H729">
        <v>9.4621662740574806</v>
      </c>
      <c r="I729" t="s">
        <v>957</v>
      </c>
      <c r="J729" t="s">
        <v>1159</v>
      </c>
      <c r="K729">
        <v>3.5714285714285698E-2</v>
      </c>
      <c r="L729" t="s">
        <v>959</v>
      </c>
      <c r="M729">
        <v>1.5267175572519101</v>
      </c>
      <c r="N729" t="s">
        <v>960</v>
      </c>
      <c r="O729">
        <v>0</v>
      </c>
      <c r="P729">
        <v>0</v>
      </c>
      <c r="Q729">
        <v>0</v>
      </c>
      <c r="R729">
        <v>0</v>
      </c>
    </row>
    <row r="730" spans="1:18" ht="16" x14ac:dyDescent="0.2">
      <c r="A730" s="127" t="s">
        <v>954</v>
      </c>
      <c r="B730" t="s">
        <v>351</v>
      </c>
      <c r="C730" t="s">
        <v>2482</v>
      </c>
      <c r="D730" t="s">
        <v>2483</v>
      </c>
      <c r="E730">
        <v>7</v>
      </c>
      <c r="F730">
        <v>7</v>
      </c>
      <c r="G730">
        <v>1</v>
      </c>
      <c r="H730">
        <v>11.8321595661992</v>
      </c>
      <c r="I730" t="s">
        <v>957</v>
      </c>
      <c r="J730" t="s">
        <v>2484</v>
      </c>
      <c r="K730">
        <v>7.14285714285714E-3</v>
      </c>
      <c r="L730" t="s">
        <v>959</v>
      </c>
      <c r="M730">
        <v>0.76335877862595403</v>
      </c>
      <c r="N730" t="s">
        <v>960</v>
      </c>
      <c r="O730">
        <v>0</v>
      </c>
      <c r="P730">
        <v>0</v>
      </c>
      <c r="Q730">
        <v>0</v>
      </c>
      <c r="R730">
        <v>0</v>
      </c>
    </row>
    <row r="731" spans="1:18" ht="16" x14ac:dyDescent="0.2">
      <c r="A731" s="127" t="s">
        <v>954</v>
      </c>
      <c r="B731" t="s">
        <v>351</v>
      </c>
      <c r="C731" t="s">
        <v>1166</v>
      </c>
      <c r="D731" t="s">
        <v>1167</v>
      </c>
      <c r="E731" t="s">
        <v>1648</v>
      </c>
      <c r="F731">
        <v>13</v>
      </c>
      <c r="G731">
        <v>3</v>
      </c>
      <c r="H731">
        <v>8.2581807323442398</v>
      </c>
      <c r="I731" t="s">
        <v>957</v>
      </c>
      <c r="J731" t="s">
        <v>1169</v>
      </c>
      <c r="K731">
        <v>0.114285714285714</v>
      </c>
      <c r="L731" t="s">
        <v>959</v>
      </c>
      <c r="M731">
        <v>1.5267175572519101</v>
      </c>
      <c r="N731" t="s">
        <v>960</v>
      </c>
      <c r="O731">
        <v>0</v>
      </c>
      <c r="P731" t="s">
        <v>5018</v>
      </c>
      <c r="Q731">
        <v>0</v>
      </c>
      <c r="R731">
        <v>0</v>
      </c>
    </row>
    <row r="732" spans="1:18" ht="16" x14ac:dyDescent="0.2">
      <c r="A732" s="127" t="s">
        <v>954</v>
      </c>
      <c r="B732" t="s">
        <v>351</v>
      </c>
      <c r="C732" t="s">
        <v>2529</v>
      </c>
      <c r="D732" t="s">
        <v>2530</v>
      </c>
      <c r="E732" t="s">
        <v>2531</v>
      </c>
      <c r="F732">
        <v>16</v>
      </c>
      <c r="G732">
        <v>3</v>
      </c>
      <c r="H732">
        <v>9.1393270172586494</v>
      </c>
      <c r="I732" t="s">
        <v>957</v>
      </c>
      <c r="J732" t="s">
        <v>2532</v>
      </c>
      <c r="K732">
        <v>6.4285714285714293E-2</v>
      </c>
      <c r="L732" t="s">
        <v>959</v>
      </c>
      <c r="M732">
        <v>2.2900763358778602</v>
      </c>
      <c r="N732" t="s">
        <v>960</v>
      </c>
      <c r="O732">
        <v>0</v>
      </c>
      <c r="P732">
        <v>0</v>
      </c>
      <c r="Q732">
        <v>0</v>
      </c>
      <c r="R732">
        <v>0</v>
      </c>
    </row>
    <row r="733" spans="1:18" ht="16" x14ac:dyDescent="0.2">
      <c r="A733" s="127" t="s">
        <v>954</v>
      </c>
      <c r="B733" t="s">
        <v>351</v>
      </c>
      <c r="C733" t="s">
        <v>1567</v>
      </c>
      <c r="D733" t="s">
        <v>1568</v>
      </c>
      <c r="E733">
        <v>3</v>
      </c>
      <c r="F733">
        <v>3</v>
      </c>
      <c r="G733">
        <v>1</v>
      </c>
      <c r="H733">
        <v>11.8321595661992</v>
      </c>
      <c r="I733" t="s">
        <v>957</v>
      </c>
      <c r="J733" t="s">
        <v>1569</v>
      </c>
      <c r="K733">
        <v>7.14285714285714E-3</v>
      </c>
      <c r="L733" t="s">
        <v>959</v>
      </c>
      <c r="M733">
        <v>0.76335877862595403</v>
      </c>
      <c r="N733" t="s">
        <v>960</v>
      </c>
      <c r="O733">
        <v>0</v>
      </c>
      <c r="P733">
        <v>0</v>
      </c>
      <c r="Q733">
        <v>0</v>
      </c>
      <c r="R733">
        <v>0</v>
      </c>
    </row>
    <row r="734" spans="1:18" ht="16" x14ac:dyDescent="0.2">
      <c r="A734" s="127" t="s">
        <v>954</v>
      </c>
      <c r="B734" t="s">
        <v>351</v>
      </c>
      <c r="C734" t="s">
        <v>2658</v>
      </c>
      <c r="D734" t="s">
        <v>2659</v>
      </c>
      <c r="E734">
        <v>3</v>
      </c>
      <c r="F734">
        <v>3</v>
      </c>
      <c r="G734">
        <v>1</v>
      </c>
      <c r="H734">
        <v>11.8321595661992</v>
      </c>
      <c r="I734" t="s">
        <v>957</v>
      </c>
      <c r="J734" t="s">
        <v>2660</v>
      </c>
      <c r="K734">
        <v>7.14285714285714E-3</v>
      </c>
      <c r="L734" t="s">
        <v>959</v>
      </c>
      <c r="M734">
        <v>0.76335877862595403</v>
      </c>
      <c r="N734" t="s">
        <v>960</v>
      </c>
      <c r="O734">
        <v>0</v>
      </c>
      <c r="P734">
        <v>0</v>
      </c>
      <c r="Q734">
        <v>0</v>
      </c>
      <c r="R734">
        <v>0</v>
      </c>
    </row>
    <row r="735" spans="1:18" ht="16" x14ac:dyDescent="0.2">
      <c r="A735" s="127" t="s">
        <v>954</v>
      </c>
      <c r="B735" t="s">
        <v>351</v>
      </c>
      <c r="C735" t="s">
        <v>2452</v>
      </c>
      <c r="D735" t="s">
        <v>2453</v>
      </c>
      <c r="E735">
        <v>5</v>
      </c>
      <c r="F735">
        <v>5</v>
      </c>
      <c r="G735">
        <v>1</v>
      </c>
      <c r="H735">
        <v>11.246412354404599</v>
      </c>
      <c r="I735" t="s">
        <v>957</v>
      </c>
      <c r="J735" t="s">
        <v>2454</v>
      </c>
      <c r="K735">
        <v>1.4285714285714299E-2</v>
      </c>
      <c r="L735" t="s">
        <v>959</v>
      </c>
      <c r="M735">
        <v>0.76335877862595403</v>
      </c>
      <c r="N735" t="s">
        <v>960</v>
      </c>
      <c r="O735">
        <v>0</v>
      </c>
      <c r="P735">
        <v>0</v>
      </c>
      <c r="Q735">
        <v>0</v>
      </c>
      <c r="R735">
        <v>0</v>
      </c>
    </row>
    <row r="736" spans="1:18" ht="16" x14ac:dyDescent="0.2">
      <c r="A736" s="127" t="s">
        <v>954</v>
      </c>
      <c r="B736" t="s">
        <v>354</v>
      </c>
      <c r="C736" t="s">
        <v>1016</v>
      </c>
      <c r="D736" t="s">
        <v>1017</v>
      </c>
      <c r="E736" t="s">
        <v>1018</v>
      </c>
      <c r="F736">
        <v>10</v>
      </c>
      <c r="G736">
        <v>2</v>
      </c>
      <c r="H736">
        <v>6.9011159533845996</v>
      </c>
      <c r="I736" t="s">
        <v>957</v>
      </c>
      <c r="J736" t="s">
        <v>1019</v>
      </c>
      <c r="K736">
        <v>3.5714285714285698E-2</v>
      </c>
      <c r="L736" t="s">
        <v>959</v>
      </c>
      <c r="M736">
        <v>1.5267175572519101</v>
      </c>
      <c r="N736" t="s">
        <v>960</v>
      </c>
      <c r="O736">
        <v>0</v>
      </c>
      <c r="P736">
        <v>0</v>
      </c>
      <c r="Q736">
        <v>0</v>
      </c>
      <c r="R736">
        <v>0</v>
      </c>
    </row>
    <row r="737" spans="1:18" ht="16" x14ac:dyDescent="0.2">
      <c r="A737" s="127" t="s">
        <v>954</v>
      </c>
      <c r="B737" t="s">
        <v>354</v>
      </c>
      <c r="C737" t="s">
        <v>1115</v>
      </c>
      <c r="D737" t="s">
        <v>1116</v>
      </c>
      <c r="E737" t="s">
        <v>1102</v>
      </c>
      <c r="F737">
        <v>4</v>
      </c>
      <c r="G737">
        <v>2</v>
      </c>
      <c r="H737">
        <v>11.496926125918501</v>
      </c>
      <c r="I737" t="s">
        <v>957</v>
      </c>
      <c r="J737" t="s">
        <v>1117</v>
      </c>
      <c r="K737">
        <v>1.4285714285714299E-2</v>
      </c>
      <c r="L737" t="s">
        <v>959</v>
      </c>
      <c r="M737">
        <v>0.76335877862595403</v>
      </c>
      <c r="N737" t="s">
        <v>960</v>
      </c>
      <c r="O737">
        <v>0</v>
      </c>
      <c r="P737">
        <v>0</v>
      </c>
      <c r="Q737">
        <v>0</v>
      </c>
      <c r="R737">
        <v>0</v>
      </c>
    </row>
    <row r="738" spans="1:18" ht="16" x14ac:dyDescent="0.2">
      <c r="A738" s="127" t="s">
        <v>954</v>
      </c>
      <c r="B738" t="s">
        <v>354</v>
      </c>
      <c r="C738" t="s">
        <v>2111</v>
      </c>
      <c r="D738" t="s">
        <v>2112</v>
      </c>
      <c r="E738" t="s">
        <v>1022</v>
      </c>
      <c r="F738">
        <v>3</v>
      </c>
      <c r="G738">
        <v>2</v>
      </c>
      <c r="H738">
        <v>4.9806777390422496</v>
      </c>
      <c r="I738" t="s">
        <v>957</v>
      </c>
      <c r="J738" t="s">
        <v>3564</v>
      </c>
      <c r="K738">
        <v>0.17142857142857101</v>
      </c>
      <c r="L738" t="s">
        <v>959</v>
      </c>
      <c r="M738">
        <v>1.5267175572519101</v>
      </c>
      <c r="N738" t="s">
        <v>960</v>
      </c>
      <c r="O738">
        <v>0</v>
      </c>
      <c r="P738">
        <v>0</v>
      </c>
      <c r="Q738">
        <v>0</v>
      </c>
      <c r="R738">
        <v>0</v>
      </c>
    </row>
    <row r="739" spans="1:18" ht="16" x14ac:dyDescent="0.2">
      <c r="A739" s="127" t="s">
        <v>954</v>
      </c>
      <c r="B739" t="s">
        <v>354</v>
      </c>
      <c r="C739" t="s">
        <v>3729</v>
      </c>
      <c r="D739" t="s">
        <v>3730</v>
      </c>
      <c r="E739" t="s">
        <v>1052</v>
      </c>
      <c r="F739">
        <v>2</v>
      </c>
      <c r="G739">
        <v>2</v>
      </c>
      <c r="H739">
        <v>8.7200998104770004</v>
      </c>
      <c r="I739" t="s">
        <v>957</v>
      </c>
      <c r="J739" t="s">
        <v>3731</v>
      </c>
      <c r="K739">
        <v>4.2857142857142899E-2</v>
      </c>
      <c r="L739" t="s">
        <v>959</v>
      </c>
      <c r="M739">
        <v>0.76335877862595403</v>
      </c>
      <c r="N739" t="s">
        <v>960</v>
      </c>
      <c r="O739">
        <v>0</v>
      </c>
      <c r="P739">
        <v>0</v>
      </c>
      <c r="Q739">
        <v>0</v>
      </c>
      <c r="R739">
        <v>0</v>
      </c>
    </row>
    <row r="740" spans="1:18" ht="16" x14ac:dyDescent="0.2">
      <c r="A740" s="127" t="s">
        <v>954</v>
      </c>
      <c r="B740" t="s">
        <v>354</v>
      </c>
      <c r="C740" t="s">
        <v>2155</v>
      </c>
      <c r="D740" t="s">
        <v>2156</v>
      </c>
      <c r="E740" t="s">
        <v>1022</v>
      </c>
      <c r="F740">
        <v>3</v>
      </c>
      <c r="G740">
        <v>2</v>
      </c>
      <c r="H740">
        <v>10.156555224164901</v>
      </c>
      <c r="I740" t="s">
        <v>957</v>
      </c>
      <c r="J740" t="s">
        <v>2157</v>
      </c>
      <c r="K740">
        <v>2.8571428571428598E-2</v>
      </c>
      <c r="L740" t="s">
        <v>959</v>
      </c>
      <c r="M740">
        <v>0.76335877862595403</v>
      </c>
      <c r="N740" t="s">
        <v>960</v>
      </c>
      <c r="O740">
        <v>0</v>
      </c>
      <c r="P740">
        <v>0</v>
      </c>
      <c r="Q740">
        <v>0</v>
      </c>
      <c r="R740">
        <v>0</v>
      </c>
    </row>
    <row r="741" spans="1:18" ht="16" x14ac:dyDescent="0.2">
      <c r="A741" s="127" t="s">
        <v>954</v>
      </c>
      <c r="B741" t="s">
        <v>354</v>
      </c>
      <c r="C741" t="s">
        <v>1166</v>
      </c>
      <c r="D741" t="s">
        <v>1167</v>
      </c>
      <c r="E741" t="s">
        <v>1168</v>
      </c>
      <c r="F741">
        <v>11</v>
      </c>
      <c r="G741">
        <v>2</v>
      </c>
      <c r="H741">
        <v>7.60609652336049</v>
      </c>
      <c r="I741" t="s">
        <v>957</v>
      </c>
      <c r="J741" t="s">
        <v>1169</v>
      </c>
      <c r="K741">
        <v>0.114285714285714</v>
      </c>
      <c r="L741" t="s">
        <v>959</v>
      </c>
      <c r="M741">
        <v>1.5267175572519101</v>
      </c>
      <c r="N741" t="s">
        <v>960</v>
      </c>
      <c r="O741">
        <v>0</v>
      </c>
      <c r="P741" t="s">
        <v>5018</v>
      </c>
      <c r="Q741">
        <v>0</v>
      </c>
      <c r="R741">
        <v>0</v>
      </c>
    </row>
    <row r="742" spans="1:18" ht="16" x14ac:dyDescent="0.2">
      <c r="A742" s="127" t="s">
        <v>954</v>
      </c>
      <c r="B742" t="s">
        <v>354</v>
      </c>
      <c r="C742" t="s">
        <v>2529</v>
      </c>
      <c r="D742" t="s">
        <v>2530</v>
      </c>
      <c r="E742" t="s">
        <v>3573</v>
      </c>
      <c r="F742">
        <v>16</v>
      </c>
      <c r="G742">
        <v>2</v>
      </c>
      <c r="H742">
        <v>7.4513246657860801</v>
      </c>
      <c r="I742" t="s">
        <v>957</v>
      </c>
      <c r="J742" t="s">
        <v>3574</v>
      </c>
      <c r="K742">
        <v>6.4285714285714293E-2</v>
      </c>
      <c r="L742" t="s">
        <v>959</v>
      </c>
      <c r="M742">
        <v>2.2900763358778602</v>
      </c>
      <c r="N742" t="s">
        <v>960</v>
      </c>
      <c r="O742">
        <v>0</v>
      </c>
      <c r="P742">
        <v>0</v>
      </c>
      <c r="Q742">
        <v>0</v>
      </c>
      <c r="R742">
        <v>0</v>
      </c>
    </row>
    <row r="743" spans="1:18" ht="16" x14ac:dyDescent="0.2">
      <c r="A743" s="127" t="s">
        <v>954</v>
      </c>
      <c r="B743" t="s">
        <v>354</v>
      </c>
      <c r="C743" t="s">
        <v>2536</v>
      </c>
      <c r="D743" t="s">
        <v>2537</v>
      </c>
      <c r="E743">
        <v>4</v>
      </c>
      <c r="F743">
        <v>4</v>
      </c>
      <c r="G743">
        <v>1</v>
      </c>
      <c r="H743">
        <v>5.7359062946931099</v>
      </c>
      <c r="I743" t="s">
        <v>957</v>
      </c>
      <c r="J743" t="s">
        <v>2538</v>
      </c>
      <c r="K743">
        <v>0.1</v>
      </c>
      <c r="L743" t="s">
        <v>959</v>
      </c>
      <c r="M743">
        <v>1.5267175572519101</v>
      </c>
      <c r="N743" t="s">
        <v>960</v>
      </c>
      <c r="O743">
        <v>0</v>
      </c>
      <c r="P743">
        <v>0</v>
      </c>
      <c r="Q743">
        <v>0</v>
      </c>
      <c r="R743">
        <v>0</v>
      </c>
    </row>
    <row r="744" spans="1:18" ht="16" x14ac:dyDescent="0.2">
      <c r="A744" s="127" t="s">
        <v>954</v>
      </c>
      <c r="B744" t="s">
        <v>354</v>
      </c>
      <c r="C744" t="s">
        <v>3217</v>
      </c>
      <c r="D744" t="s">
        <v>3218</v>
      </c>
      <c r="E744" t="s">
        <v>2857</v>
      </c>
      <c r="F744">
        <v>6</v>
      </c>
      <c r="G744">
        <v>2</v>
      </c>
      <c r="H744">
        <v>6.5721747261608101</v>
      </c>
      <c r="I744" t="s">
        <v>957</v>
      </c>
      <c r="J744" t="s">
        <v>3219</v>
      </c>
      <c r="K744">
        <v>0.16428571428571401</v>
      </c>
      <c r="L744" t="s">
        <v>959</v>
      </c>
      <c r="M744">
        <v>0.76335877862595403</v>
      </c>
      <c r="N744" t="s">
        <v>960</v>
      </c>
      <c r="O744">
        <v>0</v>
      </c>
      <c r="P744">
        <v>0</v>
      </c>
      <c r="Q744">
        <v>0</v>
      </c>
      <c r="R744">
        <v>0</v>
      </c>
    </row>
    <row r="745" spans="1:18" ht="16" x14ac:dyDescent="0.2">
      <c r="A745" s="127" t="s">
        <v>954</v>
      </c>
      <c r="B745" t="s">
        <v>358</v>
      </c>
      <c r="C745" t="s">
        <v>1744</v>
      </c>
      <c r="D745" t="s">
        <v>1745</v>
      </c>
      <c r="E745" t="s">
        <v>1746</v>
      </c>
      <c r="F745">
        <v>16</v>
      </c>
      <c r="G745">
        <v>3</v>
      </c>
      <c r="H745">
        <v>10.464258352058</v>
      </c>
      <c r="I745" t="s">
        <v>957</v>
      </c>
      <c r="J745" t="s">
        <v>1747</v>
      </c>
      <c r="K745">
        <v>3.5714285714285698E-2</v>
      </c>
      <c r="L745" t="s">
        <v>959</v>
      </c>
      <c r="M745">
        <v>1.5267175572519101</v>
      </c>
      <c r="N745" t="s">
        <v>960</v>
      </c>
      <c r="O745">
        <v>0</v>
      </c>
      <c r="P745">
        <v>0</v>
      </c>
      <c r="Q745">
        <v>0</v>
      </c>
      <c r="R745">
        <v>0</v>
      </c>
    </row>
    <row r="746" spans="1:18" ht="16" x14ac:dyDescent="0.2">
      <c r="A746" s="127" t="s">
        <v>954</v>
      </c>
      <c r="B746" t="s">
        <v>358</v>
      </c>
      <c r="C746" t="s">
        <v>2455</v>
      </c>
      <c r="D746" t="s">
        <v>2456</v>
      </c>
      <c r="E746" t="s">
        <v>1052</v>
      </c>
      <c r="F746">
        <v>2</v>
      </c>
      <c r="G746">
        <v>2</v>
      </c>
      <c r="H746">
        <v>9.0141442535149796</v>
      </c>
      <c r="I746" t="s">
        <v>957</v>
      </c>
      <c r="J746" t="s">
        <v>2457</v>
      </c>
      <c r="K746">
        <v>2.8571428571428598E-2</v>
      </c>
      <c r="L746" t="s">
        <v>959</v>
      </c>
      <c r="M746">
        <v>0.76335877862595403</v>
      </c>
      <c r="N746" t="s">
        <v>960</v>
      </c>
      <c r="O746">
        <v>0</v>
      </c>
      <c r="P746">
        <v>0</v>
      </c>
      <c r="Q746">
        <v>0</v>
      </c>
      <c r="R746">
        <v>0</v>
      </c>
    </row>
    <row r="747" spans="1:18" ht="16" x14ac:dyDescent="0.2">
      <c r="A747" s="127" t="s">
        <v>954</v>
      </c>
      <c r="B747" t="s">
        <v>358</v>
      </c>
      <c r="C747" t="s">
        <v>1592</v>
      </c>
      <c r="D747" t="s">
        <v>1593</v>
      </c>
      <c r="E747">
        <v>4</v>
      </c>
      <c r="F747">
        <v>4</v>
      </c>
      <c r="G747">
        <v>1</v>
      </c>
      <c r="H747">
        <v>6.1849311486340204</v>
      </c>
      <c r="I747" t="s">
        <v>957</v>
      </c>
      <c r="J747" t="s">
        <v>2161</v>
      </c>
      <c r="K747">
        <v>5.7142857142857099E-2</v>
      </c>
      <c r="L747" t="s">
        <v>959</v>
      </c>
      <c r="M747">
        <v>2.2900763358778602</v>
      </c>
      <c r="N747" t="s">
        <v>960</v>
      </c>
      <c r="O747">
        <v>0</v>
      </c>
      <c r="P747">
        <v>0</v>
      </c>
      <c r="Q747">
        <v>0</v>
      </c>
      <c r="R747">
        <v>0</v>
      </c>
    </row>
    <row r="748" spans="1:18" ht="16" x14ac:dyDescent="0.2">
      <c r="A748" s="127" t="s">
        <v>954</v>
      </c>
      <c r="B748" t="s">
        <v>358</v>
      </c>
      <c r="C748" t="s">
        <v>2005</v>
      </c>
      <c r="D748" t="s">
        <v>2006</v>
      </c>
      <c r="E748">
        <v>4</v>
      </c>
      <c r="F748">
        <v>4</v>
      </c>
      <c r="G748">
        <v>1</v>
      </c>
      <c r="H748">
        <v>5.9140139323921597</v>
      </c>
      <c r="I748" t="s">
        <v>957</v>
      </c>
      <c r="J748" t="s">
        <v>3402</v>
      </c>
      <c r="K748">
        <v>8.5714285714285701E-2</v>
      </c>
      <c r="L748" t="s">
        <v>959</v>
      </c>
      <c r="M748">
        <v>1.5267175572519101</v>
      </c>
      <c r="N748" t="s">
        <v>960</v>
      </c>
      <c r="O748">
        <v>0</v>
      </c>
      <c r="P748">
        <v>0</v>
      </c>
      <c r="Q748">
        <v>0</v>
      </c>
      <c r="R748">
        <v>0</v>
      </c>
    </row>
    <row r="749" spans="1:18" ht="16" x14ac:dyDescent="0.2">
      <c r="A749" s="127" t="s">
        <v>954</v>
      </c>
      <c r="B749" t="s">
        <v>358</v>
      </c>
      <c r="C749" t="s">
        <v>2766</v>
      </c>
      <c r="D749" t="s">
        <v>2767</v>
      </c>
      <c r="E749" t="s">
        <v>1052</v>
      </c>
      <c r="F749">
        <v>2</v>
      </c>
      <c r="G749">
        <v>2</v>
      </c>
      <c r="H749">
        <v>5.6105639573607</v>
      </c>
      <c r="I749" t="s">
        <v>957</v>
      </c>
      <c r="J749" t="s">
        <v>2768</v>
      </c>
      <c r="K749">
        <v>9.2857142857142902E-2</v>
      </c>
      <c r="L749" t="s">
        <v>959</v>
      </c>
      <c r="M749">
        <v>1.5267175572519101</v>
      </c>
      <c r="N749" t="s">
        <v>960</v>
      </c>
      <c r="O749">
        <v>0</v>
      </c>
      <c r="P749">
        <v>0</v>
      </c>
      <c r="Q749">
        <v>0</v>
      </c>
      <c r="R749">
        <v>0</v>
      </c>
    </row>
    <row r="750" spans="1:18" ht="16" x14ac:dyDescent="0.2">
      <c r="A750" s="127" t="s">
        <v>954</v>
      </c>
      <c r="B750" t="s">
        <v>362</v>
      </c>
      <c r="C750" t="s">
        <v>1006</v>
      </c>
      <c r="D750" t="s">
        <v>1007</v>
      </c>
      <c r="E750" t="s">
        <v>1102</v>
      </c>
      <c r="F750">
        <v>4</v>
      </c>
      <c r="G750">
        <v>2</v>
      </c>
      <c r="H750">
        <v>11.8321595661992</v>
      </c>
      <c r="I750" t="s">
        <v>957</v>
      </c>
      <c r="J750" t="s">
        <v>3710</v>
      </c>
      <c r="K750">
        <v>7.14285714285714E-3</v>
      </c>
      <c r="L750" t="s">
        <v>959</v>
      </c>
      <c r="M750">
        <v>1.5267175572519101</v>
      </c>
      <c r="N750" t="s">
        <v>960</v>
      </c>
      <c r="O750">
        <v>0</v>
      </c>
      <c r="P750">
        <v>0</v>
      </c>
      <c r="Q750">
        <v>0</v>
      </c>
      <c r="R750">
        <v>0</v>
      </c>
    </row>
    <row r="751" spans="1:18" ht="16" x14ac:dyDescent="0.2">
      <c r="A751" s="127" t="s">
        <v>954</v>
      </c>
      <c r="B751" t="s">
        <v>362</v>
      </c>
      <c r="C751" t="s">
        <v>1592</v>
      </c>
      <c r="D751" t="s">
        <v>1593</v>
      </c>
      <c r="E751">
        <v>3</v>
      </c>
      <c r="F751">
        <v>3</v>
      </c>
      <c r="G751">
        <v>1</v>
      </c>
      <c r="H751">
        <v>4.5814304804696402</v>
      </c>
      <c r="I751" t="s">
        <v>957</v>
      </c>
      <c r="J751" t="s">
        <v>1594</v>
      </c>
      <c r="K751">
        <v>5.7142857142857099E-2</v>
      </c>
      <c r="L751" t="s">
        <v>959</v>
      </c>
      <c r="M751">
        <v>2.2900763358778602</v>
      </c>
      <c r="N751" t="s">
        <v>960</v>
      </c>
      <c r="O751">
        <v>0</v>
      </c>
      <c r="P751">
        <v>0</v>
      </c>
      <c r="Q751">
        <v>0</v>
      </c>
      <c r="R751">
        <v>0</v>
      </c>
    </row>
    <row r="752" spans="1:18" ht="16" x14ac:dyDescent="0.2">
      <c r="A752" s="127" t="s">
        <v>954</v>
      </c>
      <c r="B752" t="s">
        <v>362</v>
      </c>
      <c r="C752" t="s">
        <v>572</v>
      </c>
      <c r="D752" t="s">
        <v>3330</v>
      </c>
      <c r="E752">
        <v>3</v>
      </c>
      <c r="F752">
        <v>3</v>
      </c>
      <c r="G752">
        <v>1</v>
      </c>
      <c r="H752">
        <v>11.8321595661992</v>
      </c>
      <c r="I752" t="s">
        <v>957</v>
      </c>
      <c r="J752" t="s">
        <v>3331</v>
      </c>
      <c r="K752">
        <v>7.14285714285714E-3</v>
      </c>
      <c r="L752" t="s">
        <v>959</v>
      </c>
      <c r="M752">
        <v>0.76335877862595403</v>
      </c>
      <c r="N752" t="s">
        <v>960</v>
      </c>
      <c r="O752">
        <v>0</v>
      </c>
      <c r="P752" t="s">
        <v>5017</v>
      </c>
      <c r="Q752">
        <v>0</v>
      </c>
      <c r="R752">
        <v>0</v>
      </c>
    </row>
    <row r="753" spans="1:18" ht="16" x14ac:dyDescent="0.2">
      <c r="A753" s="127" t="s">
        <v>954</v>
      </c>
      <c r="B753" t="s">
        <v>366</v>
      </c>
      <c r="C753" t="s">
        <v>1235</v>
      </c>
      <c r="D753" t="s">
        <v>1236</v>
      </c>
      <c r="E753" t="s">
        <v>1085</v>
      </c>
      <c r="F753">
        <v>5</v>
      </c>
      <c r="G753">
        <v>2</v>
      </c>
      <c r="H753">
        <v>4.9464255613715604</v>
      </c>
      <c r="I753" t="s">
        <v>957</v>
      </c>
      <c r="J753" t="s">
        <v>1237</v>
      </c>
      <c r="K753">
        <v>0.13571428571428601</v>
      </c>
      <c r="L753" t="s">
        <v>959</v>
      </c>
      <c r="M753">
        <v>1.5267175572519101</v>
      </c>
      <c r="N753" t="s">
        <v>960</v>
      </c>
      <c r="O753">
        <v>0</v>
      </c>
      <c r="P753">
        <v>0</v>
      </c>
      <c r="Q753">
        <v>0</v>
      </c>
      <c r="R753">
        <v>0</v>
      </c>
    </row>
    <row r="754" spans="1:18" ht="16" x14ac:dyDescent="0.2">
      <c r="A754" s="127" t="s">
        <v>954</v>
      </c>
      <c r="B754" t="s">
        <v>366</v>
      </c>
      <c r="C754" t="s">
        <v>3657</v>
      </c>
      <c r="D754" t="s">
        <v>3658</v>
      </c>
      <c r="E754">
        <v>3</v>
      </c>
      <c r="F754">
        <v>3</v>
      </c>
      <c r="G754">
        <v>1</v>
      </c>
      <c r="H754">
        <v>6.2479546939108497</v>
      </c>
      <c r="I754" t="s">
        <v>957</v>
      </c>
      <c r="J754" t="s">
        <v>3659</v>
      </c>
      <c r="K754">
        <v>8.5714285714285701E-2</v>
      </c>
      <c r="L754" t="s">
        <v>959</v>
      </c>
      <c r="M754">
        <v>0.76335877862595403</v>
      </c>
      <c r="N754" t="s">
        <v>960</v>
      </c>
      <c r="O754">
        <v>0</v>
      </c>
      <c r="P754">
        <v>0</v>
      </c>
      <c r="Q754">
        <v>0</v>
      </c>
      <c r="R754">
        <v>0</v>
      </c>
    </row>
    <row r="755" spans="1:18" ht="16" x14ac:dyDescent="0.2">
      <c r="A755" s="127" t="s">
        <v>954</v>
      </c>
      <c r="B755" t="s">
        <v>366</v>
      </c>
      <c r="C755" t="s">
        <v>1254</v>
      </c>
      <c r="D755" t="s">
        <v>1255</v>
      </c>
      <c r="E755" t="s">
        <v>1059</v>
      </c>
      <c r="F755">
        <v>4</v>
      </c>
      <c r="G755">
        <v>2</v>
      </c>
      <c r="H755">
        <v>5.9042096168923104</v>
      </c>
      <c r="I755" t="s">
        <v>957</v>
      </c>
      <c r="J755" t="s">
        <v>1256</v>
      </c>
      <c r="K755">
        <v>6.4285714285714293E-2</v>
      </c>
      <c r="L755" t="s">
        <v>959</v>
      </c>
      <c r="M755">
        <v>1.5267175572519101</v>
      </c>
      <c r="N755" t="s">
        <v>960</v>
      </c>
      <c r="O755">
        <v>0</v>
      </c>
      <c r="P755">
        <v>0</v>
      </c>
      <c r="Q755">
        <v>0</v>
      </c>
      <c r="R755">
        <v>0</v>
      </c>
    </row>
    <row r="756" spans="1:18" ht="16" x14ac:dyDescent="0.2">
      <c r="A756" s="127" t="s">
        <v>954</v>
      </c>
      <c r="B756" t="s">
        <v>366</v>
      </c>
      <c r="C756" t="s">
        <v>1409</v>
      </c>
      <c r="D756" t="s">
        <v>1410</v>
      </c>
      <c r="E756" t="s">
        <v>1039</v>
      </c>
      <c r="F756">
        <v>3</v>
      </c>
      <c r="G756">
        <v>2</v>
      </c>
      <c r="H756">
        <v>5.2349810569889499</v>
      </c>
      <c r="I756" t="s">
        <v>957</v>
      </c>
      <c r="J756" t="s">
        <v>1411</v>
      </c>
      <c r="K756">
        <v>0.121428571428571</v>
      </c>
      <c r="L756" t="s">
        <v>959</v>
      </c>
      <c r="M756">
        <v>1.5267175572519101</v>
      </c>
      <c r="N756" t="s">
        <v>960</v>
      </c>
      <c r="O756">
        <v>0</v>
      </c>
      <c r="P756">
        <v>0</v>
      </c>
      <c r="Q756">
        <v>0</v>
      </c>
      <c r="R756">
        <v>0</v>
      </c>
    </row>
    <row r="757" spans="1:18" ht="16" x14ac:dyDescent="0.2">
      <c r="A757" s="127" t="s">
        <v>954</v>
      </c>
      <c r="B757" t="s">
        <v>366</v>
      </c>
      <c r="C757" t="s">
        <v>1057</v>
      </c>
      <c r="D757" t="s">
        <v>1058</v>
      </c>
      <c r="E757" t="s">
        <v>1059</v>
      </c>
      <c r="F757">
        <v>4</v>
      </c>
      <c r="G757">
        <v>2</v>
      </c>
      <c r="H757">
        <v>4.5405902171579902</v>
      </c>
      <c r="I757" t="s">
        <v>957</v>
      </c>
      <c r="J757" t="s">
        <v>1060</v>
      </c>
      <c r="K757">
        <v>0.1</v>
      </c>
      <c r="L757" t="s">
        <v>959</v>
      </c>
      <c r="M757">
        <v>2.2900763358778602</v>
      </c>
      <c r="N757" t="s">
        <v>987</v>
      </c>
      <c r="O757">
        <v>0</v>
      </c>
      <c r="P757">
        <v>0</v>
      </c>
      <c r="Q757">
        <v>0</v>
      </c>
      <c r="R757">
        <v>0</v>
      </c>
    </row>
    <row r="758" spans="1:18" ht="16" x14ac:dyDescent="0.2">
      <c r="A758" s="127" t="s">
        <v>954</v>
      </c>
      <c r="B758" t="s">
        <v>366</v>
      </c>
      <c r="C758" t="s">
        <v>3600</v>
      </c>
      <c r="D758" t="s">
        <v>3601</v>
      </c>
      <c r="E758">
        <v>4</v>
      </c>
      <c r="F758">
        <v>4</v>
      </c>
      <c r="G758">
        <v>1</v>
      </c>
      <c r="H758">
        <v>4.9767914973652898</v>
      </c>
      <c r="I758" t="s">
        <v>957</v>
      </c>
      <c r="J758" t="s">
        <v>3602</v>
      </c>
      <c r="K758">
        <v>0.114285714285714</v>
      </c>
      <c r="L758" t="s">
        <v>959</v>
      </c>
      <c r="M758">
        <v>1.5267175572519101</v>
      </c>
      <c r="N758" t="s">
        <v>960</v>
      </c>
      <c r="O758">
        <v>0</v>
      </c>
      <c r="P758">
        <v>0</v>
      </c>
      <c r="Q758">
        <v>0</v>
      </c>
      <c r="R758">
        <v>0</v>
      </c>
    </row>
    <row r="759" spans="1:18" ht="16" x14ac:dyDescent="0.2">
      <c r="A759" s="127" t="s">
        <v>954</v>
      </c>
      <c r="B759" t="s">
        <v>366</v>
      </c>
      <c r="C759" t="s">
        <v>2295</v>
      </c>
      <c r="D759" t="s">
        <v>2296</v>
      </c>
      <c r="E759" t="s">
        <v>2297</v>
      </c>
      <c r="F759">
        <v>28</v>
      </c>
      <c r="G759">
        <v>4</v>
      </c>
      <c r="H759">
        <v>5.3851648071345197</v>
      </c>
      <c r="I759" t="s">
        <v>957</v>
      </c>
      <c r="J759" t="s">
        <v>2298</v>
      </c>
      <c r="K759" t="s">
        <v>2299</v>
      </c>
      <c r="L759" t="s">
        <v>2024</v>
      </c>
      <c r="M759">
        <v>0.76335877862595403</v>
      </c>
      <c r="N759" t="s">
        <v>987</v>
      </c>
      <c r="O759">
        <v>0</v>
      </c>
      <c r="P759">
        <v>0</v>
      </c>
      <c r="Q759">
        <v>0</v>
      </c>
      <c r="R759">
        <v>0</v>
      </c>
    </row>
    <row r="760" spans="1:18" ht="16" x14ac:dyDescent="0.2">
      <c r="A760" s="127" t="s">
        <v>954</v>
      </c>
      <c r="B760" t="s">
        <v>370</v>
      </c>
      <c r="C760" t="s">
        <v>983</v>
      </c>
      <c r="D760" t="s">
        <v>984</v>
      </c>
      <c r="E760" t="s">
        <v>985</v>
      </c>
      <c r="F760">
        <v>7</v>
      </c>
      <c r="G760">
        <v>2</v>
      </c>
      <c r="H760">
        <v>4.8929431124588803</v>
      </c>
      <c r="I760" t="s">
        <v>957</v>
      </c>
      <c r="J760" t="s">
        <v>986</v>
      </c>
      <c r="K760">
        <v>0.128571428571429</v>
      </c>
      <c r="L760" t="s">
        <v>959</v>
      </c>
      <c r="M760">
        <v>2.2900763358778602</v>
      </c>
      <c r="N760" t="s">
        <v>987</v>
      </c>
      <c r="O760">
        <v>0</v>
      </c>
      <c r="P760">
        <v>0</v>
      </c>
      <c r="Q760">
        <v>0</v>
      </c>
      <c r="R760">
        <v>0</v>
      </c>
    </row>
    <row r="761" spans="1:18" ht="16" x14ac:dyDescent="0.2">
      <c r="A761" s="127" t="s">
        <v>954</v>
      </c>
      <c r="B761" t="s">
        <v>370</v>
      </c>
      <c r="C761" t="s">
        <v>2278</v>
      </c>
      <c r="D761" t="s">
        <v>2279</v>
      </c>
      <c r="E761" t="s">
        <v>1102</v>
      </c>
      <c r="F761">
        <v>4</v>
      </c>
      <c r="G761">
        <v>2</v>
      </c>
      <c r="H761">
        <v>5.3301363637521799</v>
      </c>
      <c r="I761" t="s">
        <v>957</v>
      </c>
      <c r="J761" t="s">
        <v>2280</v>
      </c>
      <c r="K761">
        <v>0.13571428571428601</v>
      </c>
      <c r="L761" t="s">
        <v>959</v>
      </c>
      <c r="M761">
        <v>0.76335877862595403</v>
      </c>
      <c r="N761" t="s">
        <v>960</v>
      </c>
      <c r="O761">
        <v>0</v>
      </c>
      <c r="P761">
        <v>0</v>
      </c>
      <c r="Q761">
        <v>0</v>
      </c>
      <c r="R761">
        <v>0</v>
      </c>
    </row>
    <row r="762" spans="1:18" ht="16" x14ac:dyDescent="0.2">
      <c r="A762" s="127" t="s">
        <v>954</v>
      </c>
      <c r="B762" t="s">
        <v>370</v>
      </c>
      <c r="C762" t="s">
        <v>1664</v>
      </c>
      <c r="D762" t="s">
        <v>1665</v>
      </c>
      <c r="E762" t="s">
        <v>966</v>
      </c>
      <c r="F762">
        <v>3</v>
      </c>
      <c r="G762">
        <v>3</v>
      </c>
      <c r="H762">
        <v>5.8154222231085999</v>
      </c>
      <c r="I762" t="s">
        <v>957</v>
      </c>
      <c r="J762" t="s">
        <v>2040</v>
      </c>
      <c r="K762">
        <v>0.107142857142857</v>
      </c>
      <c r="L762" t="s">
        <v>959</v>
      </c>
      <c r="M762">
        <v>2.2900763358778602</v>
      </c>
      <c r="N762" t="s">
        <v>960</v>
      </c>
      <c r="O762">
        <v>0</v>
      </c>
      <c r="P762">
        <v>0</v>
      </c>
      <c r="Q762">
        <v>0</v>
      </c>
      <c r="R762">
        <v>0</v>
      </c>
    </row>
    <row r="763" spans="1:18" ht="16" x14ac:dyDescent="0.2">
      <c r="A763" s="127" t="s">
        <v>954</v>
      </c>
      <c r="B763" t="s">
        <v>370</v>
      </c>
      <c r="C763" t="s">
        <v>1200</v>
      </c>
      <c r="D763" t="s">
        <v>1201</v>
      </c>
      <c r="E763">
        <v>7</v>
      </c>
      <c r="F763">
        <v>7</v>
      </c>
      <c r="G763">
        <v>1</v>
      </c>
      <c r="H763">
        <v>11.8321595661992</v>
      </c>
      <c r="I763" t="s">
        <v>957</v>
      </c>
      <c r="J763" t="s">
        <v>1202</v>
      </c>
      <c r="K763">
        <v>7.14285714285714E-3</v>
      </c>
      <c r="L763" t="s">
        <v>959</v>
      </c>
      <c r="M763">
        <v>0.76335877862595403</v>
      </c>
      <c r="N763" t="s">
        <v>960</v>
      </c>
      <c r="O763">
        <v>0</v>
      </c>
      <c r="P763">
        <v>0</v>
      </c>
      <c r="Q763">
        <v>0</v>
      </c>
      <c r="R763">
        <v>0</v>
      </c>
    </row>
    <row r="764" spans="1:18" ht="16" x14ac:dyDescent="0.2">
      <c r="A764" s="127" t="s">
        <v>954</v>
      </c>
      <c r="B764" t="s">
        <v>374</v>
      </c>
      <c r="C764" t="s">
        <v>106</v>
      </c>
      <c r="D764" t="s">
        <v>2276</v>
      </c>
      <c r="E764">
        <v>8</v>
      </c>
      <c r="F764">
        <v>8</v>
      </c>
      <c r="G764">
        <v>1</v>
      </c>
      <c r="H764">
        <v>11.8321595661992</v>
      </c>
      <c r="I764" t="s">
        <v>957</v>
      </c>
      <c r="J764" t="s">
        <v>2277</v>
      </c>
      <c r="K764">
        <v>7.14285714285714E-3</v>
      </c>
      <c r="L764" t="s">
        <v>959</v>
      </c>
      <c r="M764">
        <v>0.76335877862595403</v>
      </c>
      <c r="N764" t="s">
        <v>960</v>
      </c>
      <c r="O764">
        <v>0</v>
      </c>
      <c r="P764">
        <v>0</v>
      </c>
      <c r="Q764">
        <v>0</v>
      </c>
      <c r="R764">
        <v>0</v>
      </c>
    </row>
    <row r="765" spans="1:18" ht="16" x14ac:dyDescent="0.2">
      <c r="A765" s="127" t="s">
        <v>954</v>
      </c>
      <c r="B765" t="s">
        <v>374</v>
      </c>
      <c r="C765" t="s">
        <v>1465</v>
      </c>
      <c r="D765" t="s">
        <v>1466</v>
      </c>
      <c r="E765" t="s">
        <v>1085</v>
      </c>
      <c r="F765">
        <v>5</v>
      </c>
      <c r="G765">
        <v>2</v>
      </c>
      <c r="H765">
        <v>5.2900801879078703</v>
      </c>
      <c r="I765" t="s">
        <v>957</v>
      </c>
      <c r="J765" t="s">
        <v>2951</v>
      </c>
      <c r="K765">
        <v>7.1428571428571397E-2</v>
      </c>
      <c r="L765" t="s">
        <v>959</v>
      </c>
      <c r="M765">
        <v>1.5267175572519101</v>
      </c>
      <c r="N765" t="s">
        <v>960</v>
      </c>
      <c r="O765">
        <v>0</v>
      </c>
      <c r="P765">
        <v>0</v>
      </c>
      <c r="Q765">
        <v>0</v>
      </c>
      <c r="R765">
        <v>0</v>
      </c>
    </row>
    <row r="766" spans="1:18" ht="16" x14ac:dyDescent="0.2">
      <c r="A766" s="127" t="s">
        <v>954</v>
      </c>
      <c r="B766" t="s">
        <v>374</v>
      </c>
      <c r="C766" t="s">
        <v>1619</v>
      </c>
      <c r="D766" t="s">
        <v>1620</v>
      </c>
      <c r="E766" t="s">
        <v>1039</v>
      </c>
      <c r="F766">
        <v>3</v>
      </c>
      <c r="G766">
        <v>2</v>
      </c>
      <c r="H766">
        <v>6.9000735359830498</v>
      </c>
      <c r="I766" t="s">
        <v>957</v>
      </c>
      <c r="J766" t="s">
        <v>1621</v>
      </c>
      <c r="K766">
        <v>7.8571428571428598E-2</v>
      </c>
      <c r="L766" t="s">
        <v>959</v>
      </c>
      <c r="M766">
        <v>0.76335877862595403</v>
      </c>
      <c r="N766" t="s">
        <v>960</v>
      </c>
      <c r="O766">
        <v>0</v>
      </c>
      <c r="P766">
        <v>0</v>
      </c>
      <c r="Q766">
        <v>0</v>
      </c>
      <c r="R766">
        <v>0</v>
      </c>
    </row>
    <row r="767" spans="1:18" ht="16" x14ac:dyDescent="0.2">
      <c r="A767" s="127" t="s">
        <v>954</v>
      </c>
      <c r="B767" t="s">
        <v>378</v>
      </c>
      <c r="C767" t="s">
        <v>3251</v>
      </c>
      <c r="D767" t="s">
        <v>3252</v>
      </c>
      <c r="E767">
        <v>3</v>
      </c>
      <c r="F767">
        <v>3</v>
      </c>
      <c r="G767">
        <v>1</v>
      </c>
      <c r="H767">
        <v>4.1231056256176597</v>
      </c>
      <c r="I767" t="s">
        <v>957</v>
      </c>
      <c r="J767" t="s">
        <v>3253</v>
      </c>
      <c r="K767">
        <v>5.8823529411764698E-2</v>
      </c>
      <c r="L767" t="s">
        <v>1099</v>
      </c>
      <c r="M767">
        <v>0.76335877862595403</v>
      </c>
      <c r="N767" t="s">
        <v>973</v>
      </c>
      <c r="O767">
        <v>0</v>
      </c>
      <c r="P767">
        <v>0</v>
      </c>
      <c r="Q767" t="s">
        <v>5019</v>
      </c>
      <c r="R767">
        <v>0</v>
      </c>
    </row>
    <row r="768" spans="1:18" ht="16" x14ac:dyDescent="0.2">
      <c r="A768" s="127" t="s">
        <v>954</v>
      </c>
      <c r="B768" t="s">
        <v>378</v>
      </c>
      <c r="C768" t="s">
        <v>1540</v>
      </c>
      <c r="D768" t="s">
        <v>1541</v>
      </c>
      <c r="E768" t="s">
        <v>1432</v>
      </c>
      <c r="F768">
        <v>6</v>
      </c>
      <c r="G768">
        <v>2</v>
      </c>
      <c r="H768">
        <v>5.2412723571692101</v>
      </c>
      <c r="I768" t="s">
        <v>957</v>
      </c>
      <c r="J768" t="s">
        <v>1542</v>
      </c>
      <c r="K768">
        <v>0.13793103448275901</v>
      </c>
      <c r="L768" t="s">
        <v>972</v>
      </c>
      <c r="M768">
        <v>0.76335877862595403</v>
      </c>
      <c r="N768" t="s">
        <v>973</v>
      </c>
      <c r="O768">
        <v>0</v>
      </c>
      <c r="P768">
        <v>0</v>
      </c>
      <c r="Q768" t="s">
        <v>5019</v>
      </c>
      <c r="R768">
        <v>0</v>
      </c>
    </row>
    <row r="769" spans="1:18" ht="16" x14ac:dyDescent="0.2">
      <c r="A769" s="127" t="s">
        <v>954</v>
      </c>
      <c r="B769" t="s">
        <v>382</v>
      </c>
      <c r="C769" t="s">
        <v>2267</v>
      </c>
      <c r="D769" t="s">
        <v>2268</v>
      </c>
      <c r="E769">
        <v>5</v>
      </c>
      <c r="F769">
        <v>5</v>
      </c>
      <c r="G769">
        <v>1</v>
      </c>
      <c r="H769">
        <v>5.4281466575075497</v>
      </c>
      <c r="I769" t="s">
        <v>957</v>
      </c>
      <c r="J769" t="s">
        <v>2269</v>
      </c>
      <c r="K769">
        <v>0.114285714285714</v>
      </c>
      <c r="L769" t="s">
        <v>959</v>
      </c>
      <c r="M769">
        <v>2.2900763358778602</v>
      </c>
      <c r="N769" t="s">
        <v>960</v>
      </c>
      <c r="O769">
        <v>0</v>
      </c>
      <c r="P769" t="s">
        <v>5017</v>
      </c>
      <c r="Q769">
        <v>0</v>
      </c>
      <c r="R769">
        <v>0</v>
      </c>
    </row>
    <row r="770" spans="1:18" ht="16" x14ac:dyDescent="0.2">
      <c r="A770" s="127" t="s">
        <v>954</v>
      </c>
      <c r="B770" t="s">
        <v>382</v>
      </c>
      <c r="C770" t="s">
        <v>1634</v>
      </c>
      <c r="D770" t="s">
        <v>1635</v>
      </c>
      <c r="E770" t="s">
        <v>1636</v>
      </c>
      <c r="F770">
        <v>21</v>
      </c>
      <c r="G770">
        <v>4</v>
      </c>
      <c r="H770">
        <v>11.6444350501696</v>
      </c>
      <c r="I770" t="s">
        <v>957</v>
      </c>
      <c r="J770" t="s">
        <v>1637</v>
      </c>
      <c r="K770">
        <v>2.1428571428571401E-2</v>
      </c>
      <c r="L770" t="s">
        <v>959</v>
      </c>
      <c r="M770">
        <v>0.76335877862595403</v>
      </c>
      <c r="N770" t="s">
        <v>960</v>
      </c>
      <c r="O770">
        <v>0</v>
      </c>
      <c r="P770">
        <v>0</v>
      </c>
      <c r="Q770">
        <v>0</v>
      </c>
      <c r="R770" t="s">
        <v>5019</v>
      </c>
    </row>
    <row r="771" spans="1:18" ht="16" x14ac:dyDescent="0.2">
      <c r="A771" s="127" t="s">
        <v>954</v>
      </c>
      <c r="B771" t="s">
        <v>382</v>
      </c>
      <c r="C771" t="s">
        <v>1218</v>
      </c>
      <c r="D771" t="s">
        <v>1219</v>
      </c>
      <c r="E771" t="s">
        <v>1220</v>
      </c>
      <c r="F771">
        <v>7</v>
      </c>
      <c r="G771">
        <v>2</v>
      </c>
      <c r="H771">
        <v>10.313495957083299</v>
      </c>
      <c r="I771" t="s">
        <v>957</v>
      </c>
      <c r="J771" t="s">
        <v>1221</v>
      </c>
      <c r="K771">
        <v>7.8571428571428598E-2</v>
      </c>
      <c r="L771" t="s">
        <v>959</v>
      </c>
      <c r="M771">
        <v>0.76335877862595403</v>
      </c>
      <c r="N771" t="s">
        <v>960</v>
      </c>
      <c r="O771">
        <v>0</v>
      </c>
      <c r="P771">
        <v>0</v>
      </c>
      <c r="Q771">
        <v>0</v>
      </c>
      <c r="R771">
        <v>0</v>
      </c>
    </row>
    <row r="772" spans="1:18" ht="16" x14ac:dyDescent="0.2">
      <c r="A772" s="127" t="s">
        <v>954</v>
      </c>
      <c r="B772" t="s">
        <v>382</v>
      </c>
      <c r="C772" t="s">
        <v>991</v>
      </c>
      <c r="D772" t="s">
        <v>992</v>
      </c>
      <c r="E772" t="s">
        <v>1022</v>
      </c>
      <c r="F772">
        <v>3</v>
      </c>
      <c r="G772">
        <v>2</v>
      </c>
      <c r="H772">
        <v>4.7379988353274998</v>
      </c>
      <c r="I772" t="s">
        <v>957</v>
      </c>
      <c r="J772" t="s">
        <v>1909</v>
      </c>
      <c r="K772">
        <v>0.107142857142857</v>
      </c>
      <c r="L772" t="s">
        <v>959</v>
      </c>
      <c r="M772">
        <v>3.0534351145038201</v>
      </c>
      <c r="N772" t="s">
        <v>960</v>
      </c>
      <c r="O772">
        <v>0</v>
      </c>
      <c r="P772">
        <v>0</v>
      </c>
      <c r="Q772">
        <v>0</v>
      </c>
      <c r="R772">
        <v>0</v>
      </c>
    </row>
    <row r="773" spans="1:18" ht="16" x14ac:dyDescent="0.2">
      <c r="A773" s="127" t="s">
        <v>954</v>
      </c>
      <c r="B773" t="s">
        <v>386</v>
      </c>
      <c r="C773" t="s">
        <v>231</v>
      </c>
      <c r="D773" t="s">
        <v>2222</v>
      </c>
      <c r="E773">
        <v>7</v>
      </c>
      <c r="F773">
        <v>7</v>
      </c>
      <c r="G773">
        <v>1</v>
      </c>
      <c r="H773">
        <v>11.8321595661992</v>
      </c>
      <c r="I773" t="s">
        <v>957</v>
      </c>
      <c r="J773" t="s">
        <v>2223</v>
      </c>
      <c r="K773">
        <v>7.14285714285714E-3</v>
      </c>
      <c r="L773" t="s">
        <v>959</v>
      </c>
      <c r="M773">
        <v>0.76335877862595403</v>
      </c>
      <c r="N773" t="s">
        <v>960</v>
      </c>
      <c r="O773">
        <v>0</v>
      </c>
      <c r="P773">
        <v>0</v>
      </c>
      <c r="Q773">
        <v>0</v>
      </c>
      <c r="R773">
        <v>0</v>
      </c>
    </row>
    <row r="774" spans="1:18" ht="16" x14ac:dyDescent="0.2">
      <c r="A774" s="127" t="s">
        <v>954</v>
      </c>
      <c r="B774" t="s">
        <v>386</v>
      </c>
      <c r="C774" t="s">
        <v>3444</v>
      </c>
      <c r="D774" t="s">
        <v>3445</v>
      </c>
      <c r="E774" t="s">
        <v>1074</v>
      </c>
      <c r="F774">
        <v>6</v>
      </c>
      <c r="G774">
        <v>2</v>
      </c>
      <c r="H774">
        <v>5.38516480713451</v>
      </c>
      <c r="I774" t="s">
        <v>957</v>
      </c>
      <c r="J774" t="s">
        <v>3446</v>
      </c>
      <c r="K774">
        <v>3.4482758620689703E-2</v>
      </c>
      <c r="L774" t="s">
        <v>972</v>
      </c>
      <c r="M774">
        <v>0.76335877862595403</v>
      </c>
      <c r="N774" t="s">
        <v>973</v>
      </c>
      <c r="O774">
        <v>0</v>
      </c>
      <c r="P774">
        <v>0</v>
      </c>
      <c r="Q774">
        <v>0</v>
      </c>
      <c r="R774">
        <v>0</v>
      </c>
    </row>
    <row r="775" spans="1:18" ht="16" x14ac:dyDescent="0.2">
      <c r="A775" s="127" t="s">
        <v>954</v>
      </c>
      <c r="B775" t="s">
        <v>390</v>
      </c>
      <c r="C775" t="s">
        <v>2971</v>
      </c>
      <c r="D775" t="s">
        <v>3323</v>
      </c>
      <c r="E775">
        <v>3</v>
      </c>
      <c r="F775">
        <v>3</v>
      </c>
      <c r="G775">
        <v>1</v>
      </c>
      <c r="H775">
        <v>5.1900429421669303</v>
      </c>
      <c r="I775" t="s">
        <v>957</v>
      </c>
      <c r="J775" t="s">
        <v>3489</v>
      </c>
      <c r="K775">
        <v>9.2857142857142902E-2</v>
      </c>
      <c r="L775" t="s">
        <v>959</v>
      </c>
      <c r="M775">
        <v>2.2900763358778602</v>
      </c>
      <c r="N775" t="s">
        <v>960</v>
      </c>
      <c r="O775">
        <v>0</v>
      </c>
      <c r="P775">
        <v>0</v>
      </c>
      <c r="Q775">
        <v>0</v>
      </c>
      <c r="R775">
        <v>0</v>
      </c>
    </row>
    <row r="776" spans="1:18" ht="16" x14ac:dyDescent="0.2">
      <c r="A776" s="127" t="s">
        <v>954</v>
      </c>
      <c r="B776" t="s">
        <v>390</v>
      </c>
      <c r="C776" t="s">
        <v>1304</v>
      </c>
      <c r="D776" t="s">
        <v>1305</v>
      </c>
      <c r="E776">
        <v>3</v>
      </c>
      <c r="F776">
        <v>3</v>
      </c>
      <c r="G776">
        <v>1</v>
      </c>
      <c r="H776">
        <v>5.2723053322660798</v>
      </c>
      <c r="I776" t="s">
        <v>957</v>
      </c>
      <c r="J776" t="s">
        <v>1306</v>
      </c>
      <c r="K776">
        <v>9.2857142857142902E-2</v>
      </c>
      <c r="L776" t="s">
        <v>959</v>
      </c>
      <c r="M776">
        <v>1.5267175572519101</v>
      </c>
      <c r="N776" t="s">
        <v>960</v>
      </c>
      <c r="O776">
        <v>0</v>
      </c>
      <c r="P776">
        <v>0</v>
      </c>
      <c r="Q776">
        <v>0</v>
      </c>
      <c r="R776">
        <v>0</v>
      </c>
    </row>
    <row r="777" spans="1:18" ht="16" x14ac:dyDescent="0.2">
      <c r="A777" s="127" t="s">
        <v>954</v>
      </c>
      <c r="B777" t="s">
        <v>390</v>
      </c>
      <c r="C777" t="s">
        <v>2513</v>
      </c>
      <c r="D777" t="s">
        <v>2514</v>
      </c>
      <c r="E777">
        <v>9</v>
      </c>
      <c r="F777">
        <v>9</v>
      </c>
      <c r="G777">
        <v>1</v>
      </c>
      <c r="H777">
        <v>6.79900103650085</v>
      </c>
      <c r="I777" t="s">
        <v>957</v>
      </c>
      <c r="J777" t="s">
        <v>2515</v>
      </c>
      <c r="K777">
        <v>4.2857142857142899E-2</v>
      </c>
      <c r="L777" t="s">
        <v>959</v>
      </c>
      <c r="M777">
        <v>1.5267175572519101</v>
      </c>
      <c r="N777" t="s">
        <v>960</v>
      </c>
      <c r="O777">
        <v>0</v>
      </c>
      <c r="P777">
        <v>0</v>
      </c>
      <c r="Q777">
        <v>0</v>
      </c>
      <c r="R777">
        <v>0</v>
      </c>
    </row>
    <row r="778" spans="1:18" ht="16" x14ac:dyDescent="0.2">
      <c r="A778" s="127" t="s">
        <v>954</v>
      </c>
      <c r="B778" t="s">
        <v>390</v>
      </c>
      <c r="C778" t="s">
        <v>1241</v>
      </c>
      <c r="D778" t="s">
        <v>1242</v>
      </c>
      <c r="E778">
        <v>3</v>
      </c>
      <c r="F778">
        <v>3</v>
      </c>
      <c r="G778">
        <v>1</v>
      </c>
      <c r="H778">
        <v>4.6079893469678996</v>
      </c>
      <c r="I778" t="s">
        <v>957</v>
      </c>
      <c r="J778" t="s">
        <v>1243</v>
      </c>
      <c r="K778">
        <v>9.2857142857142902E-2</v>
      </c>
      <c r="L778" t="s">
        <v>959</v>
      </c>
      <c r="M778">
        <v>3.0534351145038201</v>
      </c>
      <c r="N778" t="s">
        <v>960</v>
      </c>
      <c r="O778">
        <v>0</v>
      </c>
      <c r="P778">
        <v>0</v>
      </c>
      <c r="Q778">
        <v>0</v>
      </c>
      <c r="R778">
        <v>0</v>
      </c>
    </row>
    <row r="779" spans="1:18" ht="16" x14ac:dyDescent="0.2">
      <c r="A779" s="127" t="s">
        <v>954</v>
      </c>
      <c r="B779" t="s">
        <v>390</v>
      </c>
      <c r="C779" t="s">
        <v>1124</v>
      </c>
      <c r="D779" t="s">
        <v>1125</v>
      </c>
      <c r="E779">
        <v>21</v>
      </c>
      <c r="F779">
        <v>21</v>
      </c>
      <c r="G779">
        <v>1</v>
      </c>
      <c r="H779">
        <v>7.2611315035519599</v>
      </c>
      <c r="I779" t="s">
        <v>957</v>
      </c>
      <c r="J779" t="s">
        <v>1126</v>
      </c>
      <c r="K779">
        <v>5.7142857142857099E-2</v>
      </c>
      <c r="L779" t="s">
        <v>959</v>
      </c>
      <c r="M779">
        <v>2.2900763358778602</v>
      </c>
      <c r="N779" t="s">
        <v>960</v>
      </c>
      <c r="O779">
        <v>0</v>
      </c>
      <c r="P779">
        <v>0</v>
      </c>
      <c r="Q779">
        <v>0</v>
      </c>
      <c r="R779">
        <v>0</v>
      </c>
    </row>
    <row r="780" spans="1:18" ht="16" x14ac:dyDescent="0.2">
      <c r="A780" s="127" t="s">
        <v>954</v>
      </c>
      <c r="B780" t="s">
        <v>390</v>
      </c>
      <c r="C780" t="s">
        <v>1486</v>
      </c>
      <c r="D780" t="s">
        <v>1487</v>
      </c>
      <c r="E780">
        <v>3</v>
      </c>
      <c r="F780">
        <v>3</v>
      </c>
      <c r="G780">
        <v>1</v>
      </c>
      <c r="H780">
        <v>5.49450964052199</v>
      </c>
      <c r="I780" t="s">
        <v>957</v>
      </c>
      <c r="J780" t="s">
        <v>2180</v>
      </c>
      <c r="K780">
        <v>7.8571428571428598E-2</v>
      </c>
      <c r="L780" t="s">
        <v>959</v>
      </c>
      <c r="M780">
        <v>2.2900763358778602</v>
      </c>
      <c r="N780" t="s">
        <v>960</v>
      </c>
      <c r="O780">
        <v>0</v>
      </c>
      <c r="P780">
        <v>0</v>
      </c>
      <c r="Q780">
        <v>0</v>
      </c>
      <c r="R780">
        <v>0</v>
      </c>
    </row>
    <row r="781" spans="1:18" ht="16" x14ac:dyDescent="0.2">
      <c r="A781" s="127" t="s">
        <v>954</v>
      </c>
      <c r="B781" t="s">
        <v>394</v>
      </c>
      <c r="C781" t="s">
        <v>2045</v>
      </c>
      <c r="D781" t="s">
        <v>2046</v>
      </c>
      <c r="E781" t="s">
        <v>1022</v>
      </c>
      <c r="F781">
        <v>3</v>
      </c>
      <c r="G781">
        <v>2</v>
      </c>
      <c r="H781">
        <v>6.7642333860905204</v>
      </c>
      <c r="I781" t="s">
        <v>957</v>
      </c>
      <c r="J781" t="s">
        <v>2047</v>
      </c>
      <c r="K781">
        <v>4.2857142857142899E-2</v>
      </c>
      <c r="L781" t="s">
        <v>959</v>
      </c>
      <c r="M781">
        <v>1.5267175572519101</v>
      </c>
      <c r="N781" t="s">
        <v>960</v>
      </c>
      <c r="O781">
        <v>0</v>
      </c>
      <c r="P781">
        <v>0</v>
      </c>
      <c r="Q781">
        <v>0</v>
      </c>
      <c r="R781">
        <v>0</v>
      </c>
    </row>
    <row r="782" spans="1:18" ht="16" x14ac:dyDescent="0.2">
      <c r="A782" s="127" t="s">
        <v>954</v>
      </c>
      <c r="B782" t="s">
        <v>397</v>
      </c>
      <c r="C782" t="s">
        <v>3230</v>
      </c>
      <c r="D782" t="s">
        <v>3231</v>
      </c>
      <c r="E782" t="s">
        <v>3232</v>
      </c>
      <c r="F782">
        <v>15</v>
      </c>
      <c r="G782">
        <v>2</v>
      </c>
      <c r="H782">
        <v>11.8321595661993</v>
      </c>
      <c r="I782" t="s">
        <v>957</v>
      </c>
      <c r="J782" t="s">
        <v>3233</v>
      </c>
      <c r="K782">
        <v>7.14285714285714E-3</v>
      </c>
      <c r="L782" t="s">
        <v>959</v>
      </c>
      <c r="M782">
        <v>0.76335877862595403</v>
      </c>
      <c r="N782" t="s">
        <v>960</v>
      </c>
      <c r="O782">
        <v>0</v>
      </c>
      <c r="P782">
        <v>0</v>
      </c>
      <c r="Q782">
        <v>0</v>
      </c>
      <c r="R782">
        <v>0</v>
      </c>
    </row>
    <row r="783" spans="1:18" ht="16" x14ac:dyDescent="0.2">
      <c r="A783" s="127" t="s">
        <v>954</v>
      </c>
      <c r="B783" t="s">
        <v>397</v>
      </c>
      <c r="C783" t="s">
        <v>1153</v>
      </c>
      <c r="D783" t="s">
        <v>1154</v>
      </c>
      <c r="E783">
        <v>3</v>
      </c>
      <c r="F783">
        <v>3</v>
      </c>
      <c r="G783">
        <v>1</v>
      </c>
      <c r="H783">
        <v>7.4294866571568399</v>
      </c>
      <c r="I783" t="s">
        <v>957</v>
      </c>
      <c r="J783" t="s">
        <v>1155</v>
      </c>
      <c r="K783">
        <v>2.8571428571428598E-2</v>
      </c>
      <c r="L783" t="s">
        <v>959</v>
      </c>
      <c r="M783">
        <v>2.2900763358778602</v>
      </c>
      <c r="N783" t="s">
        <v>960</v>
      </c>
      <c r="O783">
        <v>0</v>
      </c>
      <c r="P783">
        <v>0</v>
      </c>
      <c r="Q783">
        <v>0</v>
      </c>
      <c r="R783">
        <v>0</v>
      </c>
    </row>
    <row r="784" spans="1:18" ht="16" x14ac:dyDescent="0.2">
      <c r="A784" s="127" t="s">
        <v>954</v>
      </c>
      <c r="B784" t="s">
        <v>397</v>
      </c>
      <c r="C784" t="s">
        <v>2479</v>
      </c>
      <c r="D784" t="s">
        <v>2480</v>
      </c>
      <c r="E784" t="s">
        <v>1022</v>
      </c>
      <c r="F784">
        <v>3</v>
      </c>
      <c r="G784">
        <v>2</v>
      </c>
      <c r="H784">
        <v>7.15982508323075</v>
      </c>
      <c r="I784" t="s">
        <v>957</v>
      </c>
      <c r="J784" t="s">
        <v>3556</v>
      </c>
      <c r="K784">
        <v>4.2857142857142899E-2</v>
      </c>
      <c r="L784" t="s">
        <v>959</v>
      </c>
      <c r="M784">
        <v>1.5267175572519101</v>
      </c>
      <c r="N784" t="s">
        <v>960</v>
      </c>
      <c r="O784">
        <v>0</v>
      </c>
      <c r="P784">
        <v>0</v>
      </c>
      <c r="Q784">
        <v>0</v>
      </c>
      <c r="R784">
        <v>0</v>
      </c>
    </row>
    <row r="785" spans="1:18" ht="16" x14ac:dyDescent="0.2">
      <c r="A785" s="127" t="s">
        <v>954</v>
      </c>
      <c r="B785" t="s">
        <v>397</v>
      </c>
      <c r="C785" t="s">
        <v>3092</v>
      </c>
      <c r="D785" t="s">
        <v>3093</v>
      </c>
      <c r="E785">
        <v>5</v>
      </c>
      <c r="F785">
        <v>5</v>
      </c>
      <c r="G785">
        <v>1</v>
      </c>
      <c r="H785">
        <v>4.8999223222736203</v>
      </c>
      <c r="I785" t="s">
        <v>957</v>
      </c>
      <c r="J785" t="s">
        <v>3154</v>
      </c>
      <c r="K785">
        <v>9.2857142857142902E-2</v>
      </c>
      <c r="L785" t="s">
        <v>959</v>
      </c>
      <c r="M785">
        <v>1.5267175572519101</v>
      </c>
      <c r="N785" t="s">
        <v>960</v>
      </c>
      <c r="O785">
        <v>0</v>
      </c>
      <c r="P785">
        <v>0</v>
      </c>
      <c r="Q785">
        <v>0</v>
      </c>
      <c r="R785">
        <v>0</v>
      </c>
    </row>
    <row r="786" spans="1:18" ht="16" x14ac:dyDescent="0.2">
      <c r="A786" s="127" t="s">
        <v>954</v>
      </c>
      <c r="B786" t="s">
        <v>397</v>
      </c>
      <c r="C786" t="s">
        <v>442</v>
      </c>
      <c r="D786" t="s">
        <v>1763</v>
      </c>
      <c r="E786" t="s">
        <v>1052</v>
      </c>
      <c r="F786">
        <v>2</v>
      </c>
      <c r="G786">
        <v>2</v>
      </c>
      <c r="H786">
        <v>11.8321595661992</v>
      </c>
      <c r="I786" t="s">
        <v>957</v>
      </c>
      <c r="J786" t="s">
        <v>1764</v>
      </c>
      <c r="K786">
        <v>7.14285714285714E-3</v>
      </c>
      <c r="L786" t="s">
        <v>959</v>
      </c>
      <c r="M786">
        <v>0.76335877862595403</v>
      </c>
      <c r="N786" t="s">
        <v>960</v>
      </c>
      <c r="O786">
        <v>0</v>
      </c>
      <c r="P786">
        <v>0</v>
      </c>
      <c r="Q786">
        <v>0</v>
      </c>
      <c r="R786">
        <v>0</v>
      </c>
    </row>
    <row r="787" spans="1:18" ht="16" x14ac:dyDescent="0.2">
      <c r="A787" s="127" t="s">
        <v>954</v>
      </c>
      <c r="B787" t="s">
        <v>397</v>
      </c>
      <c r="C787" t="s">
        <v>2580</v>
      </c>
      <c r="D787" t="s">
        <v>2581</v>
      </c>
      <c r="E787" t="s">
        <v>1022</v>
      </c>
      <c r="F787">
        <v>3</v>
      </c>
      <c r="G787">
        <v>2</v>
      </c>
      <c r="H787">
        <v>7.6342208109143099</v>
      </c>
      <c r="I787" t="s">
        <v>957</v>
      </c>
      <c r="J787" t="s">
        <v>2582</v>
      </c>
      <c r="K787">
        <v>4.2857142857142899E-2</v>
      </c>
      <c r="L787" t="s">
        <v>959</v>
      </c>
      <c r="M787">
        <v>1.5267175572519101</v>
      </c>
      <c r="N787" t="s">
        <v>960</v>
      </c>
      <c r="O787">
        <v>0</v>
      </c>
      <c r="P787">
        <v>0</v>
      </c>
      <c r="Q787">
        <v>0</v>
      </c>
      <c r="R787">
        <v>0</v>
      </c>
    </row>
    <row r="788" spans="1:18" ht="16" x14ac:dyDescent="0.2">
      <c r="A788" s="127" t="s">
        <v>954</v>
      </c>
      <c r="B788" t="s">
        <v>397</v>
      </c>
      <c r="C788" t="s">
        <v>3386</v>
      </c>
      <c r="D788" t="s">
        <v>3387</v>
      </c>
      <c r="E788">
        <v>4</v>
      </c>
      <c r="F788">
        <v>4</v>
      </c>
      <c r="G788">
        <v>1</v>
      </c>
      <c r="H788">
        <v>8.87890986194774</v>
      </c>
      <c r="I788" t="s">
        <v>957</v>
      </c>
      <c r="J788" t="s">
        <v>3388</v>
      </c>
      <c r="K788">
        <v>4.2857142857142899E-2</v>
      </c>
      <c r="L788" t="s">
        <v>959</v>
      </c>
      <c r="M788">
        <v>1.5267175572519101</v>
      </c>
      <c r="N788" t="s">
        <v>960</v>
      </c>
      <c r="O788">
        <v>0</v>
      </c>
      <c r="P788">
        <v>0</v>
      </c>
      <c r="Q788">
        <v>0</v>
      </c>
      <c r="R788">
        <v>0</v>
      </c>
    </row>
    <row r="789" spans="1:18" ht="16" x14ac:dyDescent="0.2">
      <c r="A789" s="127" t="s">
        <v>954</v>
      </c>
      <c r="B789" t="s">
        <v>397</v>
      </c>
      <c r="C789" t="s">
        <v>2843</v>
      </c>
      <c r="D789" t="s">
        <v>2844</v>
      </c>
      <c r="E789">
        <v>6</v>
      </c>
      <c r="F789">
        <v>6</v>
      </c>
      <c r="G789">
        <v>1</v>
      </c>
      <c r="H789">
        <v>9.7054096965772008</v>
      </c>
      <c r="I789" t="s">
        <v>957</v>
      </c>
      <c r="J789" t="s">
        <v>2845</v>
      </c>
      <c r="K789">
        <v>8.5714285714285701E-2</v>
      </c>
      <c r="L789" t="s">
        <v>959</v>
      </c>
      <c r="M789">
        <v>0.76335877862595403</v>
      </c>
      <c r="N789" t="s">
        <v>960</v>
      </c>
      <c r="O789">
        <v>0</v>
      </c>
      <c r="P789">
        <v>0</v>
      </c>
      <c r="Q789">
        <v>0</v>
      </c>
      <c r="R789">
        <v>0</v>
      </c>
    </row>
    <row r="790" spans="1:18" ht="16" x14ac:dyDescent="0.2">
      <c r="A790" s="127" t="s">
        <v>954</v>
      </c>
      <c r="B790" t="s">
        <v>397</v>
      </c>
      <c r="C790" t="s">
        <v>1365</v>
      </c>
      <c r="D790" t="s">
        <v>1366</v>
      </c>
      <c r="E790">
        <v>3</v>
      </c>
      <c r="F790">
        <v>3</v>
      </c>
      <c r="G790">
        <v>1</v>
      </c>
      <c r="H790">
        <v>4.9570334657983004</v>
      </c>
      <c r="I790" t="s">
        <v>957</v>
      </c>
      <c r="J790" t="s">
        <v>2803</v>
      </c>
      <c r="K790">
        <v>7.8571428571428598E-2</v>
      </c>
      <c r="L790" t="s">
        <v>959</v>
      </c>
      <c r="M790">
        <v>2.2900763358778602</v>
      </c>
      <c r="N790" t="s">
        <v>960</v>
      </c>
      <c r="O790">
        <v>0</v>
      </c>
      <c r="P790">
        <v>0</v>
      </c>
      <c r="Q790">
        <v>0</v>
      </c>
      <c r="R790">
        <v>0</v>
      </c>
    </row>
    <row r="791" spans="1:18" ht="16" x14ac:dyDescent="0.2">
      <c r="A791" s="127" t="s">
        <v>954</v>
      </c>
      <c r="B791" t="s">
        <v>397</v>
      </c>
      <c r="C791" t="s">
        <v>1013</v>
      </c>
      <c r="D791" t="s">
        <v>1014</v>
      </c>
      <c r="E791">
        <v>3</v>
      </c>
      <c r="F791">
        <v>3</v>
      </c>
      <c r="G791">
        <v>1</v>
      </c>
      <c r="H791">
        <v>6.7256899972516804</v>
      </c>
      <c r="I791" t="s">
        <v>957</v>
      </c>
      <c r="J791" t="s">
        <v>1015</v>
      </c>
      <c r="K791">
        <v>7.1428571428571397E-2</v>
      </c>
      <c r="L791" t="s">
        <v>959</v>
      </c>
      <c r="M791">
        <v>1.5267175572519101</v>
      </c>
      <c r="N791" t="s">
        <v>960</v>
      </c>
      <c r="O791">
        <v>0</v>
      </c>
      <c r="P791">
        <v>0</v>
      </c>
      <c r="Q791">
        <v>0</v>
      </c>
      <c r="R791">
        <v>0</v>
      </c>
    </row>
    <row r="792" spans="1:18" ht="16" x14ac:dyDescent="0.2">
      <c r="A792" s="127" t="s">
        <v>954</v>
      </c>
      <c r="B792" t="s">
        <v>397</v>
      </c>
      <c r="C792" t="s">
        <v>3546</v>
      </c>
      <c r="D792" t="s">
        <v>3547</v>
      </c>
      <c r="E792">
        <v>6</v>
      </c>
      <c r="F792">
        <v>6</v>
      </c>
      <c r="G792">
        <v>1</v>
      </c>
      <c r="H792">
        <v>8.3450042421471409</v>
      </c>
      <c r="I792" t="s">
        <v>957</v>
      </c>
      <c r="J792" t="s">
        <v>3548</v>
      </c>
      <c r="K792">
        <v>0.14285714285714299</v>
      </c>
      <c r="L792" t="s">
        <v>959</v>
      </c>
      <c r="M792">
        <v>0.76335877862595403</v>
      </c>
      <c r="N792" t="s">
        <v>960</v>
      </c>
      <c r="O792">
        <v>0</v>
      </c>
      <c r="P792">
        <v>0</v>
      </c>
      <c r="Q792">
        <v>0</v>
      </c>
      <c r="R792">
        <v>0</v>
      </c>
    </row>
    <row r="793" spans="1:18" ht="16" x14ac:dyDescent="0.2">
      <c r="A793" s="127" t="s">
        <v>954</v>
      </c>
      <c r="B793" t="s">
        <v>397</v>
      </c>
      <c r="C793" t="s">
        <v>1138</v>
      </c>
      <c r="D793" t="s">
        <v>1139</v>
      </c>
      <c r="E793">
        <v>5</v>
      </c>
      <c r="F793">
        <v>5</v>
      </c>
      <c r="G793">
        <v>1</v>
      </c>
      <c r="H793">
        <v>7.3680356728956102</v>
      </c>
      <c r="I793" t="s">
        <v>957</v>
      </c>
      <c r="J793" t="s">
        <v>1140</v>
      </c>
      <c r="K793">
        <v>0.14285714285714299</v>
      </c>
      <c r="L793" t="s">
        <v>959</v>
      </c>
      <c r="M793">
        <v>2.2900763358778602</v>
      </c>
      <c r="N793" t="s">
        <v>960</v>
      </c>
      <c r="O793">
        <v>0</v>
      </c>
      <c r="P793">
        <v>0</v>
      </c>
      <c r="Q793">
        <v>0</v>
      </c>
      <c r="R793">
        <v>0</v>
      </c>
    </row>
    <row r="794" spans="1:18" ht="16" x14ac:dyDescent="0.2">
      <c r="A794" s="127" t="s">
        <v>954</v>
      </c>
      <c r="B794" t="s">
        <v>397</v>
      </c>
      <c r="C794" t="s">
        <v>1889</v>
      </c>
      <c r="D794" t="s">
        <v>1890</v>
      </c>
      <c r="E794">
        <v>5</v>
      </c>
      <c r="F794">
        <v>5</v>
      </c>
      <c r="G794">
        <v>1</v>
      </c>
      <c r="H794">
        <v>6.6372644864057904</v>
      </c>
      <c r="I794" t="s">
        <v>957</v>
      </c>
      <c r="J794" t="s">
        <v>2025</v>
      </c>
      <c r="K794">
        <v>7.8571428571428598E-2</v>
      </c>
      <c r="L794" t="s">
        <v>959</v>
      </c>
      <c r="M794">
        <v>1.5267175572519101</v>
      </c>
      <c r="N794" t="s">
        <v>960</v>
      </c>
      <c r="O794">
        <v>0</v>
      </c>
      <c r="P794">
        <v>0</v>
      </c>
      <c r="Q794">
        <v>0</v>
      </c>
      <c r="R794">
        <v>0</v>
      </c>
    </row>
    <row r="795" spans="1:18" ht="16" x14ac:dyDescent="0.2">
      <c r="A795" s="127" t="s">
        <v>954</v>
      </c>
      <c r="B795" t="s">
        <v>397</v>
      </c>
      <c r="C795" t="s">
        <v>2485</v>
      </c>
      <c r="D795" t="s">
        <v>2486</v>
      </c>
      <c r="E795">
        <v>7</v>
      </c>
      <c r="F795">
        <v>7</v>
      </c>
      <c r="G795">
        <v>1</v>
      </c>
      <c r="H795">
        <v>7.2908747759116297</v>
      </c>
      <c r="I795" t="s">
        <v>957</v>
      </c>
      <c r="J795" t="s">
        <v>3353</v>
      </c>
      <c r="K795">
        <v>7.8571428571428598E-2</v>
      </c>
      <c r="L795" t="s">
        <v>959</v>
      </c>
      <c r="M795">
        <v>1.5267175572519101</v>
      </c>
      <c r="N795" t="s">
        <v>960</v>
      </c>
      <c r="O795">
        <v>0</v>
      </c>
      <c r="P795">
        <v>0</v>
      </c>
      <c r="Q795">
        <v>0</v>
      </c>
      <c r="R795">
        <v>0</v>
      </c>
    </row>
    <row r="796" spans="1:18" ht="16" x14ac:dyDescent="0.2">
      <c r="A796" s="127" t="s">
        <v>954</v>
      </c>
      <c r="B796" t="s">
        <v>397</v>
      </c>
      <c r="C796" t="s">
        <v>2898</v>
      </c>
      <c r="D796" t="s">
        <v>2899</v>
      </c>
      <c r="E796">
        <v>3</v>
      </c>
      <c r="F796">
        <v>3</v>
      </c>
      <c r="G796">
        <v>1</v>
      </c>
      <c r="H796">
        <v>9.6185501396824495</v>
      </c>
      <c r="I796" t="s">
        <v>957</v>
      </c>
      <c r="J796" t="s">
        <v>2900</v>
      </c>
      <c r="K796">
        <v>4.2857142857142899E-2</v>
      </c>
      <c r="L796" t="s">
        <v>959</v>
      </c>
      <c r="M796">
        <v>0.76335877862595403</v>
      </c>
      <c r="N796" t="s">
        <v>960</v>
      </c>
      <c r="O796">
        <v>0</v>
      </c>
      <c r="P796">
        <v>0</v>
      </c>
      <c r="Q796">
        <v>0</v>
      </c>
      <c r="R796">
        <v>0</v>
      </c>
    </row>
    <row r="797" spans="1:18" ht="16" x14ac:dyDescent="0.2">
      <c r="A797" s="127" t="s">
        <v>954</v>
      </c>
      <c r="B797" t="s">
        <v>397</v>
      </c>
      <c r="C797" t="s">
        <v>2054</v>
      </c>
      <c r="D797" t="s">
        <v>2055</v>
      </c>
      <c r="E797" t="s">
        <v>1974</v>
      </c>
      <c r="F797">
        <v>5</v>
      </c>
      <c r="G797">
        <v>2</v>
      </c>
      <c r="H797">
        <v>9.1677405468797399</v>
      </c>
      <c r="I797" t="s">
        <v>957</v>
      </c>
      <c r="J797" t="s">
        <v>3191</v>
      </c>
      <c r="K797">
        <v>5.7142857142857099E-2</v>
      </c>
      <c r="L797" t="s">
        <v>959</v>
      </c>
      <c r="M797">
        <v>1.5267175572519101</v>
      </c>
      <c r="N797" t="s">
        <v>960</v>
      </c>
      <c r="O797">
        <v>0</v>
      </c>
      <c r="P797">
        <v>0</v>
      </c>
      <c r="Q797">
        <v>0</v>
      </c>
      <c r="R797">
        <v>0</v>
      </c>
    </row>
    <row r="798" spans="1:18" ht="16" x14ac:dyDescent="0.2">
      <c r="A798" s="127" t="s">
        <v>954</v>
      </c>
      <c r="B798" t="s">
        <v>397</v>
      </c>
      <c r="C798" t="s">
        <v>1076</v>
      </c>
      <c r="D798" t="s">
        <v>1077</v>
      </c>
      <c r="E798" t="s">
        <v>1022</v>
      </c>
      <c r="F798">
        <v>3</v>
      </c>
      <c r="G798">
        <v>2</v>
      </c>
      <c r="H798">
        <v>4.6427460402806799</v>
      </c>
      <c r="I798" t="s">
        <v>957</v>
      </c>
      <c r="J798" t="s">
        <v>1078</v>
      </c>
      <c r="K798">
        <v>0.114285714285714</v>
      </c>
      <c r="L798" t="s">
        <v>959</v>
      </c>
      <c r="M798">
        <v>2.2900763358778602</v>
      </c>
      <c r="N798" t="s">
        <v>960</v>
      </c>
      <c r="O798">
        <v>0</v>
      </c>
      <c r="P798">
        <v>0</v>
      </c>
      <c r="Q798">
        <v>0</v>
      </c>
      <c r="R798">
        <v>0</v>
      </c>
    </row>
    <row r="799" spans="1:18" ht="16" x14ac:dyDescent="0.2">
      <c r="A799" s="127" t="s">
        <v>954</v>
      </c>
      <c r="B799" t="s">
        <v>397</v>
      </c>
      <c r="C799" t="s">
        <v>3367</v>
      </c>
      <c r="D799" t="s">
        <v>3368</v>
      </c>
      <c r="E799" t="s">
        <v>1102</v>
      </c>
      <c r="F799">
        <v>4</v>
      </c>
      <c r="G799">
        <v>2</v>
      </c>
      <c r="H799">
        <v>5.9325362259680601</v>
      </c>
      <c r="I799" t="s">
        <v>957</v>
      </c>
      <c r="J799" t="s">
        <v>3369</v>
      </c>
      <c r="K799">
        <v>0.114285714285714</v>
      </c>
      <c r="L799" t="s">
        <v>959</v>
      </c>
      <c r="M799">
        <v>1.5267175572519101</v>
      </c>
      <c r="N799" t="s">
        <v>960</v>
      </c>
      <c r="O799">
        <v>0</v>
      </c>
      <c r="P799">
        <v>0</v>
      </c>
      <c r="Q799">
        <v>0</v>
      </c>
      <c r="R799">
        <v>0</v>
      </c>
    </row>
    <row r="800" spans="1:18" ht="16" x14ac:dyDescent="0.2">
      <c r="A800" s="127" t="s">
        <v>954</v>
      </c>
      <c r="B800" t="s">
        <v>397</v>
      </c>
      <c r="C800" t="s">
        <v>1044</v>
      </c>
      <c r="D800" t="s">
        <v>1045</v>
      </c>
      <c r="E800">
        <v>3</v>
      </c>
      <c r="F800">
        <v>3</v>
      </c>
      <c r="G800">
        <v>1</v>
      </c>
      <c r="H800">
        <v>9.8631957611800996</v>
      </c>
      <c r="I800" t="s">
        <v>957</v>
      </c>
      <c r="J800" t="s">
        <v>1046</v>
      </c>
      <c r="K800">
        <v>1.4285714285714299E-2</v>
      </c>
      <c r="L800" t="s">
        <v>959</v>
      </c>
      <c r="M800">
        <v>0.76335877862595403</v>
      </c>
      <c r="N800" t="s">
        <v>960</v>
      </c>
      <c r="O800">
        <v>0</v>
      </c>
      <c r="P800">
        <v>0</v>
      </c>
      <c r="Q800">
        <v>0</v>
      </c>
      <c r="R800">
        <v>0</v>
      </c>
    </row>
    <row r="801" spans="1:18" ht="16" x14ac:dyDescent="0.2">
      <c r="A801" s="127" t="s">
        <v>954</v>
      </c>
      <c r="B801" t="s">
        <v>397</v>
      </c>
      <c r="C801" t="s">
        <v>3057</v>
      </c>
      <c r="D801" t="s">
        <v>3058</v>
      </c>
      <c r="E801" t="s">
        <v>1692</v>
      </c>
      <c r="F801">
        <v>5</v>
      </c>
      <c r="G801">
        <v>2</v>
      </c>
      <c r="H801">
        <v>10.605878528655399</v>
      </c>
      <c r="I801" t="s">
        <v>957</v>
      </c>
      <c r="J801" t="s">
        <v>3059</v>
      </c>
      <c r="K801">
        <v>1.4285714285714299E-2</v>
      </c>
      <c r="L801" t="s">
        <v>959</v>
      </c>
      <c r="M801">
        <v>1.5267175572519101</v>
      </c>
      <c r="N801" t="s">
        <v>960</v>
      </c>
      <c r="O801">
        <v>0</v>
      </c>
      <c r="P801">
        <v>0</v>
      </c>
      <c r="Q801">
        <v>0</v>
      </c>
      <c r="R801">
        <v>0</v>
      </c>
    </row>
    <row r="802" spans="1:18" ht="16" x14ac:dyDescent="0.2">
      <c r="A802" s="127" t="s">
        <v>954</v>
      </c>
      <c r="B802" t="s">
        <v>397</v>
      </c>
      <c r="C802" t="s">
        <v>2890</v>
      </c>
      <c r="D802" t="s">
        <v>2891</v>
      </c>
      <c r="E802">
        <v>4</v>
      </c>
      <c r="F802">
        <v>4</v>
      </c>
      <c r="G802">
        <v>1</v>
      </c>
      <c r="H802">
        <v>11.246412354404599</v>
      </c>
      <c r="I802" t="s">
        <v>957</v>
      </c>
      <c r="J802" t="s">
        <v>2892</v>
      </c>
      <c r="K802">
        <v>1.4285714285714299E-2</v>
      </c>
      <c r="L802" t="s">
        <v>959</v>
      </c>
      <c r="M802">
        <v>0.76335877862595403</v>
      </c>
      <c r="N802" t="s">
        <v>960</v>
      </c>
      <c r="O802">
        <v>0</v>
      </c>
      <c r="P802">
        <v>0</v>
      </c>
      <c r="Q802">
        <v>0</v>
      </c>
      <c r="R802">
        <v>0</v>
      </c>
    </row>
    <row r="803" spans="1:18" ht="16" x14ac:dyDescent="0.2">
      <c r="A803" s="127" t="s">
        <v>954</v>
      </c>
      <c r="B803" t="s">
        <v>397</v>
      </c>
      <c r="C803" t="s">
        <v>2186</v>
      </c>
      <c r="D803" t="s">
        <v>2187</v>
      </c>
      <c r="E803" t="s">
        <v>2188</v>
      </c>
      <c r="F803">
        <v>13</v>
      </c>
      <c r="G803">
        <v>3</v>
      </c>
      <c r="H803">
        <v>11.8321595661992</v>
      </c>
      <c r="I803" t="s">
        <v>957</v>
      </c>
      <c r="J803" t="s">
        <v>2189</v>
      </c>
      <c r="K803">
        <v>7.14285714285714E-3</v>
      </c>
      <c r="L803" t="s">
        <v>959</v>
      </c>
      <c r="M803">
        <v>0.76335877862595403</v>
      </c>
      <c r="N803" t="s">
        <v>960</v>
      </c>
      <c r="O803">
        <v>0</v>
      </c>
      <c r="P803">
        <v>0</v>
      </c>
      <c r="Q803">
        <v>0</v>
      </c>
      <c r="R803">
        <v>0</v>
      </c>
    </row>
    <row r="804" spans="1:18" ht="16" x14ac:dyDescent="0.2">
      <c r="A804" s="127" t="s">
        <v>954</v>
      </c>
      <c r="B804" t="s">
        <v>397</v>
      </c>
      <c r="C804" t="s">
        <v>2760</v>
      </c>
      <c r="D804" t="s">
        <v>2761</v>
      </c>
      <c r="E804" t="s">
        <v>1692</v>
      </c>
      <c r="F804">
        <v>5</v>
      </c>
      <c r="G804">
        <v>2</v>
      </c>
      <c r="H804">
        <v>11.8321595661992</v>
      </c>
      <c r="I804" t="s">
        <v>957</v>
      </c>
      <c r="J804" t="s">
        <v>2762</v>
      </c>
      <c r="K804">
        <v>7.14285714285714E-3</v>
      </c>
      <c r="L804" t="s">
        <v>959</v>
      </c>
      <c r="M804">
        <v>0.76335877862595403</v>
      </c>
      <c r="N804" t="s">
        <v>960</v>
      </c>
      <c r="O804">
        <v>0</v>
      </c>
      <c r="P804">
        <v>0</v>
      </c>
      <c r="Q804">
        <v>0</v>
      </c>
      <c r="R804">
        <v>0</v>
      </c>
    </row>
    <row r="805" spans="1:18" ht="16" x14ac:dyDescent="0.2">
      <c r="A805" s="127" t="s">
        <v>954</v>
      </c>
      <c r="B805" t="s">
        <v>397</v>
      </c>
      <c r="C805" t="s">
        <v>1024</v>
      </c>
      <c r="D805" t="s">
        <v>1025</v>
      </c>
      <c r="E805" t="s">
        <v>1026</v>
      </c>
      <c r="F805">
        <v>9</v>
      </c>
      <c r="G805">
        <v>2</v>
      </c>
      <c r="H805">
        <v>11.0669915972639</v>
      </c>
      <c r="I805" t="s">
        <v>957</v>
      </c>
      <c r="J805" t="s">
        <v>1027</v>
      </c>
      <c r="K805">
        <v>6.4285714285714293E-2</v>
      </c>
      <c r="L805" t="s">
        <v>959</v>
      </c>
      <c r="M805">
        <v>0.76335877862595403</v>
      </c>
      <c r="N805" t="s">
        <v>960</v>
      </c>
      <c r="O805">
        <v>0</v>
      </c>
      <c r="P805">
        <v>0</v>
      </c>
      <c r="Q805">
        <v>0</v>
      </c>
      <c r="R805">
        <v>0</v>
      </c>
    </row>
    <row r="806" spans="1:18" ht="16" x14ac:dyDescent="0.2">
      <c r="A806" s="127" t="s">
        <v>954</v>
      </c>
      <c r="B806" t="s">
        <v>397</v>
      </c>
      <c r="C806" t="s">
        <v>2066</v>
      </c>
      <c r="D806" t="s">
        <v>2067</v>
      </c>
      <c r="E806">
        <v>4</v>
      </c>
      <c r="F806">
        <v>4</v>
      </c>
      <c r="G806">
        <v>1</v>
      </c>
      <c r="H806">
        <v>10.156555224164901</v>
      </c>
      <c r="I806" t="s">
        <v>957</v>
      </c>
      <c r="J806" t="s">
        <v>2907</v>
      </c>
      <c r="K806">
        <v>2.8571428571428598E-2</v>
      </c>
      <c r="L806" t="s">
        <v>959</v>
      </c>
      <c r="M806">
        <v>1.5267175572519101</v>
      </c>
      <c r="N806" t="s">
        <v>960</v>
      </c>
      <c r="O806">
        <v>0</v>
      </c>
      <c r="P806">
        <v>0</v>
      </c>
      <c r="Q806">
        <v>0</v>
      </c>
      <c r="R806">
        <v>0</v>
      </c>
    </row>
    <row r="807" spans="1:18" ht="16" x14ac:dyDescent="0.2">
      <c r="A807" s="127" t="s">
        <v>954</v>
      </c>
      <c r="B807" t="s">
        <v>397</v>
      </c>
      <c r="C807" t="s">
        <v>2560</v>
      </c>
      <c r="D807" t="s">
        <v>2561</v>
      </c>
      <c r="E807">
        <v>5</v>
      </c>
      <c r="F807">
        <v>5</v>
      </c>
      <c r="G807">
        <v>1</v>
      </c>
      <c r="H807">
        <v>11.291136145346201</v>
      </c>
      <c r="I807" t="s">
        <v>957</v>
      </c>
      <c r="J807" t="s">
        <v>2562</v>
      </c>
      <c r="K807">
        <v>3.5714285714285698E-2</v>
      </c>
      <c r="L807" t="s">
        <v>959</v>
      </c>
      <c r="M807">
        <v>0.76335877862595403</v>
      </c>
      <c r="N807" t="s">
        <v>960</v>
      </c>
      <c r="O807">
        <v>0</v>
      </c>
      <c r="P807">
        <v>0</v>
      </c>
      <c r="Q807">
        <v>0</v>
      </c>
      <c r="R807">
        <v>0</v>
      </c>
    </row>
    <row r="808" spans="1:18" ht="16" x14ac:dyDescent="0.2">
      <c r="A808" s="127" t="s">
        <v>954</v>
      </c>
      <c r="B808" t="s">
        <v>401</v>
      </c>
      <c r="C808" t="s">
        <v>2637</v>
      </c>
      <c r="D808" t="s">
        <v>2638</v>
      </c>
      <c r="E808" t="s">
        <v>2639</v>
      </c>
      <c r="F808">
        <v>16</v>
      </c>
      <c r="G808">
        <v>2</v>
      </c>
      <c r="H808">
        <v>3.8729833462074099</v>
      </c>
      <c r="I808" t="s">
        <v>957</v>
      </c>
      <c r="J808" t="s">
        <v>2640</v>
      </c>
      <c r="K808">
        <v>6.6666666666666693E-2</v>
      </c>
      <c r="L808" t="s">
        <v>1004</v>
      </c>
      <c r="M808">
        <v>1.5267175572519101</v>
      </c>
      <c r="N808" t="s">
        <v>1005</v>
      </c>
      <c r="O808">
        <v>0</v>
      </c>
      <c r="P808">
        <v>0</v>
      </c>
      <c r="Q808">
        <v>0</v>
      </c>
      <c r="R808">
        <v>0</v>
      </c>
    </row>
    <row r="809" spans="1:18" ht="16" x14ac:dyDescent="0.2">
      <c r="A809" s="127" t="s">
        <v>954</v>
      </c>
      <c r="B809" t="s">
        <v>401</v>
      </c>
      <c r="C809" t="s">
        <v>2359</v>
      </c>
      <c r="D809" t="s">
        <v>2360</v>
      </c>
      <c r="E809" t="s">
        <v>2361</v>
      </c>
      <c r="F809">
        <v>23</v>
      </c>
      <c r="G809">
        <v>2</v>
      </c>
      <c r="H809">
        <v>3.8729833462074099</v>
      </c>
      <c r="I809" t="s">
        <v>957</v>
      </c>
      <c r="J809" t="s">
        <v>2362</v>
      </c>
      <c r="K809">
        <v>6.6666666666666693E-2</v>
      </c>
      <c r="L809" t="s">
        <v>1004</v>
      </c>
      <c r="M809">
        <v>0.76335877862595403</v>
      </c>
      <c r="N809" t="s">
        <v>1005</v>
      </c>
      <c r="O809">
        <v>0</v>
      </c>
      <c r="P809">
        <v>0</v>
      </c>
      <c r="Q809">
        <v>0</v>
      </c>
      <c r="R809">
        <v>0</v>
      </c>
    </row>
    <row r="810" spans="1:18" ht="16" x14ac:dyDescent="0.2">
      <c r="A810" s="127" t="s">
        <v>954</v>
      </c>
      <c r="B810" t="s">
        <v>401</v>
      </c>
      <c r="C810" t="s">
        <v>3394</v>
      </c>
      <c r="D810" t="s">
        <v>3395</v>
      </c>
      <c r="E810" t="s">
        <v>976</v>
      </c>
      <c r="F810">
        <v>17</v>
      </c>
      <c r="G810">
        <v>2</v>
      </c>
      <c r="H810">
        <v>3.8729833462074099</v>
      </c>
      <c r="I810" t="s">
        <v>957</v>
      </c>
      <c r="J810" t="s">
        <v>3396</v>
      </c>
      <c r="K810">
        <v>6.6666666666666693E-2</v>
      </c>
      <c r="L810" t="s">
        <v>1004</v>
      </c>
      <c r="M810">
        <v>1.5267175572519101</v>
      </c>
      <c r="N810" t="s">
        <v>982</v>
      </c>
      <c r="O810">
        <v>0</v>
      </c>
      <c r="P810">
        <v>0</v>
      </c>
      <c r="Q810">
        <v>0</v>
      </c>
      <c r="R810">
        <v>0</v>
      </c>
    </row>
    <row r="811" spans="1:18" ht="16" x14ac:dyDescent="0.2">
      <c r="A811" s="127" t="s">
        <v>954</v>
      </c>
      <c r="B811" t="s">
        <v>401</v>
      </c>
      <c r="C811" t="s">
        <v>1160</v>
      </c>
      <c r="D811" t="s">
        <v>1161</v>
      </c>
      <c r="E811" t="s">
        <v>970</v>
      </c>
      <c r="F811">
        <v>12</v>
      </c>
      <c r="G811">
        <v>2</v>
      </c>
      <c r="H811">
        <v>3.8729833462074201</v>
      </c>
      <c r="I811" t="s">
        <v>957</v>
      </c>
      <c r="J811" t="s">
        <v>1162</v>
      </c>
      <c r="K811">
        <v>6.6666666666666693E-2</v>
      </c>
      <c r="L811" t="s">
        <v>1004</v>
      </c>
      <c r="M811">
        <v>0.76335877862595403</v>
      </c>
      <c r="N811" t="s">
        <v>1005</v>
      </c>
      <c r="O811">
        <v>0</v>
      </c>
      <c r="P811">
        <v>0</v>
      </c>
      <c r="Q811">
        <v>0</v>
      </c>
      <c r="R811">
        <v>0</v>
      </c>
    </row>
    <row r="812" spans="1:18" ht="16" x14ac:dyDescent="0.2">
      <c r="A812" s="127" t="s">
        <v>954</v>
      </c>
      <c r="B812" t="s">
        <v>401</v>
      </c>
      <c r="C812" t="s">
        <v>2332</v>
      </c>
      <c r="D812" t="s">
        <v>2333</v>
      </c>
      <c r="E812">
        <v>4</v>
      </c>
      <c r="F812">
        <v>4</v>
      </c>
      <c r="G812">
        <v>1</v>
      </c>
      <c r="H812">
        <v>5.7135355719710299</v>
      </c>
      <c r="I812" t="s">
        <v>957</v>
      </c>
      <c r="J812" t="s">
        <v>2896</v>
      </c>
      <c r="K812">
        <v>2.1428571428571401E-2</v>
      </c>
      <c r="L812" t="s">
        <v>959</v>
      </c>
      <c r="M812">
        <v>2.2900763358778602</v>
      </c>
      <c r="N812" t="s">
        <v>982</v>
      </c>
      <c r="O812">
        <v>0</v>
      </c>
      <c r="P812">
        <v>0</v>
      </c>
      <c r="Q812">
        <v>0</v>
      </c>
      <c r="R812">
        <v>0</v>
      </c>
    </row>
    <row r="813" spans="1:18" ht="16" x14ac:dyDescent="0.2">
      <c r="A813" s="127" t="s">
        <v>954</v>
      </c>
      <c r="B813" t="s">
        <v>401</v>
      </c>
      <c r="C813" t="s">
        <v>1436</v>
      </c>
      <c r="D813" t="s">
        <v>1437</v>
      </c>
      <c r="E813" t="s">
        <v>1438</v>
      </c>
      <c r="F813">
        <v>8</v>
      </c>
      <c r="G813">
        <v>2</v>
      </c>
      <c r="H813">
        <v>3.7656695889150802</v>
      </c>
      <c r="I813" t="s">
        <v>957</v>
      </c>
      <c r="J813" t="s">
        <v>1439</v>
      </c>
      <c r="K813">
        <v>0.266666666666667</v>
      </c>
      <c r="L813" t="s">
        <v>1004</v>
      </c>
      <c r="M813">
        <v>0.76335877862595403</v>
      </c>
      <c r="N813" t="s">
        <v>1005</v>
      </c>
      <c r="O813">
        <v>0</v>
      </c>
      <c r="P813">
        <v>0</v>
      </c>
      <c r="Q813">
        <v>0</v>
      </c>
      <c r="R813">
        <v>0</v>
      </c>
    </row>
    <row r="814" spans="1:18" ht="16" x14ac:dyDescent="0.2">
      <c r="A814" s="127" t="s">
        <v>954</v>
      </c>
      <c r="B814" t="s">
        <v>401</v>
      </c>
      <c r="C814" t="s">
        <v>2543</v>
      </c>
      <c r="D814" t="s">
        <v>2544</v>
      </c>
      <c r="E814" t="s">
        <v>1692</v>
      </c>
      <c r="F814">
        <v>5</v>
      </c>
      <c r="G814">
        <v>2</v>
      </c>
      <c r="H814">
        <v>3.8404518786166699</v>
      </c>
      <c r="I814" t="s">
        <v>957</v>
      </c>
      <c r="J814" t="s">
        <v>2545</v>
      </c>
      <c r="K814">
        <v>0.133333333333333</v>
      </c>
      <c r="L814" t="s">
        <v>1004</v>
      </c>
      <c r="M814">
        <v>0.76335877862595403</v>
      </c>
      <c r="N814" t="s">
        <v>1005</v>
      </c>
      <c r="O814">
        <v>0</v>
      </c>
      <c r="P814">
        <v>0</v>
      </c>
      <c r="Q814">
        <v>0</v>
      </c>
      <c r="R814">
        <v>0</v>
      </c>
    </row>
    <row r="815" spans="1:18" ht="16" x14ac:dyDescent="0.2">
      <c r="A815" s="127" t="s">
        <v>954</v>
      </c>
      <c r="B815" t="s">
        <v>401</v>
      </c>
      <c r="C815" t="s">
        <v>2568</v>
      </c>
      <c r="D815" t="s">
        <v>2569</v>
      </c>
      <c r="E815" t="s">
        <v>3269</v>
      </c>
      <c r="F815">
        <v>76</v>
      </c>
      <c r="G815">
        <v>5</v>
      </c>
      <c r="H815">
        <v>3.8729833462074099</v>
      </c>
      <c r="I815" t="s">
        <v>957</v>
      </c>
      <c r="J815" t="s">
        <v>3270</v>
      </c>
      <c r="K815" t="s">
        <v>3271</v>
      </c>
      <c r="L815" t="s">
        <v>1175</v>
      </c>
      <c r="M815">
        <v>1.5267175572519101</v>
      </c>
      <c r="N815" t="s">
        <v>982</v>
      </c>
      <c r="O815">
        <v>0</v>
      </c>
      <c r="P815">
        <v>0</v>
      </c>
      <c r="Q815">
        <v>0</v>
      </c>
      <c r="R815">
        <v>0</v>
      </c>
    </row>
    <row r="816" spans="1:18" ht="16" x14ac:dyDescent="0.2">
      <c r="A816" s="127" t="s">
        <v>954</v>
      </c>
      <c r="B816" t="s">
        <v>401</v>
      </c>
      <c r="C816" t="s">
        <v>2101</v>
      </c>
      <c r="D816" t="s">
        <v>3722</v>
      </c>
      <c r="E816" t="s">
        <v>3723</v>
      </c>
      <c r="F816">
        <v>143</v>
      </c>
      <c r="G816">
        <v>6</v>
      </c>
      <c r="H816">
        <v>3.8729833462074201</v>
      </c>
      <c r="I816" t="s">
        <v>957</v>
      </c>
      <c r="J816" t="s">
        <v>3724</v>
      </c>
      <c r="K816" t="s">
        <v>3725</v>
      </c>
      <c r="L816" t="s">
        <v>1175</v>
      </c>
      <c r="M816">
        <v>1.5267175572519101</v>
      </c>
      <c r="N816" t="s">
        <v>982</v>
      </c>
      <c r="O816">
        <v>0</v>
      </c>
      <c r="P816">
        <v>0</v>
      </c>
      <c r="Q816">
        <v>0</v>
      </c>
      <c r="R816">
        <v>0</v>
      </c>
    </row>
    <row r="817" spans="1:18" ht="16" x14ac:dyDescent="0.2">
      <c r="A817" s="127" t="s">
        <v>954</v>
      </c>
      <c r="B817" t="s">
        <v>401</v>
      </c>
      <c r="C817" t="s">
        <v>1000</v>
      </c>
      <c r="D817" t="s">
        <v>1001</v>
      </c>
      <c r="E817" t="s">
        <v>1002</v>
      </c>
      <c r="F817">
        <v>12</v>
      </c>
      <c r="G817">
        <v>2</v>
      </c>
      <c r="H817">
        <v>3.7650181304972099</v>
      </c>
      <c r="I817" t="s">
        <v>957</v>
      </c>
      <c r="J817" t="s">
        <v>1003</v>
      </c>
      <c r="K817">
        <v>0.2</v>
      </c>
      <c r="L817" t="s">
        <v>1004</v>
      </c>
      <c r="M817">
        <v>0.76335877862595403</v>
      </c>
      <c r="N817" t="s">
        <v>1005</v>
      </c>
      <c r="O817">
        <v>0</v>
      </c>
      <c r="P817">
        <v>0</v>
      </c>
      <c r="Q817">
        <v>0</v>
      </c>
      <c r="R817">
        <v>0</v>
      </c>
    </row>
    <row r="818" spans="1:18" ht="16" x14ac:dyDescent="0.2">
      <c r="A818" s="127" t="s">
        <v>954</v>
      </c>
      <c r="B818" t="s">
        <v>401</v>
      </c>
      <c r="C818" t="s">
        <v>1450</v>
      </c>
      <c r="D818" t="s">
        <v>1451</v>
      </c>
      <c r="E818" t="s">
        <v>1216</v>
      </c>
      <c r="F818">
        <v>7</v>
      </c>
      <c r="G818">
        <v>2</v>
      </c>
      <c r="H818">
        <v>3.7214037685158399</v>
      </c>
      <c r="I818" t="s">
        <v>957</v>
      </c>
      <c r="J818" t="s">
        <v>1452</v>
      </c>
      <c r="K818">
        <v>0.2</v>
      </c>
      <c r="L818" t="s">
        <v>1004</v>
      </c>
      <c r="M818">
        <v>1.5267175572519101</v>
      </c>
      <c r="N818" t="s">
        <v>982</v>
      </c>
      <c r="O818">
        <v>0</v>
      </c>
      <c r="P818">
        <v>0</v>
      </c>
      <c r="Q818">
        <v>0</v>
      </c>
      <c r="R818">
        <v>0</v>
      </c>
    </row>
    <row r="819" spans="1:18" ht="16" x14ac:dyDescent="0.2">
      <c r="A819" s="127" t="s">
        <v>954</v>
      </c>
      <c r="B819" t="s">
        <v>401</v>
      </c>
      <c r="C819" t="s">
        <v>1644</v>
      </c>
      <c r="D819" t="s">
        <v>1645</v>
      </c>
      <c r="E819" t="s">
        <v>1646</v>
      </c>
      <c r="F819">
        <v>8</v>
      </c>
      <c r="G819">
        <v>2</v>
      </c>
      <c r="H819">
        <v>3.8729833462074099</v>
      </c>
      <c r="I819" t="s">
        <v>957</v>
      </c>
      <c r="J819" t="s">
        <v>1647</v>
      </c>
      <c r="K819">
        <v>6.6666666666666693E-2</v>
      </c>
      <c r="L819" t="s">
        <v>1004</v>
      </c>
      <c r="M819">
        <v>0.76335877862595403</v>
      </c>
      <c r="N819" t="s">
        <v>1005</v>
      </c>
      <c r="O819">
        <v>0</v>
      </c>
      <c r="P819">
        <v>0</v>
      </c>
      <c r="Q819">
        <v>0</v>
      </c>
      <c r="R819">
        <v>0</v>
      </c>
    </row>
    <row r="820" spans="1:18" ht="16" x14ac:dyDescent="0.2">
      <c r="A820" s="127" t="s">
        <v>954</v>
      </c>
      <c r="B820" t="s">
        <v>401</v>
      </c>
      <c r="C820" t="s">
        <v>1415</v>
      </c>
      <c r="D820" t="s">
        <v>1416</v>
      </c>
      <c r="E820" t="s">
        <v>1417</v>
      </c>
      <c r="F820">
        <v>31</v>
      </c>
      <c r="G820">
        <v>3</v>
      </c>
      <c r="H820">
        <v>3.8729833462074099</v>
      </c>
      <c r="I820" t="s">
        <v>957</v>
      </c>
      <c r="J820" t="s">
        <v>1418</v>
      </c>
      <c r="K820" t="s">
        <v>1419</v>
      </c>
      <c r="L820" t="s">
        <v>1175</v>
      </c>
      <c r="M820">
        <v>2.2900763358778602</v>
      </c>
      <c r="N820" t="s">
        <v>982</v>
      </c>
      <c r="O820">
        <v>0</v>
      </c>
      <c r="P820">
        <v>0</v>
      </c>
      <c r="Q820">
        <v>0</v>
      </c>
      <c r="R820">
        <v>0</v>
      </c>
    </row>
    <row r="821" spans="1:18" ht="16" x14ac:dyDescent="0.2">
      <c r="A821" s="127" t="s">
        <v>954</v>
      </c>
      <c r="B821" t="s">
        <v>405</v>
      </c>
      <c r="C821" t="s">
        <v>2568</v>
      </c>
      <c r="D821" t="s">
        <v>2569</v>
      </c>
      <c r="E821" t="s">
        <v>2570</v>
      </c>
      <c r="F821">
        <v>15</v>
      </c>
      <c r="G821">
        <v>3</v>
      </c>
      <c r="H821">
        <v>8.6054961816883893</v>
      </c>
      <c r="I821" t="s">
        <v>957</v>
      </c>
      <c r="J821" t="s">
        <v>2571</v>
      </c>
      <c r="K821">
        <v>1.4285714285714299E-2</v>
      </c>
      <c r="L821" t="s">
        <v>959</v>
      </c>
      <c r="M821">
        <v>1.5267175572519101</v>
      </c>
      <c r="N821" t="s">
        <v>960</v>
      </c>
      <c r="O821">
        <v>0</v>
      </c>
      <c r="P821">
        <v>0</v>
      </c>
      <c r="Q821">
        <v>0</v>
      </c>
      <c r="R821">
        <v>0</v>
      </c>
    </row>
    <row r="822" spans="1:18" ht="16" x14ac:dyDescent="0.2">
      <c r="A822" s="127" t="s">
        <v>954</v>
      </c>
      <c r="B822" t="s">
        <v>405</v>
      </c>
      <c r="C822" t="s">
        <v>2101</v>
      </c>
      <c r="D822" t="s">
        <v>2102</v>
      </c>
      <c r="E822" t="s">
        <v>2103</v>
      </c>
      <c r="F822">
        <v>35</v>
      </c>
      <c r="G822">
        <v>3</v>
      </c>
      <c r="H822">
        <v>9.8930452781394393</v>
      </c>
      <c r="I822" t="s">
        <v>957</v>
      </c>
      <c r="J822" t="s">
        <v>2104</v>
      </c>
      <c r="K822">
        <v>2.1428571428571401E-2</v>
      </c>
      <c r="L822" t="s">
        <v>959</v>
      </c>
      <c r="M822">
        <v>1.5267175572519101</v>
      </c>
      <c r="N822" t="s">
        <v>960</v>
      </c>
      <c r="O822">
        <v>0</v>
      </c>
      <c r="P822">
        <v>0</v>
      </c>
      <c r="Q822">
        <v>0</v>
      </c>
      <c r="R822">
        <v>0</v>
      </c>
    </row>
    <row r="823" spans="1:18" ht="16" x14ac:dyDescent="0.2">
      <c r="A823" s="127" t="s">
        <v>954</v>
      </c>
      <c r="B823" t="s">
        <v>405</v>
      </c>
      <c r="C823" t="s">
        <v>2794</v>
      </c>
      <c r="D823" t="s">
        <v>2795</v>
      </c>
      <c r="E823">
        <v>4</v>
      </c>
      <c r="F823">
        <v>4</v>
      </c>
      <c r="G823">
        <v>1</v>
      </c>
      <c r="H823">
        <v>4.6355474389864098</v>
      </c>
      <c r="I823" t="s">
        <v>957</v>
      </c>
      <c r="J823" t="s">
        <v>3086</v>
      </c>
      <c r="K823">
        <v>0.114285714285714</v>
      </c>
      <c r="L823" t="s">
        <v>959</v>
      </c>
      <c r="M823">
        <v>1.5267175572519101</v>
      </c>
      <c r="N823" t="s">
        <v>960</v>
      </c>
      <c r="O823">
        <v>0</v>
      </c>
      <c r="P823">
        <v>0</v>
      </c>
      <c r="Q823">
        <v>0</v>
      </c>
      <c r="R823">
        <v>0</v>
      </c>
    </row>
    <row r="824" spans="1:18" ht="16" x14ac:dyDescent="0.2">
      <c r="A824" s="127" t="s">
        <v>954</v>
      </c>
      <c r="B824" t="s">
        <v>405</v>
      </c>
      <c r="C824" t="s">
        <v>1197</v>
      </c>
      <c r="D824" t="s">
        <v>1198</v>
      </c>
      <c r="E824">
        <v>4</v>
      </c>
      <c r="F824">
        <v>4</v>
      </c>
      <c r="G824">
        <v>1</v>
      </c>
      <c r="H824">
        <v>5.5129715573324498</v>
      </c>
      <c r="I824" t="s">
        <v>957</v>
      </c>
      <c r="J824" t="s">
        <v>1199</v>
      </c>
      <c r="K824">
        <v>0.17142857142857101</v>
      </c>
      <c r="L824" t="s">
        <v>959</v>
      </c>
      <c r="M824">
        <v>0.76335877862595403</v>
      </c>
      <c r="N824" t="s">
        <v>960</v>
      </c>
      <c r="O824">
        <v>0</v>
      </c>
      <c r="P824">
        <v>0</v>
      </c>
      <c r="Q824">
        <v>0</v>
      </c>
      <c r="R824">
        <v>0</v>
      </c>
    </row>
    <row r="825" spans="1:18" ht="16" x14ac:dyDescent="0.2">
      <c r="A825" s="127" t="s">
        <v>954</v>
      </c>
      <c r="B825" t="s">
        <v>405</v>
      </c>
      <c r="C825" t="s">
        <v>955</v>
      </c>
      <c r="D825" t="s">
        <v>956</v>
      </c>
      <c r="E825">
        <v>3</v>
      </c>
      <c r="F825">
        <v>3</v>
      </c>
      <c r="G825">
        <v>1</v>
      </c>
      <c r="H825">
        <v>4.8210702594550501</v>
      </c>
      <c r="I825" t="s">
        <v>957</v>
      </c>
      <c r="J825" t="s">
        <v>958</v>
      </c>
      <c r="K825">
        <v>7.1428571428571397E-2</v>
      </c>
      <c r="L825" t="s">
        <v>959</v>
      </c>
      <c r="M825">
        <v>3.0534351145038201</v>
      </c>
      <c r="N825" t="s">
        <v>960</v>
      </c>
      <c r="O825">
        <v>0</v>
      </c>
      <c r="P825">
        <v>0</v>
      </c>
      <c r="Q825">
        <v>0</v>
      </c>
      <c r="R825">
        <v>0</v>
      </c>
    </row>
    <row r="826" spans="1:18" ht="16" x14ac:dyDescent="0.2">
      <c r="A826" s="127" t="s">
        <v>954</v>
      </c>
      <c r="B826" t="s">
        <v>405</v>
      </c>
      <c r="C826" t="s">
        <v>3380</v>
      </c>
      <c r="D826" t="s">
        <v>3381</v>
      </c>
      <c r="E826">
        <v>4</v>
      </c>
      <c r="F826">
        <v>4</v>
      </c>
      <c r="G826">
        <v>1</v>
      </c>
      <c r="H826">
        <v>8.6375539551782996</v>
      </c>
      <c r="I826" t="s">
        <v>957</v>
      </c>
      <c r="J826" t="s">
        <v>3382</v>
      </c>
      <c r="K826">
        <v>0.05</v>
      </c>
      <c r="L826" t="s">
        <v>959</v>
      </c>
      <c r="M826">
        <v>0.76335877862595403</v>
      </c>
      <c r="N826" t="s">
        <v>960</v>
      </c>
      <c r="O826">
        <v>0</v>
      </c>
      <c r="P826">
        <v>0</v>
      </c>
      <c r="Q826">
        <v>0</v>
      </c>
      <c r="R826">
        <v>0</v>
      </c>
    </row>
    <row r="827" spans="1:18" ht="16" x14ac:dyDescent="0.2">
      <c r="A827" s="127" t="s">
        <v>954</v>
      </c>
      <c r="B827" t="s">
        <v>405</v>
      </c>
      <c r="C827" t="s">
        <v>2183</v>
      </c>
      <c r="D827" t="s">
        <v>2184</v>
      </c>
      <c r="E827">
        <v>3</v>
      </c>
      <c r="F827">
        <v>3</v>
      </c>
      <c r="G827">
        <v>1</v>
      </c>
      <c r="H827">
        <v>5.3567775607724997</v>
      </c>
      <c r="I827" t="s">
        <v>957</v>
      </c>
      <c r="J827" t="s">
        <v>3517</v>
      </c>
      <c r="K827">
        <v>7.1428571428571397E-2</v>
      </c>
      <c r="L827" t="s">
        <v>959</v>
      </c>
      <c r="M827">
        <v>1.5267175572519101</v>
      </c>
      <c r="N827" t="s">
        <v>960</v>
      </c>
      <c r="O827">
        <v>0</v>
      </c>
      <c r="P827">
        <v>0</v>
      </c>
      <c r="Q827">
        <v>0</v>
      </c>
      <c r="R827">
        <v>0</v>
      </c>
    </row>
    <row r="828" spans="1:18" ht="16" x14ac:dyDescent="0.2">
      <c r="A828" s="127" t="s">
        <v>954</v>
      </c>
      <c r="B828" t="s">
        <v>405</v>
      </c>
      <c r="C828" t="s">
        <v>1028</v>
      </c>
      <c r="D828" t="s">
        <v>1029</v>
      </c>
      <c r="E828">
        <v>3</v>
      </c>
      <c r="F828">
        <v>3</v>
      </c>
      <c r="G828">
        <v>1</v>
      </c>
      <c r="H828">
        <v>4.86693324499665</v>
      </c>
      <c r="I828" t="s">
        <v>957</v>
      </c>
      <c r="J828" t="s">
        <v>1030</v>
      </c>
      <c r="K828">
        <v>0.05</v>
      </c>
      <c r="L828" t="s">
        <v>959</v>
      </c>
      <c r="M828">
        <v>2.2900763358778602</v>
      </c>
      <c r="N828" t="s">
        <v>960</v>
      </c>
      <c r="O828">
        <v>0</v>
      </c>
      <c r="P828">
        <v>0</v>
      </c>
      <c r="Q828">
        <v>0</v>
      </c>
      <c r="R828">
        <v>0</v>
      </c>
    </row>
    <row r="829" spans="1:18" ht="16" x14ac:dyDescent="0.2">
      <c r="A829" s="127" t="s">
        <v>954</v>
      </c>
      <c r="B829" t="s">
        <v>409</v>
      </c>
      <c r="C829" t="s">
        <v>110</v>
      </c>
      <c r="D829" t="s">
        <v>1800</v>
      </c>
      <c r="E829">
        <v>4</v>
      </c>
      <c r="F829">
        <v>4</v>
      </c>
      <c r="G829">
        <v>1</v>
      </c>
      <c r="H829">
        <v>11.8321595661992</v>
      </c>
      <c r="I829" t="s">
        <v>957</v>
      </c>
      <c r="J829" t="s">
        <v>1801</v>
      </c>
      <c r="K829">
        <v>7.14285714285714E-3</v>
      </c>
      <c r="L829" t="s">
        <v>959</v>
      </c>
      <c r="M829">
        <v>0.76335877862595403</v>
      </c>
      <c r="N829" t="s">
        <v>960</v>
      </c>
      <c r="O829">
        <v>0</v>
      </c>
      <c r="P829">
        <v>0</v>
      </c>
      <c r="Q829">
        <v>0</v>
      </c>
      <c r="R829">
        <v>0</v>
      </c>
    </row>
    <row r="830" spans="1:18" ht="16" x14ac:dyDescent="0.2">
      <c r="A830" s="127" t="s">
        <v>954</v>
      </c>
      <c r="B830" t="s">
        <v>409</v>
      </c>
      <c r="C830" t="s">
        <v>199</v>
      </c>
      <c r="D830" t="s">
        <v>1702</v>
      </c>
      <c r="E830">
        <v>10</v>
      </c>
      <c r="F830">
        <v>10</v>
      </c>
      <c r="G830">
        <v>1</v>
      </c>
      <c r="H830">
        <v>11.8321595661992</v>
      </c>
      <c r="I830" t="s">
        <v>957</v>
      </c>
      <c r="J830" t="s">
        <v>1703</v>
      </c>
      <c r="K830">
        <v>7.14285714285714E-3</v>
      </c>
      <c r="L830" t="s">
        <v>959</v>
      </c>
      <c r="M830">
        <v>0.76335877862595403</v>
      </c>
      <c r="N830" t="s">
        <v>960</v>
      </c>
      <c r="O830">
        <v>0</v>
      </c>
      <c r="P830" t="s">
        <v>5018</v>
      </c>
      <c r="Q830">
        <v>0</v>
      </c>
      <c r="R830">
        <v>0</v>
      </c>
    </row>
    <row r="831" spans="1:18" ht="16" x14ac:dyDescent="0.2">
      <c r="A831" s="127" t="s">
        <v>954</v>
      </c>
      <c r="B831" t="s">
        <v>409</v>
      </c>
      <c r="C831" t="s">
        <v>207</v>
      </c>
      <c r="D831" t="s">
        <v>1572</v>
      </c>
      <c r="E831">
        <v>4</v>
      </c>
      <c r="F831">
        <v>4</v>
      </c>
      <c r="G831">
        <v>1</v>
      </c>
      <c r="H831">
        <v>5.2562609927088699</v>
      </c>
      <c r="I831" t="s">
        <v>957</v>
      </c>
      <c r="J831" t="s">
        <v>2182</v>
      </c>
      <c r="K831">
        <v>2.1428571428571401E-2</v>
      </c>
      <c r="L831" t="s">
        <v>959</v>
      </c>
      <c r="M831">
        <v>2.2900763358778602</v>
      </c>
      <c r="N831" t="s">
        <v>960</v>
      </c>
      <c r="O831">
        <v>0</v>
      </c>
      <c r="P831">
        <v>0</v>
      </c>
      <c r="Q831">
        <v>0</v>
      </c>
      <c r="R831">
        <v>0</v>
      </c>
    </row>
    <row r="832" spans="1:18" ht="16" x14ac:dyDescent="0.2">
      <c r="A832" s="127" t="s">
        <v>954</v>
      </c>
      <c r="B832" t="s">
        <v>409</v>
      </c>
      <c r="C832" t="s">
        <v>272</v>
      </c>
      <c r="D832" t="s">
        <v>3212</v>
      </c>
      <c r="E832">
        <v>19</v>
      </c>
      <c r="F832">
        <v>19</v>
      </c>
      <c r="G832">
        <v>1</v>
      </c>
      <c r="H832">
        <v>11.4955527667822</v>
      </c>
      <c r="I832" t="s">
        <v>957</v>
      </c>
      <c r="J832" t="s">
        <v>3213</v>
      </c>
      <c r="K832">
        <v>3.5714285714285698E-2</v>
      </c>
      <c r="L832" t="s">
        <v>959</v>
      </c>
      <c r="M832">
        <v>0.76335877862595403</v>
      </c>
      <c r="N832" t="s">
        <v>960</v>
      </c>
      <c r="O832">
        <v>0</v>
      </c>
      <c r="P832">
        <v>0</v>
      </c>
      <c r="Q832">
        <v>0</v>
      </c>
      <c r="R832">
        <v>0</v>
      </c>
    </row>
    <row r="833" spans="1:18" ht="16" x14ac:dyDescent="0.2">
      <c r="A833" s="127" t="s">
        <v>954</v>
      </c>
      <c r="B833" t="s">
        <v>414</v>
      </c>
      <c r="C833" t="s">
        <v>3370</v>
      </c>
      <c r="D833" t="s">
        <v>3371</v>
      </c>
      <c r="E833" t="s">
        <v>1590</v>
      </c>
      <c r="F833">
        <v>7</v>
      </c>
      <c r="G833">
        <v>2</v>
      </c>
      <c r="H833">
        <v>11.016860822057099</v>
      </c>
      <c r="I833" t="s">
        <v>957</v>
      </c>
      <c r="J833" t="s">
        <v>3372</v>
      </c>
      <c r="K833">
        <v>7.1428571428571397E-2</v>
      </c>
      <c r="L833" t="s">
        <v>959</v>
      </c>
      <c r="M833">
        <v>0.76335877862595403</v>
      </c>
      <c r="N833" t="s">
        <v>960</v>
      </c>
      <c r="O833">
        <v>0</v>
      </c>
      <c r="P833">
        <v>0</v>
      </c>
      <c r="Q833">
        <v>0</v>
      </c>
      <c r="R833">
        <v>0</v>
      </c>
    </row>
    <row r="834" spans="1:18" ht="16" x14ac:dyDescent="0.2">
      <c r="A834" s="127" t="s">
        <v>954</v>
      </c>
      <c r="B834" t="s">
        <v>414</v>
      </c>
      <c r="C834" t="s">
        <v>1528</v>
      </c>
      <c r="D834" t="s">
        <v>1529</v>
      </c>
      <c r="E834" t="s">
        <v>1102</v>
      </c>
      <c r="F834">
        <v>4</v>
      </c>
      <c r="G834">
        <v>2</v>
      </c>
      <c r="H834">
        <v>10.819832596848601</v>
      </c>
      <c r="I834" t="s">
        <v>957</v>
      </c>
      <c r="J834" t="s">
        <v>1530</v>
      </c>
      <c r="K834">
        <v>2.1428571428571401E-2</v>
      </c>
      <c r="L834" t="s">
        <v>959</v>
      </c>
      <c r="M834">
        <v>2.2900763358778602</v>
      </c>
      <c r="N834" t="s">
        <v>960</v>
      </c>
      <c r="O834">
        <v>0</v>
      </c>
      <c r="P834" t="s">
        <v>5017</v>
      </c>
      <c r="Q834">
        <v>0</v>
      </c>
      <c r="R834">
        <v>0</v>
      </c>
    </row>
    <row r="835" spans="1:18" ht="16" x14ac:dyDescent="0.2">
      <c r="A835" s="127" t="s">
        <v>954</v>
      </c>
      <c r="B835" t="s">
        <v>414</v>
      </c>
      <c r="C835" t="s">
        <v>2446</v>
      </c>
      <c r="D835" t="s">
        <v>3350</v>
      </c>
      <c r="E835">
        <v>5</v>
      </c>
      <c r="F835">
        <v>5</v>
      </c>
      <c r="G835">
        <v>1</v>
      </c>
      <c r="H835">
        <v>6.20762231674943</v>
      </c>
      <c r="I835" t="s">
        <v>957</v>
      </c>
      <c r="J835" t="s">
        <v>3351</v>
      </c>
      <c r="K835">
        <v>7.8571428571428598E-2</v>
      </c>
      <c r="L835" t="s">
        <v>959</v>
      </c>
      <c r="M835">
        <v>1.5267175572519101</v>
      </c>
      <c r="N835" t="s">
        <v>960</v>
      </c>
      <c r="O835">
        <v>0</v>
      </c>
      <c r="P835">
        <v>0</v>
      </c>
      <c r="Q835">
        <v>0</v>
      </c>
      <c r="R835">
        <v>0</v>
      </c>
    </row>
    <row r="836" spans="1:18" ht="16" x14ac:dyDescent="0.2">
      <c r="A836" s="127" t="s">
        <v>954</v>
      </c>
      <c r="B836" t="s">
        <v>422</v>
      </c>
      <c r="C836" t="s">
        <v>1376</v>
      </c>
      <c r="D836" t="s">
        <v>1377</v>
      </c>
      <c r="E836" t="s">
        <v>2915</v>
      </c>
      <c r="F836">
        <v>13</v>
      </c>
      <c r="G836">
        <v>2</v>
      </c>
      <c r="H836">
        <v>5.9619246703749296</v>
      </c>
      <c r="I836" t="s">
        <v>957</v>
      </c>
      <c r="J836" t="s">
        <v>3727</v>
      </c>
      <c r="K836">
        <v>0.17142857142857101</v>
      </c>
      <c r="L836" t="s">
        <v>959</v>
      </c>
      <c r="M836">
        <v>2.2900763358778602</v>
      </c>
      <c r="N836" t="s">
        <v>960</v>
      </c>
      <c r="O836">
        <v>0</v>
      </c>
      <c r="P836">
        <v>0</v>
      </c>
      <c r="Q836">
        <v>0</v>
      </c>
      <c r="R836">
        <v>0</v>
      </c>
    </row>
    <row r="837" spans="1:18" ht="16" x14ac:dyDescent="0.2">
      <c r="A837" s="127" t="s">
        <v>954</v>
      </c>
      <c r="B837" t="s">
        <v>422</v>
      </c>
      <c r="C837" t="s">
        <v>1187</v>
      </c>
      <c r="D837" t="s">
        <v>1188</v>
      </c>
      <c r="E837">
        <v>3</v>
      </c>
      <c r="F837">
        <v>3</v>
      </c>
      <c r="G837">
        <v>1</v>
      </c>
      <c r="H837">
        <v>5.47993693880123</v>
      </c>
      <c r="I837" t="s">
        <v>957</v>
      </c>
      <c r="J837" t="s">
        <v>1344</v>
      </c>
      <c r="K837">
        <v>9.2857142857142902E-2</v>
      </c>
      <c r="L837" t="s">
        <v>959</v>
      </c>
      <c r="M837">
        <v>3.0534351145038201</v>
      </c>
      <c r="N837" t="s">
        <v>987</v>
      </c>
      <c r="O837">
        <v>0</v>
      </c>
      <c r="P837">
        <v>0</v>
      </c>
      <c r="Q837">
        <v>0</v>
      </c>
      <c r="R837">
        <v>0</v>
      </c>
    </row>
    <row r="838" spans="1:18" ht="16" x14ac:dyDescent="0.2">
      <c r="A838" s="127" t="s">
        <v>954</v>
      </c>
      <c r="B838" t="s">
        <v>422</v>
      </c>
      <c r="C838" t="s">
        <v>2691</v>
      </c>
      <c r="D838" t="s">
        <v>2692</v>
      </c>
      <c r="E838">
        <v>3</v>
      </c>
      <c r="F838">
        <v>3</v>
      </c>
      <c r="G838">
        <v>1</v>
      </c>
      <c r="H838">
        <v>9.0648655648882794</v>
      </c>
      <c r="I838" t="s">
        <v>957</v>
      </c>
      <c r="J838" t="s">
        <v>2693</v>
      </c>
      <c r="K838">
        <v>5.7142857142857099E-2</v>
      </c>
      <c r="L838" t="s">
        <v>959</v>
      </c>
      <c r="M838">
        <v>0.76335877862595403</v>
      </c>
      <c r="N838" t="s">
        <v>960</v>
      </c>
      <c r="O838">
        <v>0</v>
      </c>
      <c r="P838">
        <v>0</v>
      </c>
      <c r="Q838">
        <v>0</v>
      </c>
      <c r="R838">
        <v>0</v>
      </c>
    </row>
    <row r="839" spans="1:18" ht="16" x14ac:dyDescent="0.2">
      <c r="A839" s="127" t="s">
        <v>954</v>
      </c>
      <c r="B839" t="s">
        <v>422</v>
      </c>
      <c r="C839" t="s">
        <v>3159</v>
      </c>
      <c r="D839" t="s">
        <v>3160</v>
      </c>
      <c r="E839" t="s">
        <v>1039</v>
      </c>
      <c r="F839">
        <v>3</v>
      </c>
      <c r="G839">
        <v>2</v>
      </c>
      <c r="H839">
        <v>5.1111610180306402</v>
      </c>
      <c r="I839" t="s">
        <v>957</v>
      </c>
      <c r="J839" t="s">
        <v>3161</v>
      </c>
      <c r="K839">
        <v>0.13571428571428601</v>
      </c>
      <c r="L839" t="s">
        <v>959</v>
      </c>
      <c r="M839">
        <v>0.76335877862595403</v>
      </c>
      <c r="N839" t="s">
        <v>960</v>
      </c>
      <c r="O839">
        <v>0</v>
      </c>
      <c r="P839">
        <v>0</v>
      </c>
      <c r="Q839">
        <v>0</v>
      </c>
      <c r="R839">
        <v>0</v>
      </c>
    </row>
    <row r="840" spans="1:18" ht="16" x14ac:dyDescent="0.2">
      <c r="A840" s="127" t="s">
        <v>954</v>
      </c>
      <c r="B840" t="s">
        <v>422</v>
      </c>
      <c r="C840" t="s">
        <v>2641</v>
      </c>
      <c r="D840" t="s">
        <v>2642</v>
      </c>
      <c r="E840">
        <v>8</v>
      </c>
      <c r="F840">
        <v>8</v>
      </c>
      <c r="G840">
        <v>1</v>
      </c>
      <c r="H840">
        <v>5.1504075978880097</v>
      </c>
      <c r="I840" t="s">
        <v>957</v>
      </c>
      <c r="J840" t="s">
        <v>3700</v>
      </c>
      <c r="K840">
        <v>0.17857142857142899</v>
      </c>
      <c r="L840" t="s">
        <v>959</v>
      </c>
      <c r="M840">
        <v>1.5267175572519101</v>
      </c>
      <c r="N840" t="s">
        <v>960</v>
      </c>
      <c r="O840">
        <v>0</v>
      </c>
      <c r="P840">
        <v>0</v>
      </c>
      <c r="Q840">
        <v>0</v>
      </c>
      <c r="R840">
        <v>0</v>
      </c>
    </row>
    <row r="841" spans="1:18" ht="16" x14ac:dyDescent="0.2">
      <c r="A841" s="127" t="s">
        <v>954</v>
      </c>
      <c r="B841" t="s">
        <v>422</v>
      </c>
      <c r="C841" t="s">
        <v>2458</v>
      </c>
      <c r="D841" t="s">
        <v>2459</v>
      </c>
      <c r="E841" t="s">
        <v>1039</v>
      </c>
      <c r="F841">
        <v>3</v>
      </c>
      <c r="G841">
        <v>2</v>
      </c>
      <c r="H841">
        <v>5.25247041937509</v>
      </c>
      <c r="I841" t="s">
        <v>957</v>
      </c>
      <c r="J841" t="s">
        <v>2460</v>
      </c>
      <c r="K841">
        <v>0.17142857142857101</v>
      </c>
      <c r="L841" t="s">
        <v>959</v>
      </c>
      <c r="M841">
        <v>0.76335877862595403</v>
      </c>
      <c r="N841" t="s">
        <v>960</v>
      </c>
      <c r="O841">
        <v>0</v>
      </c>
      <c r="P841">
        <v>0</v>
      </c>
      <c r="Q841">
        <v>0</v>
      </c>
      <c r="R841">
        <v>0</v>
      </c>
    </row>
    <row r="842" spans="1:18" ht="16" x14ac:dyDescent="0.2">
      <c r="A842" s="127" t="s">
        <v>954</v>
      </c>
      <c r="B842" t="s">
        <v>422</v>
      </c>
      <c r="C842" t="s">
        <v>1607</v>
      </c>
      <c r="D842" t="s">
        <v>1608</v>
      </c>
      <c r="E842" t="s">
        <v>1230</v>
      </c>
      <c r="F842">
        <v>4</v>
      </c>
      <c r="G842">
        <v>2</v>
      </c>
      <c r="H842">
        <v>6.6372644864057904</v>
      </c>
      <c r="I842" t="s">
        <v>957</v>
      </c>
      <c r="J842" t="s">
        <v>2558</v>
      </c>
      <c r="K842">
        <v>7.8571428571428598E-2</v>
      </c>
      <c r="L842" t="s">
        <v>959</v>
      </c>
      <c r="M842">
        <v>1.5267175572519101</v>
      </c>
      <c r="N842" t="s">
        <v>960</v>
      </c>
      <c r="O842">
        <v>0</v>
      </c>
      <c r="P842">
        <v>0</v>
      </c>
      <c r="Q842">
        <v>0</v>
      </c>
      <c r="R842">
        <v>0</v>
      </c>
    </row>
    <row r="843" spans="1:18" ht="16" x14ac:dyDescent="0.2">
      <c r="A843" s="127" t="s">
        <v>954</v>
      </c>
      <c r="B843" t="s">
        <v>422</v>
      </c>
      <c r="C843" t="s">
        <v>3413</v>
      </c>
      <c r="D843" t="s">
        <v>3414</v>
      </c>
      <c r="E843">
        <v>3</v>
      </c>
      <c r="F843">
        <v>3</v>
      </c>
      <c r="G843">
        <v>1</v>
      </c>
      <c r="H843">
        <v>6.99326114834302</v>
      </c>
      <c r="I843" t="s">
        <v>957</v>
      </c>
      <c r="J843" t="s">
        <v>3415</v>
      </c>
      <c r="K843">
        <v>0.1</v>
      </c>
      <c r="L843" t="s">
        <v>959</v>
      </c>
      <c r="M843">
        <v>0.76335877862595403</v>
      </c>
      <c r="N843" t="s">
        <v>960</v>
      </c>
      <c r="O843">
        <v>0</v>
      </c>
      <c r="P843">
        <v>0</v>
      </c>
      <c r="Q843">
        <v>0</v>
      </c>
      <c r="R843">
        <v>0</v>
      </c>
    </row>
    <row r="844" spans="1:18" ht="16" x14ac:dyDescent="0.2">
      <c r="A844" s="127" t="s">
        <v>954</v>
      </c>
      <c r="B844" t="s">
        <v>422</v>
      </c>
      <c r="C844" t="s">
        <v>1825</v>
      </c>
      <c r="D844" t="s">
        <v>1826</v>
      </c>
      <c r="E844">
        <v>3</v>
      </c>
      <c r="F844">
        <v>3</v>
      </c>
      <c r="G844">
        <v>1</v>
      </c>
      <c r="H844">
        <v>5.1900429421669303</v>
      </c>
      <c r="I844" t="s">
        <v>957</v>
      </c>
      <c r="J844" t="s">
        <v>3091</v>
      </c>
      <c r="K844">
        <v>9.2857142857142902E-2</v>
      </c>
      <c r="L844" t="s">
        <v>959</v>
      </c>
      <c r="M844">
        <v>2.2900763358778602</v>
      </c>
      <c r="N844" t="s">
        <v>987</v>
      </c>
      <c r="O844">
        <v>0</v>
      </c>
      <c r="P844">
        <v>0</v>
      </c>
      <c r="Q844">
        <v>0</v>
      </c>
      <c r="R844">
        <v>0</v>
      </c>
    </row>
    <row r="845" spans="1:18" ht="16" x14ac:dyDescent="0.2">
      <c r="A845" s="127" t="s">
        <v>954</v>
      </c>
      <c r="B845" t="s">
        <v>422</v>
      </c>
      <c r="C845" t="s">
        <v>1093</v>
      </c>
      <c r="D845" t="s">
        <v>1094</v>
      </c>
      <c r="E845" t="s">
        <v>1052</v>
      </c>
      <c r="F845">
        <v>2</v>
      </c>
      <c r="G845">
        <v>2</v>
      </c>
      <c r="H845">
        <v>7.8085586899303001</v>
      </c>
      <c r="I845" t="s">
        <v>957</v>
      </c>
      <c r="J845" t="s">
        <v>1095</v>
      </c>
      <c r="K845">
        <v>7.8571428571428598E-2</v>
      </c>
      <c r="L845" t="s">
        <v>959</v>
      </c>
      <c r="M845">
        <v>1.5267175572519101</v>
      </c>
      <c r="N845" t="s">
        <v>960</v>
      </c>
      <c r="O845">
        <v>0</v>
      </c>
      <c r="P845">
        <v>0</v>
      </c>
      <c r="Q845">
        <v>0</v>
      </c>
      <c r="R845">
        <v>0</v>
      </c>
    </row>
    <row r="846" spans="1:18" ht="16" x14ac:dyDescent="0.2">
      <c r="A846" s="127" t="s">
        <v>954</v>
      </c>
      <c r="B846" t="s">
        <v>422</v>
      </c>
      <c r="C846" t="s">
        <v>2818</v>
      </c>
      <c r="D846" t="s">
        <v>2819</v>
      </c>
      <c r="E846" t="s">
        <v>3197</v>
      </c>
      <c r="F846">
        <v>6</v>
      </c>
      <c r="G846">
        <v>3</v>
      </c>
      <c r="H846">
        <v>5.9793281039241002</v>
      </c>
      <c r="I846" t="s">
        <v>957</v>
      </c>
      <c r="J846" t="s">
        <v>3198</v>
      </c>
      <c r="K846">
        <v>0.13571428571428601</v>
      </c>
      <c r="L846" t="s">
        <v>959</v>
      </c>
      <c r="M846">
        <v>1.5267175572519101</v>
      </c>
      <c r="N846" t="s">
        <v>960</v>
      </c>
      <c r="O846">
        <v>0</v>
      </c>
      <c r="P846">
        <v>0</v>
      </c>
      <c r="Q846">
        <v>0</v>
      </c>
      <c r="R846">
        <v>0</v>
      </c>
    </row>
    <row r="847" spans="1:18" ht="16" x14ac:dyDescent="0.2">
      <c r="A847" s="127" t="s">
        <v>954</v>
      </c>
      <c r="B847" t="s">
        <v>422</v>
      </c>
      <c r="C847" t="s">
        <v>2770</v>
      </c>
      <c r="D847" t="s">
        <v>2771</v>
      </c>
      <c r="E847" t="s">
        <v>1039</v>
      </c>
      <c r="F847">
        <v>3</v>
      </c>
      <c r="G847">
        <v>2</v>
      </c>
      <c r="H847">
        <v>6.0401114686857396</v>
      </c>
      <c r="I847" t="s">
        <v>957</v>
      </c>
      <c r="J847" t="s">
        <v>2772</v>
      </c>
      <c r="K847">
        <v>5.7142857142857099E-2</v>
      </c>
      <c r="L847" t="s">
        <v>959</v>
      </c>
      <c r="M847">
        <v>1.5267175572519101</v>
      </c>
      <c r="N847" t="s">
        <v>960</v>
      </c>
      <c r="O847">
        <v>0</v>
      </c>
      <c r="P847">
        <v>0</v>
      </c>
      <c r="Q847">
        <v>0</v>
      </c>
      <c r="R847">
        <v>0</v>
      </c>
    </row>
    <row r="848" spans="1:18" ht="16" x14ac:dyDescent="0.2">
      <c r="A848" s="127" t="s">
        <v>954</v>
      </c>
      <c r="B848" t="s">
        <v>422</v>
      </c>
      <c r="C848" t="s">
        <v>1083</v>
      </c>
      <c r="D848" t="s">
        <v>1084</v>
      </c>
      <c r="E848" t="s">
        <v>1085</v>
      </c>
      <c r="F848">
        <v>5</v>
      </c>
      <c r="G848">
        <v>2</v>
      </c>
      <c r="H848">
        <v>5.9432268011124396</v>
      </c>
      <c r="I848" t="s">
        <v>957</v>
      </c>
      <c r="J848" t="s">
        <v>1086</v>
      </c>
      <c r="K848">
        <v>9.2857142857142902E-2</v>
      </c>
      <c r="L848" t="s">
        <v>959</v>
      </c>
      <c r="M848">
        <v>1.5267175572519101</v>
      </c>
      <c r="N848" t="s">
        <v>960</v>
      </c>
      <c r="O848">
        <v>0</v>
      </c>
      <c r="P848">
        <v>0</v>
      </c>
      <c r="Q848">
        <v>0</v>
      </c>
      <c r="R848">
        <v>0</v>
      </c>
    </row>
    <row r="849" spans="1:18" ht="16" x14ac:dyDescent="0.2">
      <c r="A849" s="127" t="s">
        <v>954</v>
      </c>
      <c r="B849" t="s">
        <v>426</v>
      </c>
      <c r="C849" t="s">
        <v>2855</v>
      </c>
      <c r="D849" t="s">
        <v>2856</v>
      </c>
      <c r="E849" t="s">
        <v>2857</v>
      </c>
      <c r="F849">
        <v>6</v>
      </c>
      <c r="G849">
        <v>2</v>
      </c>
      <c r="H849">
        <v>6.8572751309993496</v>
      </c>
      <c r="I849" t="s">
        <v>957</v>
      </c>
      <c r="J849" t="s">
        <v>2858</v>
      </c>
      <c r="K849">
        <v>0.107142857142857</v>
      </c>
      <c r="L849" t="s">
        <v>959</v>
      </c>
      <c r="M849">
        <v>0.76335877862595403</v>
      </c>
      <c r="N849" t="s">
        <v>960</v>
      </c>
      <c r="O849">
        <v>0</v>
      </c>
      <c r="P849">
        <v>0</v>
      </c>
      <c r="Q849" t="s">
        <v>5019</v>
      </c>
      <c r="R849">
        <v>0</v>
      </c>
    </row>
    <row r="850" spans="1:18" ht="16" x14ac:dyDescent="0.2">
      <c r="A850" s="127" t="s">
        <v>954</v>
      </c>
      <c r="B850" t="s">
        <v>426</v>
      </c>
      <c r="C850" t="s">
        <v>1893</v>
      </c>
      <c r="D850" t="s">
        <v>1894</v>
      </c>
      <c r="E850">
        <v>3</v>
      </c>
      <c r="F850">
        <v>3</v>
      </c>
      <c r="G850">
        <v>1</v>
      </c>
      <c r="H850">
        <v>5.8175410669453402</v>
      </c>
      <c r="I850" t="s">
        <v>957</v>
      </c>
      <c r="J850" t="s">
        <v>1895</v>
      </c>
      <c r="K850">
        <v>5.7142857142857099E-2</v>
      </c>
      <c r="L850" t="s">
        <v>959</v>
      </c>
      <c r="M850">
        <v>1.5267175572519101</v>
      </c>
      <c r="N850" t="s">
        <v>960</v>
      </c>
      <c r="O850">
        <v>0</v>
      </c>
      <c r="P850">
        <v>0</v>
      </c>
      <c r="Q850" t="s">
        <v>5019</v>
      </c>
      <c r="R850">
        <v>0</v>
      </c>
    </row>
    <row r="851" spans="1:18" ht="16" x14ac:dyDescent="0.2">
      <c r="A851" s="127" t="s">
        <v>954</v>
      </c>
      <c r="B851" t="s">
        <v>426</v>
      </c>
      <c r="C851" t="s">
        <v>2446</v>
      </c>
      <c r="D851" t="s">
        <v>2447</v>
      </c>
      <c r="E851" t="s">
        <v>1085</v>
      </c>
      <c r="F851">
        <v>5</v>
      </c>
      <c r="G851">
        <v>2</v>
      </c>
      <c r="H851">
        <v>6.20762231674943</v>
      </c>
      <c r="I851" t="s">
        <v>957</v>
      </c>
      <c r="J851" t="s">
        <v>2448</v>
      </c>
      <c r="K851">
        <v>7.8571428571428598E-2</v>
      </c>
      <c r="L851" t="s">
        <v>959</v>
      </c>
      <c r="M851">
        <v>1.5267175572519101</v>
      </c>
      <c r="N851" t="s">
        <v>960</v>
      </c>
      <c r="O851">
        <v>0</v>
      </c>
      <c r="P851">
        <v>0</v>
      </c>
      <c r="Q851" t="s">
        <v>5019</v>
      </c>
      <c r="R851">
        <v>0</v>
      </c>
    </row>
    <row r="852" spans="1:18" ht="16" x14ac:dyDescent="0.2">
      <c r="A852" s="127" t="s">
        <v>954</v>
      </c>
      <c r="B852" t="s">
        <v>426</v>
      </c>
      <c r="C852" t="s">
        <v>1852</v>
      </c>
      <c r="D852" t="s">
        <v>1853</v>
      </c>
      <c r="E852" t="s">
        <v>1026</v>
      </c>
      <c r="F852">
        <v>9</v>
      </c>
      <c r="G852">
        <v>2</v>
      </c>
      <c r="H852">
        <v>6.2320552114480199</v>
      </c>
      <c r="I852" t="s">
        <v>957</v>
      </c>
      <c r="J852" t="s">
        <v>1854</v>
      </c>
      <c r="K852">
        <v>2.1428571428571401E-2</v>
      </c>
      <c r="L852" t="s">
        <v>959</v>
      </c>
      <c r="M852">
        <v>1.5267175572519101</v>
      </c>
      <c r="N852" t="s">
        <v>960</v>
      </c>
      <c r="O852">
        <v>0</v>
      </c>
      <c r="P852">
        <v>0</v>
      </c>
      <c r="Q852" t="s">
        <v>5019</v>
      </c>
      <c r="R852">
        <v>0</v>
      </c>
    </row>
    <row r="853" spans="1:18" ht="16" x14ac:dyDescent="0.2">
      <c r="A853" s="127" t="s">
        <v>954</v>
      </c>
      <c r="B853" t="s">
        <v>430</v>
      </c>
      <c r="C853" t="s">
        <v>2267</v>
      </c>
      <c r="D853" t="s">
        <v>2268</v>
      </c>
      <c r="E853" t="s">
        <v>1974</v>
      </c>
      <c r="F853">
        <v>5</v>
      </c>
      <c r="G853">
        <v>2</v>
      </c>
      <c r="H853">
        <v>5.4281466575075497</v>
      </c>
      <c r="I853" t="s">
        <v>957</v>
      </c>
      <c r="J853" t="s">
        <v>2533</v>
      </c>
      <c r="K853">
        <v>0.114285714285714</v>
      </c>
      <c r="L853" t="s">
        <v>959</v>
      </c>
      <c r="M853">
        <v>2.2900763358778602</v>
      </c>
      <c r="N853" t="s">
        <v>960</v>
      </c>
      <c r="O853">
        <v>0</v>
      </c>
      <c r="P853" t="s">
        <v>5017</v>
      </c>
      <c r="Q853" t="s">
        <v>5019</v>
      </c>
      <c r="R853">
        <v>0</v>
      </c>
    </row>
    <row r="854" spans="1:18" ht="16" x14ac:dyDescent="0.2">
      <c r="A854" s="127" t="s">
        <v>954</v>
      </c>
      <c r="B854" t="s">
        <v>430</v>
      </c>
      <c r="C854" t="s">
        <v>3070</v>
      </c>
      <c r="D854" t="s">
        <v>3071</v>
      </c>
      <c r="E854" t="s">
        <v>1590</v>
      </c>
      <c r="F854">
        <v>7</v>
      </c>
      <c r="G854">
        <v>2</v>
      </c>
      <c r="H854">
        <v>6.3723635168434702</v>
      </c>
      <c r="I854" t="s">
        <v>957</v>
      </c>
      <c r="J854" t="s">
        <v>3072</v>
      </c>
      <c r="K854">
        <v>0.1</v>
      </c>
      <c r="L854" t="s">
        <v>959</v>
      </c>
      <c r="M854">
        <v>1.5267175572519101</v>
      </c>
      <c r="N854" t="s">
        <v>960</v>
      </c>
      <c r="O854">
        <v>0</v>
      </c>
      <c r="P854">
        <v>0</v>
      </c>
      <c r="Q854" t="s">
        <v>5019</v>
      </c>
      <c r="R854">
        <v>0</v>
      </c>
    </row>
    <row r="855" spans="1:18" ht="16" x14ac:dyDescent="0.2">
      <c r="A855" s="127" t="s">
        <v>954</v>
      </c>
      <c r="B855" t="s">
        <v>430</v>
      </c>
      <c r="C855" t="s">
        <v>1263</v>
      </c>
      <c r="D855" t="s">
        <v>1264</v>
      </c>
      <c r="E855" t="s">
        <v>1265</v>
      </c>
      <c r="F855">
        <v>6</v>
      </c>
      <c r="G855">
        <v>2</v>
      </c>
      <c r="H855">
        <v>6.9285846315187003</v>
      </c>
      <c r="I855" t="s">
        <v>957</v>
      </c>
      <c r="J855" t="s">
        <v>1266</v>
      </c>
      <c r="K855">
        <v>0.17142857142857101</v>
      </c>
      <c r="L855" t="s">
        <v>959</v>
      </c>
      <c r="M855">
        <v>0.76335877862595403</v>
      </c>
      <c r="N855" t="s">
        <v>987</v>
      </c>
      <c r="O855">
        <v>0</v>
      </c>
      <c r="P855">
        <v>0</v>
      </c>
      <c r="Q855" t="s">
        <v>5019</v>
      </c>
      <c r="R855">
        <v>0</v>
      </c>
    </row>
    <row r="856" spans="1:18" ht="16" x14ac:dyDescent="0.2">
      <c r="A856" s="127" t="s">
        <v>954</v>
      </c>
      <c r="B856" t="s">
        <v>430</v>
      </c>
      <c r="C856" t="s">
        <v>1995</v>
      </c>
      <c r="D856" t="s">
        <v>1996</v>
      </c>
      <c r="E856" t="s">
        <v>1039</v>
      </c>
      <c r="F856">
        <v>3</v>
      </c>
      <c r="G856">
        <v>2</v>
      </c>
      <c r="H856">
        <v>5.1735067651070503</v>
      </c>
      <c r="I856" t="s">
        <v>957</v>
      </c>
      <c r="J856" t="s">
        <v>1997</v>
      </c>
      <c r="K856">
        <v>0.121428571428571</v>
      </c>
      <c r="L856" t="s">
        <v>959</v>
      </c>
      <c r="M856">
        <v>2.2900763358778602</v>
      </c>
      <c r="N856" t="s">
        <v>960</v>
      </c>
      <c r="O856">
        <v>0</v>
      </c>
      <c r="P856">
        <v>0</v>
      </c>
      <c r="Q856" t="s">
        <v>5019</v>
      </c>
      <c r="R856">
        <v>0</v>
      </c>
    </row>
    <row r="857" spans="1:18" ht="16" x14ac:dyDescent="0.2">
      <c r="A857" s="127" t="s">
        <v>954</v>
      </c>
      <c r="B857" t="s">
        <v>430</v>
      </c>
      <c r="C857" t="s">
        <v>2005</v>
      </c>
      <c r="D857" t="s">
        <v>2006</v>
      </c>
      <c r="E857">
        <v>4</v>
      </c>
      <c r="F857">
        <v>4</v>
      </c>
      <c r="G857">
        <v>1</v>
      </c>
      <c r="H857">
        <v>5.9140139323921597</v>
      </c>
      <c r="I857" t="s">
        <v>957</v>
      </c>
      <c r="J857" t="s">
        <v>2007</v>
      </c>
      <c r="K857">
        <v>8.5714285714285701E-2</v>
      </c>
      <c r="L857" t="s">
        <v>959</v>
      </c>
      <c r="M857">
        <v>1.5267175572519101</v>
      </c>
      <c r="N857" t="s">
        <v>960</v>
      </c>
      <c r="O857">
        <v>0</v>
      </c>
      <c r="P857">
        <v>0</v>
      </c>
      <c r="Q857" t="s">
        <v>5019</v>
      </c>
      <c r="R857">
        <v>0</v>
      </c>
    </row>
    <row r="858" spans="1:18" ht="16" x14ac:dyDescent="0.2">
      <c r="A858" s="127" t="s">
        <v>954</v>
      </c>
      <c r="B858" t="s">
        <v>430</v>
      </c>
      <c r="C858" t="s">
        <v>3386</v>
      </c>
      <c r="D858" t="s">
        <v>3387</v>
      </c>
      <c r="E858" t="s">
        <v>1039</v>
      </c>
      <c r="F858">
        <v>3</v>
      </c>
      <c r="G858">
        <v>2</v>
      </c>
      <c r="H858">
        <v>6.61470698276253</v>
      </c>
      <c r="I858" t="s">
        <v>957</v>
      </c>
      <c r="J858" t="s">
        <v>3652</v>
      </c>
      <c r="K858">
        <v>4.2857142857142899E-2</v>
      </c>
      <c r="L858" t="s">
        <v>959</v>
      </c>
      <c r="M858">
        <v>1.5267175572519101</v>
      </c>
      <c r="N858" t="s">
        <v>960</v>
      </c>
      <c r="O858">
        <v>0</v>
      </c>
      <c r="P858">
        <v>0</v>
      </c>
      <c r="Q858" t="s">
        <v>5019</v>
      </c>
      <c r="R858">
        <v>0</v>
      </c>
    </row>
    <row r="859" spans="1:18" ht="16" x14ac:dyDescent="0.2">
      <c r="A859" s="127" t="s">
        <v>954</v>
      </c>
      <c r="B859" t="s">
        <v>430</v>
      </c>
      <c r="C859" t="s">
        <v>1138</v>
      </c>
      <c r="D859" t="s">
        <v>1139</v>
      </c>
      <c r="E859">
        <v>4</v>
      </c>
      <c r="F859">
        <v>4</v>
      </c>
      <c r="G859">
        <v>1</v>
      </c>
      <c r="H859">
        <v>4.7988576051362504</v>
      </c>
      <c r="I859" t="s">
        <v>957</v>
      </c>
      <c r="J859" t="s">
        <v>1571</v>
      </c>
      <c r="K859">
        <v>0.14285714285714299</v>
      </c>
      <c r="L859" t="s">
        <v>959</v>
      </c>
      <c r="M859">
        <v>2.2900763358778602</v>
      </c>
      <c r="N859" t="s">
        <v>960</v>
      </c>
      <c r="O859">
        <v>0</v>
      </c>
      <c r="P859">
        <v>0</v>
      </c>
      <c r="Q859" t="s">
        <v>5019</v>
      </c>
      <c r="R859">
        <v>0</v>
      </c>
    </row>
    <row r="860" spans="1:18" ht="16" x14ac:dyDescent="0.2">
      <c r="A860" s="127" t="s">
        <v>954</v>
      </c>
      <c r="B860" t="s">
        <v>430</v>
      </c>
      <c r="C860" t="s">
        <v>1889</v>
      </c>
      <c r="D860" t="s">
        <v>1890</v>
      </c>
      <c r="E860" t="s">
        <v>1265</v>
      </c>
      <c r="F860">
        <v>6</v>
      </c>
      <c r="G860">
        <v>2</v>
      </c>
      <c r="H860">
        <v>8.0118458889158699</v>
      </c>
      <c r="I860" t="s">
        <v>957</v>
      </c>
      <c r="J860" t="s">
        <v>1891</v>
      </c>
      <c r="K860">
        <v>7.8571428571428598E-2</v>
      </c>
      <c r="L860" t="s">
        <v>959</v>
      </c>
      <c r="M860">
        <v>1.5267175572519101</v>
      </c>
      <c r="N860" t="s">
        <v>960</v>
      </c>
      <c r="O860">
        <v>0</v>
      </c>
      <c r="P860">
        <v>0</v>
      </c>
      <c r="Q860" t="s">
        <v>5019</v>
      </c>
      <c r="R860">
        <v>0</v>
      </c>
    </row>
    <row r="861" spans="1:18" ht="16" x14ac:dyDescent="0.2">
      <c r="A861" s="127" t="s">
        <v>954</v>
      </c>
      <c r="B861" t="s">
        <v>430</v>
      </c>
      <c r="C861" t="s">
        <v>2517</v>
      </c>
      <c r="D861" t="s">
        <v>2518</v>
      </c>
      <c r="E861" t="s">
        <v>1102</v>
      </c>
      <c r="F861">
        <v>4</v>
      </c>
      <c r="G861">
        <v>2</v>
      </c>
      <c r="H861">
        <v>8.5409564579082495</v>
      </c>
      <c r="I861" t="s">
        <v>957</v>
      </c>
      <c r="J861" t="s">
        <v>2519</v>
      </c>
      <c r="K861">
        <v>0.121428571428571</v>
      </c>
      <c r="L861" t="s">
        <v>959</v>
      </c>
      <c r="M861">
        <v>0.76335877862595403</v>
      </c>
      <c r="N861" t="s">
        <v>960</v>
      </c>
      <c r="O861">
        <v>0</v>
      </c>
      <c r="P861">
        <v>0</v>
      </c>
      <c r="Q861" t="s">
        <v>5019</v>
      </c>
      <c r="R861">
        <v>0</v>
      </c>
    </row>
    <row r="862" spans="1:18" ht="16" x14ac:dyDescent="0.2">
      <c r="A862" s="127" t="s">
        <v>954</v>
      </c>
      <c r="B862" t="s">
        <v>430</v>
      </c>
      <c r="C862" t="s">
        <v>2980</v>
      </c>
      <c r="D862" t="s">
        <v>2981</v>
      </c>
      <c r="E862" t="s">
        <v>1039</v>
      </c>
      <c r="F862">
        <v>3</v>
      </c>
      <c r="G862">
        <v>2</v>
      </c>
      <c r="H862">
        <v>7.5671157867623702</v>
      </c>
      <c r="I862" t="s">
        <v>957</v>
      </c>
      <c r="J862" t="s">
        <v>2982</v>
      </c>
      <c r="K862">
        <v>6.4285714285714293E-2</v>
      </c>
      <c r="L862" t="s">
        <v>959</v>
      </c>
      <c r="M862">
        <v>0.76335877862595403</v>
      </c>
      <c r="N862" t="s">
        <v>960</v>
      </c>
      <c r="O862">
        <v>0</v>
      </c>
      <c r="P862">
        <v>0</v>
      </c>
      <c r="Q862" t="s">
        <v>5019</v>
      </c>
      <c r="R862">
        <v>0</v>
      </c>
    </row>
    <row r="863" spans="1:18" ht="16" x14ac:dyDescent="0.2">
      <c r="A863" s="127" t="s">
        <v>954</v>
      </c>
      <c r="B863" t="s">
        <v>430</v>
      </c>
      <c r="C863" t="s">
        <v>1611</v>
      </c>
      <c r="D863" t="s">
        <v>1612</v>
      </c>
      <c r="E863" t="s">
        <v>1613</v>
      </c>
      <c r="F863">
        <v>8</v>
      </c>
      <c r="G863">
        <v>3</v>
      </c>
      <c r="H863">
        <v>7.3806408257003904</v>
      </c>
      <c r="I863" t="s">
        <v>957</v>
      </c>
      <c r="J863" t="s">
        <v>1614</v>
      </c>
      <c r="K863">
        <v>0.114285714285714</v>
      </c>
      <c r="L863" t="s">
        <v>959</v>
      </c>
      <c r="M863">
        <v>0.76335877862595403</v>
      </c>
      <c r="N863" t="s">
        <v>960</v>
      </c>
      <c r="O863">
        <v>0</v>
      </c>
      <c r="P863">
        <v>0</v>
      </c>
      <c r="Q863" t="s">
        <v>5019</v>
      </c>
      <c r="R863">
        <v>0</v>
      </c>
    </row>
    <row r="864" spans="1:18" ht="16" x14ac:dyDescent="0.2">
      <c r="A864" s="127" t="s">
        <v>954</v>
      </c>
      <c r="B864" t="s">
        <v>430</v>
      </c>
      <c r="C864" t="s">
        <v>1852</v>
      </c>
      <c r="D864" t="s">
        <v>1853</v>
      </c>
      <c r="E864" t="s">
        <v>3023</v>
      </c>
      <c r="F864">
        <v>15</v>
      </c>
      <c r="G864">
        <v>3</v>
      </c>
      <c r="H864">
        <v>10.044820235203501</v>
      </c>
      <c r="I864" t="s">
        <v>957</v>
      </c>
      <c r="J864" t="s">
        <v>3024</v>
      </c>
      <c r="K864">
        <v>2.1428571428571401E-2</v>
      </c>
      <c r="L864" t="s">
        <v>959</v>
      </c>
      <c r="M864">
        <v>1.5267175572519101</v>
      </c>
      <c r="N864" t="s">
        <v>987</v>
      </c>
      <c r="O864">
        <v>0</v>
      </c>
      <c r="P864">
        <v>0</v>
      </c>
      <c r="Q864" t="s">
        <v>5019</v>
      </c>
      <c r="R864">
        <v>0</v>
      </c>
    </row>
    <row r="865" spans="1:18" ht="16" x14ac:dyDescent="0.2">
      <c r="A865" s="127" t="s">
        <v>954</v>
      </c>
      <c r="B865" t="s">
        <v>434</v>
      </c>
      <c r="C865" t="s">
        <v>2387</v>
      </c>
      <c r="D865" t="s">
        <v>2388</v>
      </c>
      <c r="E865">
        <v>12</v>
      </c>
      <c r="F865">
        <v>12</v>
      </c>
      <c r="G865">
        <v>1</v>
      </c>
      <c r="H865">
        <v>5.9350876723760804</v>
      </c>
      <c r="I865" t="s">
        <v>957</v>
      </c>
      <c r="J865" t="s">
        <v>2790</v>
      </c>
      <c r="K865">
        <v>2.1428571428571401E-2</v>
      </c>
      <c r="L865" t="s">
        <v>959</v>
      </c>
      <c r="M865">
        <v>2.2900763358778602</v>
      </c>
      <c r="N865" t="s">
        <v>960</v>
      </c>
      <c r="O865">
        <v>0</v>
      </c>
      <c r="P865">
        <v>0</v>
      </c>
      <c r="Q865">
        <v>0</v>
      </c>
      <c r="R865">
        <v>0</v>
      </c>
    </row>
    <row r="866" spans="1:18" ht="16" x14ac:dyDescent="0.2">
      <c r="A866" s="127" t="s">
        <v>954</v>
      </c>
      <c r="B866" t="s">
        <v>434</v>
      </c>
      <c r="C866" t="s">
        <v>1386</v>
      </c>
      <c r="D866" t="s">
        <v>1387</v>
      </c>
      <c r="E866">
        <v>3</v>
      </c>
      <c r="F866">
        <v>3</v>
      </c>
      <c r="G866">
        <v>1</v>
      </c>
      <c r="H866">
        <v>4.9485879556231902</v>
      </c>
      <c r="I866" t="s">
        <v>957</v>
      </c>
      <c r="J866" t="s">
        <v>1388</v>
      </c>
      <c r="K866">
        <v>3.5714285714285698E-2</v>
      </c>
      <c r="L866" t="s">
        <v>959</v>
      </c>
      <c r="M866">
        <v>2.2900763358778602</v>
      </c>
      <c r="N866" t="s">
        <v>960</v>
      </c>
      <c r="O866">
        <v>0</v>
      </c>
      <c r="P866">
        <v>0</v>
      </c>
      <c r="Q866">
        <v>0</v>
      </c>
      <c r="R866">
        <v>0</v>
      </c>
    </row>
    <row r="867" spans="1:18" ht="16" x14ac:dyDescent="0.2">
      <c r="A867" s="127" t="s">
        <v>954</v>
      </c>
      <c r="B867" t="s">
        <v>434</v>
      </c>
      <c r="C867" t="s">
        <v>3171</v>
      </c>
      <c r="D867" t="s">
        <v>3172</v>
      </c>
      <c r="E867">
        <v>5</v>
      </c>
      <c r="F867">
        <v>5</v>
      </c>
      <c r="G867">
        <v>1</v>
      </c>
      <c r="H867">
        <v>11.8321595661992</v>
      </c>
      <c r="I867" t="s">
        <v>957</v>
      </c>
      <c r="J867" t="s">
        <v>3173</v>
      </c>
      <c r="K867">
        <v>7.14285714285714E-3</v>
      </c>
      <c r="L867" t="s">
        <v>959</v>
      </c>
      <c r="M867">
        <v>0.76335877862595403</v>
      </c>
      <c r="N867" t="s">
        <v>960</v>
      </c>
      <c r="O867">
        <v>0</v>
      </c>
      <c r="P867">
        <v>0</v>
      </c>
      <c r="Q867">
        <v>0</v>
      </c>
      <c r="R867" t="s">
        <v>5019</v>
      </c>
    </row>
    <row r="868" spans="1:18" ht="16" x14ac:dyDescent="0.2">
      <c r="A868" s="127" t="s">
        <v>954</v>
      </c>
      <c r="B868" t="s">
        <v>434</v>
      </c>
      <c r="C868" t="s">
        <v>1777</v>
      </c>
      <c r="D868" t="s">
        <v>1778</v>
      </c>
      <c r="E868">
        <v>4</v>
      </c>
      <c r="F868">
        <v>4</v>
      </c>
      <c r="G868">
        <v>1</v>
      </c>
      <c r="H868">
        <v>11.8321595661992</v>
      </c>
      <c r="I868" t="s">
        <v>957</v>
      </c>
      <c r="J868" t="s">
        <v>1779</v>
      </c>
      <c r="K868">
        <v>7.14285714285714E-3</v>
      </c>
      <c r="L868" t="s">
        <v>959</v>
      </c>
      <c r="M868">
        <v>0.76335877862595403</v>
      </c>
      <c r="N868" t="s">
        <v>960</v>
      </c>
      <c r="O868">
        <v>0</v>
      </c>
      <c r="P868">
        <v>0</v>
      </c>
      <c r="Q868">
        <v>0</v>
      </c>
      <c r="R868">
        <v>0</v>
      </c>
    </row>
    <row r="869" spans="1:18" ht="16" x14ac:dyDescent="0.2">
      <c r="A869" s="127" t="s">
        <v>954</v>
      </c>
      <c r="B869" t="s">
        <v>438</v>
      </c>
      <c r="C869" t="s">
        <v>3049</v>
      </c>
      <c r="D869" t="s">
        <v>3050</v>
      </c>
      <c r="E869">
        <v>3</v>
      </c>
      <c r="F869">
        <v>3</v>
      </c>
      <c r="G869">
        <v>1</v>
      </c>
      <c r="H869">
        <v>4.1231056256176597</v>
      </c>
      <c r="I869" t="s">
        <v>957</v>
      </c>
      <c r="J869" t="s">
        <v>3051</v>
      </c>
      <c r="K869">
        <v>5.8823529411764698E-2</v>
      </c>
      <c r="L869" t="s">
        <v>1099</v>
      </c>
      <c r="M869">
        <v>0.76335877862595403</v>
      </c>
      <c r="N869" t="s">
        <v>973</v>
      </c>
      <c r="O869">
        <v>0</v>
      </c>
      <c r="P869">
        <v>0</v>
      </c>
      <c r="Q869">
        <v>0</v>
      </c>
      <c r="R869">
        <v>0</v>
      </c>
    </row>
    <row r="870" spans="1:18" ht="16" x14ac:dyDescent="0.2">
      <c r="A870" s="127" t="s">
        <v>954</v>
      </c>
      <c r="B870" t="s">
        <v>438</v>
      </c>
      <c r="C870" t="s">
        <v>1420</v>
      </c>
      <c r="D870" t="s">
        <v>1421</v>
      </c>
      <c r="E870">
        <v>4</v>
      </c>
      <c r="F870">
        <v>4</v>
      </c>
      <c r="G870">
        <v>1</v>
      </c>
      <c r="H870">
        <v>4.1231056256176499</v>
      </c>
      <c r="I870" t="s">
        <v>957</v>
      </c>
      <c r="J870" t="s">
        <v>1422</v>
      </c>
      <c r="K870">
        <v>5.8823529411764698E-2</v>
      </c>
      <c r="L870" t="s">
        <v>1099</v>
      </c>
      <c r="M870">
        <v>1.5267175572519101</v>
      </c>
      <c r="N870" t="s">
        <v>973</v>
      </c>
      <c r="O870">
        <v>0</v>
      </c>
      <c r="P870">
        <v>0</v>
      </c>
      <c r="Q870">
        <v>0</v>
      </c>
      <c r="R870">
        <v>0</v>
      </c>
    </row>
    <row r="871" spans="1:18" ht="16" x14ac:dyDescent="0.2">
      <c r="A871" s="127" t="s">
        <v>954</v>
      </c>
      <c r="B871" t="s">
        <v>438</v>
      </c>
      <c r="C871" t="s">
        <v>3748</v>
      </c>
      <c r="D871" t="s">
        <v>3749</v>
      </c>
      <c r="E871">
        <v>4</v>
      </c>
      <c r="F871">
        <v>4</v>
      </c>
      <c r="G871">
        <v>1</v>
      </c>
      <c r="H871">
        <v>4.1231056256176597</v>
      </c>
      <c r="I871" t="s">
        <v>957</v>
      </c>
      <c r="J871" t="s">
        <v>3750</v>
      </c>
      <c r="K871">
        <v>5.8823529411764698E-2</v>
      </c>
      <c r="L871" t="s">
        <v>1099</v>
      </c>
      <c r="M871">
        <v>0.76335877862595403</v>
      </c>
      <c r="N871" t="s">
        <v>973</v>
      </c>
      <c r="O871">
        <v>0</v>
      </c>
      <c r="P871">
        <v>0</v>
      </c>
      <c r="Q871">
        <v>0</v>
      </c>
      <c r="R871">
        <v>0</v>
      </c>
    </row>
    <row r="872" spans="1:18" ht="16" x14ac:dyDescent="0.2">
      <c r="A872" s="127" t="s">
        <v>954</v>
      </c>
      <c r="B872" t="s">
        <v>438</v>
      </c>
      <c r="C872" t="s">
        <v>1318</v>
      </c>
      <c r="D872" t="s">
        <v>1319</v>
      </c>
      <c r="E872">
        <v>3</v>
      </c>
      <c r="F872">
        <v>3</v>
      </c>
      <c r="G872">
        <v>1</v>
      </c>
      <c r="H872">
        <v>4.1231056256176597</v>
      </c>
      <c r="I872" t="s">
        <v>957</v>
      </c>
      <c r="J872" t="s">
        <v>1320</v>
      </c>
      <c r="K872">
        <v>5.8823529411764698E-2</v>
      </c>
      <c r="L872" t="s">
        <v>1099</v>
      </c>
      <c r="M872">
        <v>0.76335877862595403</v>
      </c>
      <c r="N872" t="s">
        <v>973</v>
      </c>
      <c r="O872">
        <v>0</v>
      </c>
      <c r="P872">
        <v>0</v>
      </c>
      <c r="Q872">
        <v>0</v>
      </c>
      <c r="R872">
        <v>0</v>
      </c>
    </row>
    <row r="873" spans="1:18" ht="16" x14ac:dyDescent="0.2">
      <c r="A873" s="127" t="s">
        <v>954</v>
      </c>
      <c r="B873" t="s">
        <v>438</v>
      </c>
      <c r="C873" t="s">
        <v>1241</v>
      </c>
      <c r="D873" t="s">
        <v>1242</v>
      </c>
      <c r="E873">
        <v>4</v>
      </c>
      <c r="F873">
        <v>4</v>
      </c>
      <c r="G873">
        <v>1</v>
      </c>
      <c r="H873">
        <v>6.2412007610831104</v>
      </c>
      <c r="I873" t="s">
        <v>957</v>
      </c>
      <c r="J873" t="s">
        <v>2817</v>
      </c>
      <c r="K873">
        <v>9.2857142857142902E-2</v>
      </c>
      <c r="L873" t="s">
        <v>959</v>
      </c>
      <c r="M873">
        <v>3.0534351145038201</v>
      </c>
      <c r="N873" t="s">
        <v>960</v>
      </c>
      <c r="O873">
        <v>0</v>
      </c>
      <c r="P873">
        <v>0</v>
      </c>
      <c r="Q873">
        <v>0</v>
      </c>
      <c r="R873">
        <v>0</v>
      </c>
    </row>
    <row r="874" spans="1:18" ht="16" x14ac:dyDescent="0.2">
      <c r="A874" s="127" t="s">
        <v>954</v>
      </c>
      <c r="B874" t="s">
        <v>442</v>
      </c>
      <c r="C874" t="s">
        <v>2869</v>
      </c>
      <c r="D874" t="s">
        <v>2870</v>
      </c>
      <c r="E874">
        <v>3</v>
      </c>
      <c r="F874">
        <v>3</v>
      </c>
      <c r="G874">
        <v>1</v>
      </c>
      <c r="H874">
        <v>9.2271210246703408</v>
      </c>
      <c r="I874" t="s">
        <v>957</v>
      </c>
      <c r="J874" t="s">
        <v>2871</v>
      </c>
      <c r="K874">
        <v>2.8571428571428598E-2</v>
      </c>
      <c r="L874" t="s">
        <v>959</v>
      </c>
      <c r="M874">
        <v>0.76335877862595403</v>
      </c>
      <c r="N874" t="s">
        <v>960</v>
      </c>
      <c r="O874">
        <v>0</v>
      </c>
      <c r="P874">
        <v>0</v>
      </c>
      <c r="Q874">
        <v>0</v>
      </c>
      <c r="R874">
        <v>0</v>
      </c>
    </row>
    <row r="875" spans="1:18" ht="16" x14ac:dyDescent="0.2">
      <c r="A875" s="127" t="s">
        <v>954</v>
      </c>
      <c r="B875" t="s">
        <v>442</v>
      </c>
      <c r="C875" t="s">
        <v>2893</v>
      </c>
      <c r="D875" t="s">
        <v>2894</v>
      </c>
      <c r="E875">
        <v>4</v>
      </c>
      <c r="F875">
        <v>4</v>
      </c>
      <c r="G875">
        <v>1</v>
      </c>
      <c r="H875">
        <v>4.73171241525867</v>
      </c>
      <c r="I875" t="s">
        <v>957</v>
      </c>
      <c r="J875" t="s">
        <v>2895</v>
      </c>
      <c r="K875">
        <v>0.2</v>
      </c>
      <c r="L875" t="s">
        <v>959</v>
      </c>
      <c r="M875">
        <v>0.76335877862595403</v>
      </c>
      <c r="N875" t="s">
        <v>960</v>
      </c>
      <c r="O875">
        <v>0</v>
      </c>
      <c r="P875">
        <v>0</v>
      </c>
      <c r="Q875">
        <v>0</v>
      </c>
      <c r="R875">
        <v>0</v>
      </c>
    </row>
    <row r="876" spans="1:18" ht="16" x14ac:dyDescent="0.2">
      <c r="A876" s="127" t="s">
        <v>954</v>
      </c>
      <c r="B876" t="s">
        <v>442</v>
      </c>
      <c r="C876" t="s">
        <v>2088</v>
      </c>
      <c r="D876" t="s">
        <v>2089</v>
      </c>
      <c r="E876">
        <v>4</v>
      </c>
      <c r="F876">
        <v>4</v>
      </c>
      <c r="G876">
        <v>1</v>
      </c>
      <c r="H876">
        <v>6.1465754870893399</v>
      </c>
      <c r="I876" t="s">
        <v>957</v>
      </c>
      <c r="J876" t="s">
        <v>2393</v>
      </c>
      <c r="K876">
        <v>7.8571428571428598E-2</v>
      </c>
      <c r="L876" t="s">
        <v>959</v>
      </c>
      <c r="M876">
        <v>1.5267175572519101</v>
      </c>
      <c r="N876" t="s">
        <v>960</v>
      </c>
      <c r="O876">
        <v>0</v>
      </c>
      <c r="P876">
        <v>0</v>
      </c>
      <c r="Q876">
        <v>0</v>
      </c>
      <c r="R876">
        <v>0</v>
      </c>
    </row>
    <row r="877" spans="1:18" ht="16" x14ac:dyDescent="0.2">
      <c r="A877" s="127" t="s">
        <v>954</v>
      </c>
      <c r="B877" t="s">
        <v>442</v>
      </c>
      <c r="C877" t="s">
        <v>2259</v>
      </c>
      <c r="E877">
        <v>4</v>
      </c>
      <c r="F877">
        <v>4</v>
      </c>
      <c r="G877">
        <v>1</v>
      </c>
      <c r="H877">
        <v>11.8321595661992</v>
      </c>
      <c r="I877" t="s">
        <v>957</v>
      </c>
      <c r="J877" t="s">
        <v>2260</v>
      </c>
      <c r="K877">
        <v>7.14285714285714E-3</v>
      </c>
      <c r="L877" t="s">
        <v>959</v>
      </c>
      <c r="M877">
        <v>0.76335877862595403</v>
      </c>
      <c r="N877" t="s">
        <v>960</v>
      </c>
      <c r="O877">
        <v>0</v>
      </c>
      <c r="P877">
        <v>0</v>
      </c>
      <c r="Q877">
        <v>0</v>
      </c>
      <c r="R877">
        <v>0</v>
      </c>
    </row>
    <row r="878" spans="1:18" ht="16" x14ac:dyDescent="0.2">
      <c r="A878" s="127" t="s">
        <v>954</v>
      </c>
      <c r="B878" t="s">
        <v>442</v>
      </c>
      <c r="C878" t="s">
        <v>2173</v>
      </c>
      <c r="D878" t="s">
        <v>2174</v>
      </c>
      <c r="E878">
        <v>4</v>
      </c>
      <c r="F878">
        <v>4</v>
      </c>
      <c r="G878">
        <v>1</v>
      </c>
      <c r="H878">
        <v>11.8321595661992</v>
      </c>
      <c r="I878" t="s">
        <v>957</v>
      </c>
      <c r="J878" t="s">
        <v>2175</v>
      </c>
      <c r="K878">
        <v>7.14285714285714E-3</v>
      </c>
      <c r="L878" t="s">
        <v>959</v>
      </c>
      <c r="M878">
        <v>0.76335877862595403</v>
      </c>
      <c r="N878" t="s">
        <v>960</v>
      </c>
      <c r="O878">
        <v>0</v>
      </c>
      <c r="P878">
        <v>0</v>
      </c>
      <c r="Q878">
        <v>0</v>
      </c>
      <c r="R878">
        <v>0</v>
      </c>
    </row>
    <row r="879" spans="1:18" ht="16" x14ac:dyDescent="0.2">
      <c r="A879" s="127" t="s">
        <v>954</v>
      </c>
      <c r="B879" t="s">
        <v>442</v>
      </c>
      <c r="C879" t="s">
        <v>3326</v>
      </c>
      <c r="D879" t="s">
        <v>3327</v>
      </c>
      <c r="E879" t="s">
        <v>3328</v>
      </c>
      <c r="F879">
        <v>8</v>
      </c>
      <c r="G879">
        <v>4</v>
      </c>
      <c r="H879">
        <v>11.8321595661992</v>
      </c>
      <c r="I879" t="s">
        <v>957</v>
      </c>
      <c r="J879" t="s">
        <v>3329</v>
      </c>
      <c r="K879">
        <v>7.14285714285714E-3</v>
      </c>
      <c r="L879" t="s">
        <v>959</v>
      </c>
      <c r="M879">
        <v>0.76335877862595403</v>
      </c>
      <c r="N879" t="s">
        <v>987</v>
      </c>
      <c r="O879">
        <v>0</v>
      </c>
      <c r="P879">
        <v>0</v>
      </c>
      <c r="Q879">
        <v>0</v>
      </c>
      <c r="R879">
        <v>0</v>
      </c>
    </row>
    <row r="880" spans="1:18" ht="16" x14ac:dyDescent="0.2">
      <c r="A880" s="127" t="s">
        <v>954</v>
      </c>
      <c r="B880" t="s">
        <v>442</v>
      </c>
      <c r="C880" t="s">
        <v>3092</v>
      </c>
      <c r="D880" t="s">
        <v>3093</v>
      </c>
      <c r="E880">
        <v>6</v>
      </c>
      <c r="F880">
        <v>6</v>
      </c>
      <c r="G880">
        <v>1</v>
      </c>
      <c r="H880">
        <v>5.7660702075239998</v>
      </c>
      <c r="I880" t="s">
        <v>957</v>
      </c>
      <c r="J880" t="s">
        <v>3094</v>
      </c>
      <c r="K880">
        <v>9.2857142857142902E-2</v>
      </c>
      <c r="L880" t="s">
        <v>959</v>
      </c>
      <c r="M880">
        <v>1.5267175572519101</v>
      </c>
      <c r="N880" t="s">
        <v>960</v>
      </c>
      <c r="O880">
        <v>0</v>
      </c>
      <c r="P880">
        <v>0</v>
      </c>
      <c r="Q880">
        <v>0</v>
      </c>
      <c r="R880">
        <v>0</v>
      </c>
    </row>
    <row r="881" spans="1:18" ht="16" x14ac:dyDescent="0.2">
      <c r="A881" s="127" t="s">
        <v>954</v>
      </c>
      <c r="B881" t="s">
        <v>442</v>
      </c>
      <c r="C881" t="s">
        <v>1503</v>
      </c>
      <c r="D881" t="s">
        <v>1504</v>
      </c>
      <c r="E881">
        <v>3</v>
      </c>
      <c r="F881">
        <v>3</v>
      </c>
      <c r="G881">
        <v>1</v>
      </c>
      <c r="H881">
        <v>6.8011400961845698</v>
      </c>
      <c r="I881" t="s">
        <v>957</v>
      </c>
      <c r="J881" t="s">
        <v>1505</v>
      </c>
      <c r="K881">
        <v>6.4285714285714293E-2</v>
      </c>
      <c r="L881" t="s">
        <v>959</v>
      </c>
      <c r="M881">
        <v>0.76335877862595403</v>
      </c>
      <c r="N881" t="s">
        <v>960</v>
      </c>
      <c r="O881">
        <v>0</v>
      </c>
      <c r="P881">
        <v>0</v>
      </c>
      <c r="Q881">
        <v>0</v>
      </c>
      <c r="R881">
        <v>0</v>
      </c>
    </row>
    <row r="882" spans="1:18" ht="16" x14ac:dyDescent="0.2">
      <c r="A882" s="127" t="s">
        <v>954</v>
      </c>
      <c r="B882" t="s">
        <v>442</v>
      </c>
      <c r="C882" t="s">
        <v>2057</v>
      </c>
      <c r="D882" t="s">
        <v>2058</v>
      </c>
      <c r="E882">
        <v>3</v>
      </c>
      <c r="F882">
        <v>3</v>
      </c>
      <c r="G882">
        <v>1</v>
      </c>
      <c r="H882">
        <v>4.7377211021507799</v>
      </c>
      <c r="I882" t="s">
        <v>957</v>
      </c>
      <c r="J882" t="s">
        <v>2059</v>
      </c>
      <c r="K882">
        <v>0.128571428571429</v>
      </c>
      <c r="L882" t="s">
        <v>959</v>
      </c>
      <c r="M882">
        <v>1.5267175572519101</v>
      </c>
      <c r="N882" t="s">
        <v>960</v>
      </c>
      <c r="O882">
        <v>0</v>
      </c>
      <c r="P882">
        <v>0</v>
      </c>
      <c r="Q882">
        <v>0</v>
      </c>
      <c r="R882">
        <v>0</v>
      </c>
    </row>
    <row r="883" spans="1:18" ht="16" x14ac:dyDescent="0.2">
      <c r="A883" s="127" t="s">
        <v>954</v>
      </c>
      <c r="B883" t="s">
        <v>442</v>
      </c>
      <c r="C883" t="s">
        <v>1490</v>
      </c>
      <c r="E883">
        <v>23</v>
      </c>
      <c r="F883">
        <v>23</v>
      </c>
      <c r="G883">
        <v>1</v>
      </c>
      <c r="H883">
        <v>11.8242232495301</v>
      </c>
      <c r="I883" t="s">
        <v>957</v>
      </c>
      <c r="J883" t="s">
        <v>1570</v>
      </c>
      <c r="K883">
        <v>2.1428571428571401E-2</v>
      </c>
      <c r="L883" t="s">
        <v>959</v>
      </c>
      <c r="M883">
        <v>1.5267175572519101</v>
      </c>
      <c r="N883" t="s">
        <v>960</v>
      </c>
      <c r="O883">
        <v>0</v>
      </c>
      <c r="P883">
        <v>0</v>
      </c>
      <c r="Q883">
        <v>0</v>
      </c>
      <c r="R883">
        <v>0</v>
      </c>
    </row>
    <row r="884" spans="1:18" ht="16" x14ac:dyDescent="0.2">
      <c r="A884" s="127" t="s">
        <v>954</v>
      </c>
      <c r="B884" t="s">
        <v>442</v>
      </c>
      <c r="C884" t="s">
        <v>2606</v>
      </c>
      <c r="D884" t="s">
        <v>2607</v>
      </c>
      <c r="E884" t="s">
        <v>1052</v>
      </c>
      <c r="F884">
        <v>2</v>
      </c>
      <c r="G884">
        <v>2</v>
      </c>
      <c r="H884">
        <v>11.8321595661992</v>
      </c>
      <c r="I884" t="s">
        <v>957</v>
      </c>
      <c r="J884" t="s">
        <v>2608</v>
      </c>
      <c r="K884">
        <v>7.14285714285714E-3</v>
      </c>
      <c r="L884" t="s">
        <v>959</v>
      </c>
      <c r="M884">
        <v>0.76335877862595403</v>
      </c>
      <c r="N884" t="s">
        <v>987</v>
      </c>
      <c r="O884">
        <v>0</v>
      </c>
      <c r="P884">
        <v>0</v>
      </c>
      <c r="Q884">
        <v>0</v>
      </c>
      <c r="R884">
        <v>0</v>
      </c>
    </row>
    <row r="885" spans="1:18" ht="16" x14ac:dyDescent="0.2">
      <c r="A885" s="127" t="s">
        <v>954</v>
      </c>
      <c r="B885" t="s">
        <v>442</v>
      </c>
      <c r="C885" t="s">
        <v>3608</v>
      </c>
      <c r="D885" t="s">
        <v>3609</v>
      </c>
      <c r="E885" t="s">
        <v>3610</v>
      </c>
      <c r="F885">
        <v>11</v>
      </c>
      <c r="G885">
        <v>2</v>
      </c>
      <c r="H885">
        <v>11.7115154212592</v>
      </c>
      <c r="I885" t="s">
        <v>957</v>
      </c>
      <c r="J885" t="s">
        <v>3611</v>
      </c>
      <c r="K885">
        <v>1.4285714285714299E-2</v>
      </c>
      <c r="L885" t="s">
        <v>959</v>
      </c>
      <c r="M885">
        <v>0.76335877862595403</v>
      </c>
      <c r="N885" t="s">
        <v>960</v>
      </c>
      <c r="O885">
        <v>0</v>
      </c>
      <c r="P885">
        <v>0</v>
      </c>
      <c r="Q885">
        <v>0</v>
      </c>
      <c r="R885">
        <v>0</v>
      </c>
    </row>
    <row r="886" spans="1:18" ht="16" x14ac:dyDescent="0.2">
      <c r="A886" s="127" t="s">
        <v>954</v>
      </c>
      <c r="B886" t="s">
        <v>442</v>
      </c>
      <c r="C886" t="s">
        <v>2131</v>
      </c>
      <c r="D886" t="s">
        <v>2132</v>
      </c>
      <c r="E886">
        <v>3</v>
      </c>
      <c r="F886">
        <v>3</v>
      </c>
      <c r="G886">
        <v>1</v>
      </c>
      <c r="H886">
        <v>11.738191615792701</v>
      </c>
      <c r="I886" t="s">
        <v>957</v>
      </c>
      <c r="J886" t="s">
        <v>2133</v>
      </c>
      <c r="K886">
        <v>1.4285714285714299E-2</v>
      </c>
      <c r="L886" t="s">
        <v>959</v>
      </c>
      <c r="M886">
        <v>0.76335877862595403</v>
      </c>
      <c r="N886" t="s">
        <v>960</v>
      </c>
      <c r="O886">
        <v>0</v>
      </c>
      <c r="P886">
        <v>0</v>
      </c>
      <c r="Q886">
        <v>0</v>
      </c>
      <c r="R886">
        <v>0</v>
      </c>
    </row>
    <row r="887" spans="1:18" ht="16" x14ac:dyDescent="0.2">
      <c r="A887" s="127" t="s">
        <v>954</v>
      </c>
      <c r="B887" t="s">
        <v>442</v>
      </c>
      <c r="C887" t="s">
        <v>3057</v>
      </c>
      <c r="D887" t="s">
        <v>3058</v>
      </c>
      <c r="E887">
        <v>3</v>
      </c>
      <c r="F887">
        <v>3</v>
      </c>
      <c r="G887">
        <v>1</v>
      </c>
      <c r="H887">
        <v>5.2455067091183798</v>
      </c>
      <c r="I887" t="s">
        <v>957</v>
      </c>
      <c r="J887" t="s">
        <v>3389</v>
      </c>
      <c r="K887">
        <v>1.4285714285714299E-2</v>
      </c>
      <c r="L887" t="s">
        <v>959</v>
      </c>
      <c r="M887">
        <v>1.5267175572519101</v>
      </c>
      <c r="N887" t="s">
        <v>960</v>
      </c>
      <c r="O887">
        <v>0</v>
      </c>
      <c r="P887">
        <v>0</v>
      </c>
      <c r="Q887">
        <v>0</v>
      </c>
      <c r="R887">
        <v>0</v>
      </c>
    </row>
    <row r="888" spans="1:18" ht="16" x14ac:dyDescent="0.2">
      <c r="A888" s="127" t="s">
        <v>954</v>
      </c>
      <c r="B888" t="s">
        <v>442</v>
      </c>
      <c r="C888" t="s">
        <v>3502</v>
      </c>
      <c r="D888" t="s">
        <v>3503</v>
      </c>
      <c r="E888" t="s">
        <v>3504</v>
      </c>
      <c r="F888">
        <v>40</v>
      </c>
      <c r="G888">
        <v>7</v>
      </c>
      <c r="H888">
        <v>5.38516480713451</v>
      </c>
      <c r="I888" t="s">
        <v>957</v>
      </c>
      <c r="J888" t="s">
        <v>3505</v>
      </c>
      <c r="K888" t="s">
        <v>2299</v>
      </c>
      <c r="L888" t="s">
        <v>2024</v>
      </c>
      <c r="M888">
        <v>0.76335877862595403</v>
      </c>
      <c r="N888" t="s">
        <v>987</v>
      </c>
      <c r="O888">
        <v>0</v>
      </c>
      <c r="P888">
        <v>0</v>
      </c>
      <c r="Q888">
        <v>0</v>
      </c>
      <c r="R888">
        <v>0</v>
      </c>
    </row>
    <row r="889" spans="1:18" ht="16" x14ac:dyDescent="0.2">
      <c r="A889" s="127" t="s">
        <v>954</v>
      </c>
      <c r="B889" t="s">
        <v>442</v>
      </c>
      <c r="C889" t="s">
        <v>3139</v>
      </c>
      <c r="D889" t="s">
        <v>3140</v>
      </c>
      <c r="E889" t="s">
        <v>3141</v>
      </c>
      <c r="F889">
        <v>11</v>
      </c>
      <c r="G889">
        <v>3</v>
      </c>
      <c r="H889">
        <v>5.3851648071345002</v>
      </c>
      <c r="I889" t="s">
        <v>957</v>
      </c>
      <c r="J889" t="s">
        <v>3142</v>
      </c>
      <c r="K889" t="s">
        <v>2299</v>
      </c>
      <c r="L889" t="s">
        <v>2024</v>
      </c>
      <c r="M889">
        <v>0.76335877862595403</v>
      </c>
      <c r="N889" t="s">
        <v>987</v>
      </c>
      <c r="O889">
        <v>0</v>
      </c>
      <c r="P889">
        <v>0</v>
      </c>
      <c r="Q889">
        <v>0</v>
      </c>
      <c r="R889">
        <v>0</v>
      </c>
    </row>
    <row r="890" spans="1:18" ht="16" x14ac:dyDescent="0.2">
      <c r="A890" s="127" t="s">
        <v>954</v>
      </c>
      <c r="B890" t="s">
        <v>442</v>
      </c>
      <c r="C890" t="s">
        <v>2476</v>
      </c>
      <c r="D890" t="s">
        <v>2477</v>
      </c>
      <c r="E890">
        <v>4</v>
      </c>
      <c r="F890">
        <v>4</v>
      </c>
      <c r="G890">
        <v>1</v>
      </c>
      <c r="H890">
        <v>5.65178017216531</v>
      </c>
      <c r="I890" t="s">
        <v>957</v>
      </c>
      <c r="J890" t="s">
        <v>3488</v>
      </c>
      <c r="K890">
        <v>0.14285714285714299</v>
      </c>
      <c r="L890" t="s">
        <v>959</v>
      </c>
      <c r="M890">
        <v>1.5267175572519101</v>
      </c>
      <c r="N890" t="s">
        <v>960</v>
      </c>
      <c r="O890">
        <v>0</v>
      </c>
      <c r="P890">
        <v>0</v>
      </c>
      <c r="Q890">
        <v>0</v>
      </c>
      <c r="R890">
        <v>0</v>
      </c>
    </row>
    <row r="891" spans="1:18" ht="16" x14ac:dyDescent="0.2">
      <c r="A891" s="127" t="s">
        <v>954</v>
      </c>
      <c r="B891" t="s">
        <v>442</v>
      </c>
      <c r="C891" t="s">
        <v>1512</v>
      </c>
      <c r="D891" t="s">
        <v>1513</v>
      </c>
      <c r="E891">
        <v>7</v>
      </c>
      <c r="F891">
        <v>7</v>
      </c>
      <c r="G891">
        <v>1</v>
      </c>
      <c r="H891">
        <v>6.0727056481946002</v>
      </c>
      <c r="I891" t="s">
        <v>957</v>
      </c>
      <c r="J891" t="s">
        <v>1539</v>
      </c>
      <c r="K891">
        <v>0.185714285714286</v>
      </c>
      <c r="L891" t="s">
        <v>959</v>
      </c>
      <c r="M891">
        <v>1.5267175572519101</v>
      </c>
      <c r="N891" t="s">
        <v>960</v>
      </c>
      <c r="O891">
        <v>0</v>
      </c>
      <c r="P891">
        <v>0</v>
      </c>
      <c r="Q891">
        <v>0</v>
      </c>
      <c r="R891">
        <v>0</v>
      </c>
    </row>
    <row r="892" spans="1:18" ht="16" x14ac:dyDescent="0.2">
      <c r="A892" s="127" t="s">
        <v>954</v>
      </c>
      <c r="B892" t="s">
        <v>442</v>
      </c>
      <c r="C892" t="s">
        <v>2818</v>
      </c>
      <c r="D892" t="s">
        <v>2819</v>
      </c>
      <c r="E892" t="s">
        <v>1816</v>
      </c>
      <c r="F892">
        <v>4</v>
      </c>
      <c r="G892">
        <v>3</v>
      </c>
      <c r="H892">
        <v>4.9223761663617598</v>
      </c>
      <c r="I892" t="s">
        <v>957</v>
      </c>
      <c r="J892" t="s">
        <v>2820</v>
      </c>
      <c r="K892">
        <v>0.13571428571428601</v>
      </c>
      <c r="L892" t="s">
        <v>959</v>
      </c>
      <c r="M892">
        <v>1.5267175572519101</v>
      </c>
      <c r="N892" t="s">
        <v>960</v>
      </c>
      <c r="O892">
        <v>0</v>
      </c>
      <c r="P892">
        <v>0</v>
      </c>
      <c r="Q892">
        <v>0</v>
      </c>
      <c r="R892">
        <v>0</v>
      </c>
    </row>
    <row r="893" spans="1:18" ht="16" x14ac:dyDescent="0.2">
      <c r="A893" s="127" t="s">
        <v>954</v>
      </c>
      <c r="B893" t="s">
        <v>446</v>
      </c>
      <c r="C893" t="s">
        <v>3286</v>
      </c>
      <c r="D893" t="s">
        <v>3287</v>
      </c>
      <c r="E893">
        <v>3</v>
      </c>
      <c r="F893">
        <v>3</v>
      </c>
      <c r="G893">
        <v>1</v>
      </c>
      <c r="H893">
        <v>5.70064909965759</v>
      </c>
      <c r="I893" t="s">
        <v>957</v>
      </c>
      <c r="J893" t="s">
        <v>3288</v>
      </c>
      <c r="K893">
        <v>6.4285714285714293E-2</v>
      </c>
      <c r="L893" t="s">
        <v>959</v>
      </c>
      <c r="M893">
        <v>1.5267175572519101</v>
      </c>
      <c r="N893" t="s">
        <v>982</v>
      </c>
      <c r="O893">
        <v>0</v>
      </c>
      <c r="P893">
        <v>0</v>
      </c>
      <c r="Q893">
        <v>0</v>
      </c>
      <c r="R893">
        <v>0</v>
      </c>
    </row>
    <row r="894" spans="1:18" ht="16" x14ac:dyDescent="0.2">
      <c r="A894" s="127" t="s">
        <v>954</v>
      </c>
      <c r="B894" t="s">
        <v>446</v>
      </c>
      <c r="C894" t="s">
        <v>1430</v>
      </c>
      <c r="D894" t="s">
        <v>1765</v>
      </c>
      <c r="E894">
        <v>5</v>
      </c>
      <c r="F894">
        <v>5</v>
      </c>
      <c r="G894">
        <v>1</v>
      </c>
      <c r="H894">
        <v>5.7812575954101897</v>
      </c>
      <c r="I894" t="s">
        <v>957</v>
      </c>
      <c r="J894" t="s">
        <v>1766</v>
      </c>
      <c r="K894">
        <v>0.15</v>
      </c>
      <c r="L894" t="s">
        <v>959</v>
      </c>
      <c r="M894">
        <v>2.2900763358778602</v>
      </c>
      <c r="N894" t="s">
        <v>960</v>
      </c>
      <c r="O894">
        <v>0</v>
      </c>
      <c r="P894">
        <v>0</v>
      </c>
      <c r="Q894">
        <v>0</v>
      </c>
      <c r="R894">
        <v>0</v>
      </c>
    </row>
    <row r="895" spans="1:18" ht="16" x14ac:dyDescent="0.2">
      <c r="A895" s="127" t="s">
        <v>954</v>
      </c>
      <c r="B895" t="s">
        <v>446</v>
      </c>
      <c r="C895" t="s">
        <v>955</v>
      </c>
      <c r="D895" t="s">
        <v>956</v>
      </c>
      <c r="E895">
        <v>4</v>
      </c>
      <c r="F895">
        <v>4</v>
      </c>
      <c r="G895">
        <v>1</v>
      </c>
      <c r="H895">
        <v>6.51267385926384</v>
      </c>
      <c r="I895" t="s">
        <v>957</v>
      </c>
      <c r="J895" t="s">
        <v>1968</v>
      </c>
      <c r="K895">
        <v>7.1428571428571397E-2</v>
      </c>
      <c r="L895" t="s">
        <v>959</v>
      </c>
      <c r="M895">
        <v>3.0534351145038201</v>
      </c>
      <c r="N895" t="s">
        <v>960</v>
      </c>
      <c r="O895">
        <v>0</v>
      </c>
      <c r="P895">
        <v>0</v>
      </c>
      <c r="Q895">
        <v>0</v>
      </c>
      <c r="R895">
        <v>0</v>
      </c>
    </row>
    <row r="896" spans="1:18" ht="16" x14ac:dyDescent="0.2">
      <c r="A896" s="127" t="s">
        <v>954</v>
      </c>
      <c r="B896" t="s">
        <v>450</v>
      </c>
      <c r="C896" t="s">
        <v>1885</v>
      </c>
      <c r="D896" t="s">
        <v>1886</v>
      </c>
      <c r="E896" t="s">
        <v>1887</v>
      </c>
      <c r="F896">
        <v>9</v>
      </c>
      <c r="G896">
        <v>2</v>
      </c>
      <c r="H896">
        <v>4.7418968011402498</v>
      </c>
      <c r="I896" t="s">
        <v>957</v>
      </c>
      <c r="J896" t="s">
        <v>1888</v>
      </c>
      <c r="K896">
        <v>3.5714285714285698E-2</v>
      </c>
      <c r="L896" t="s">
        <v>959</v>
      </c>
      <c r="M896">
        <v>2.2900763358778602</v>
      </c>
      <c r="N896" t="s">
        <v>960</v>
      </c>
      <c r="O896">
        <v>0</v>
      </c>
      <c r="P896" t="s">
        <v>5018</v>
      </c>
      <c r="Q896">
        <v>0</v>
      </c>
      <c r="R896">
        <v>0</v>
      </c>
    </row>
    <row r="897" spans="1:18" ht="16" x14ac:dyDescent="0.2">
      <c r="A897" s="127" t="s">
        <v>954</v>
      </c>
      <c r="B897" t="s">
        <v>450</v>
      </c>
      <c r="C897" t="s">
        <v>3473</v>
      </c>
      <c r="D897" t="s">
        <v>3474</v>
      </c>
      <c r="E897" t="s">
        <v>2945</v>
      </c>
      <c r="F897">
        <v>10</v>
      </c>
      <c r="G897">
        <v>2</v>
      </c>
      <c r="H897">
        <v>11.546168798078799</v>
      </c>
      <c r="I897" t="s">
        <v>957</v>
      </c>
      <c r="J897" t="s">
        <v>3475</v>
      </c>
      <c r="K897">
        <v>1.4285714285714299E-2</v>
      </c>
      <c r="L897" t="s">
        <v>959</v>
      </c>
      <c r="M897">
        <v>0.76335877862595403</v>
      </c>
      <c r="N897" t="s">
        <v>960</v>
      </c>
      <c r="O897">
        <v>0</v>
      </c>
      <c r="P897">
        <v>0</v>
      </c>
      <c r="Q897">
        <v>0</v>
      </c>
      <c r="R897">
        <v>0</v>
      </c>
    </row>
    <row r="898" spans="1:18" ht="16" x14ac:dyDescent="0.2">
      <c r="A898" s="127" t="s">
        <v>954</v>
      </c>
      <c r="B898" t="s">
        <v>450</v>
      </c>
      <c r="C898" t="s">
        <v>1922</v>
      </c>
      <c r="D898" t="s">
        <v>1923</v>
      </c>
      <c r="E898" t="s">
        <v>1924</v>
      </c>
      <c r="F898">
        <v>16</v>
      </c>
      <c r="G898">
        <v>2</v>
      </c>
      <c r="H898">
        <v>10.605878528655399</v>
      </c>
      <c r="I898" t="s">
        <v>957</v>
      </c>
      <c r="J898" t="s">
        <v>1925</v>
      </c>
      <c r="K898">
        <v>1.4285714285714299E-2</v>
      </c>
      <c r="L898" t="s">
        <v>959</v>
      </c>
      <c r="M898">
        <v>1.5267175572519101</v>
      </c>
      <c r="N898" t="s">
        <v>960</v>
      </c>
      <c r="O898">
        <v>0</v>
      </c>
      <c r="P898" t="s">
        <v>5017</v>
      </c>
      <c r="Q898">
        <v>0</v>
      </c>
      <c r="R898">
        <v>0</v>
      </c>
    </row>
    <row r="899" spans="1:18" ht="16" x14ac:dyDescent="0.2">
      <c r="A899" s="127" t="s">
        <v>954</v>
      </c>
      <c r="B899" t="s">
        <v>450</v>
      </c>
      <c r="C899" t="s">
        <v>454</v>
      </c>
      <c r="D899" t="s">
        <v>2474</v>
      </c>
      <c r="E899">
        <v>1</v>
      </c>
      <c r="F899">
        <v>1</v>
      </c>
      <c r="G899">
        <v>2</v>
      </c>
      <c r="H899">
        <v>11.8321595661992</v>
      </c>
      <c r="I899" t="s">
        <v>957</v>
      </c>
      <c r="J899" t="s">
        <v>2475</v>
      </c>
      <c r="K899">
        <v>7.14285714285714E-3</v>
      </c>
      <c r="L899" t="s">
        <v>959</v>
      </c>
      <c r="M899">
        <v>0.76335877862595403</v>
      </c>
      <c r="N899" t="s">
        <v>960</v>
      </c>
      <c r="O899">
        <v>0</v>
      </c>
      <c r="P899">
        <v>0</v>
      </c>
      <c r="Q899">
        <v>0</v>
      </c>
      <c r="R899">
        <v>0</v>
      </c>
    </row>
    <row r="900" spans="1:18" ht="16" x14ac:dyDescent="0.2">
      <c r="A900" s="127" t="s">
        <v>954</v>
      </c>
      <c r="B900" t="s">
        <v>450</v>
      </c>
      <c r="C900" t="s">
        <v>1222</v>
      </c>
      <c r="D900" t="s">
        <v>1223</v>
      </c>
      <c r="E900" t="s">
        <v>2219</v>
      </c>
      <c r="F900">
        <v>39</v>
      </c>
      <c r="G900">
        <v>3</v>
      </c>
      <c r="H900">
        <v>10.314201845858999</v>
      </c>
      <c r="I900" t="s">
        <v>957</v>
      </c>
      <c r="J900" t="s">
        <v>2220</v>
      </c>
      <c r="K900">
        <v>7.8571428571428598E-2</v>
      </c>
      <c r="L900" t="s">
        <v>959</v>
      </c>
      <c r="M900">
        <v>1.5267175572519101</v>
      </c>
      <c r="N900" t="s">
        <v>960</v>
      </c>
      <c r="O900">
        <v>0</v>
      </c>
      <c r="P900">
        <v>0</v>
      </c>
      <c r="Q900">
        <v>0</v>
      </c>
      <c r="R900">
        <v>0</v>
      </c>
    </row>
    <row r="901" spans="1:18" ht="16" x14ac:dyDescent="0.2">
      <c r="A901" s="127" t="s">
        <v>954</v>
      </c>
      <c r="B901" t="s">
        <v>454</v>
      </c>
      <c r="C901" t="s">
        <v>1751</v>
      </c>
      <c r="D901" t="s">
        <v>1752</v>
      </c>
      <c r="E901">
        <v>4</v>
      </c>
      <c r="F901">
        <v>4</v>
      </c>
      <c r="G901">
        <v>1</v>
      </c>
      <c r="H901">
        <v>5.9741258101075196</v>
      </c>
      <c r="I901" t="s">
        <v>957</v>
      </c>
      <c r="J901" t="s">
        <v>1753</v>
      </c>
      <c r="K901">
        <v>7.1428571428571397E-2</v>
      </c>
      <c r="L901" t="s">
        <v>959</v>
      </c>
      <c r="M901">
        <v>1.5267175572519101</v>
      </c>
      <c r="N901" t="s">
        <v>960</v>
      </c>
      <c r="O901">
        <v>0</v>
      </c>
      <c r="P901">
        <v>0</v>
      </c>
      <c r="Q901">
        <v>0</v>
      </c>
      <c r="R901">
        <v>0</v>
      </c>
    </row>
    <row r="902" spans="1:18" ht="16" x14ac:dyDescent="0.2">
      <c r="A902" s="127" t="s">
        <v>954</v>
      </c>
      <c r="B902" t="s">
        <v>454</v>
      </c>
      <c r="C902" t="s">
        <v>2510</v>
      </c>
      <c r="D902" t="s">
        <v>2511</v>
      </c>
      <c r="E902">
        <v>3</v>
      </c>
      <c r="F902">
        <v>3</v>
      </c>
      <c r="G902">
        <v>1</v>
      </c>
      <c r="H902">
        <v>5.4447511404536897</v>
      </c>
      <c r="I902" t="s">
        <v>957</v>
      </c>
      <c r="J902" t="s">
        <v>3628</v>
      </c>
      <c r="K902">
        <v>9.2857142857142902E-2</v>
      </c>
      <c r="L902" t="s">
        <v>959</v>
      </c>
      <c r="M902">
        <v>2.2900763358778602</v>
      </c>
      <c r="N902" t="s">
        <v>960</v>
      </c>
      <c r="O902">
        <v>0</v>
      </c>
      <c r="P902">
        <v>0</v>
      </c>
      <c r="Q902">
        <v>0</v>
      </c>
      <c r="R902">
        <v>0</v>
      </c>
    </row>
    <row r="903" spans="1:18" ht="16" x14ac:dyDescent="0.2">
      <c r="A903" s="127" t="s">
        <v>954</v>
      </c>
      <c r="B903" t="s">
        <v>454</v>
      </c>
      <c r="C903" t="s">
        <v>3532</v>
      </c>
      <c r="D903" t="s">
        <v>3533</v>
      </c>
      <c r="E903" t="s">
        <v>1488</v>
      </c>
      <c r="F903">
        <v>8</v>
      </c>
      <c r="G903">
        <v>2</v>
      </c>
      <c r="H903">
        <v>3.8729833462074099</v>
      </c>
      <c r="I903" t="s">
        <v>957</v>
      </c>
      <c r="J903" t="s">
        <v>3534</v>
      </c>
      <c r="K903">
        <v>6.6666666666666693E-2</v>
      </c>
      <c r="L903" t="s">
        <v>1004</v>
      </c>
      <c r="M903">
        <v>0.76335877862595403</v>
      </c>
      <c r="N903" t="s">
        <v>1005</v>
      </c>
      <c r="O903">
        <v>0</v>
      </c>
      <c r="P903">
        <v>0</v>
      </c>
      <c r="Q903">
        <v>0</v>
      </c>
      <c r="R903">
        <v>0</v>
      </c>
    </row>
    <row r="904" spans="1:18" ht="16" x14ac:dyDescent="0.2">
      <c r="A904" s="127" t="s">
        <v>954</v>
      </c>
      <c r="B904" t="s">
        <v>454</v>
      </c>
      <c r="C904" t="s">
        <v>3582</v>
      </c>
      <c r="D904" t="s">
        <v>3583</v>
      </c>
      <c r="E904" t="s">
        <v>3584</v>
      </c>
      <c r="F904">
        <v>8</v>
      </c>
      <c r="G904">
        <v>2</v>
      </c>
      <c r="H904">
        <v>3.8729833462074201</v>
      </c>
      <c r="I904" t="s">
        <v>957</v>
      </c>
      <c r="J904" t="s">
        <v>3585</v>
      </c>
      <c r="K904">
        <v>6.6666666666666693E-2</v>
      </c>
      <c r="L904" t="s">
        <v>1004</v>
      </c>
      <c r="M904">
        <v>0.76335877862595403</v>
      </c>
      <c r="N904" t="s">
        <v>1005</v>
      </c>
      <c r="O904">
        <v>0</v>
      </c>
      <c r="P904">
        <v>0</v>
      </c>
      <c r="Q904">
        <v>0</v>
      </c>
      <c r="R904">
        <v>0</v>
      </c>
    </row>
    <row r="905" spans="1:18" ht="16" x14ac:dyDescent="0.2">
      <c r="A905" s="127" t="s">
        <v>954</v>
      </c>
      <c r="B905" t="s">
        <v>454</v>
      </c>
      <c r="C905" t="s">
        <v>3290</v>
      </c>
      <c r="D905" t="s">
        <v>3291</v>
      </c>
      <c r="E905" t="s">
        <v>3292</v>
      </c>
      <c r="F905">
        <v>26</v>
      </c>
      <c r="G905">
        <v>2</v>
      </c>
      <c r="H905">
        <v>3.8516872004905101</v>
      </c>
      <c r="I905" t="s">
        <v>957</v>
      </c>
      <c r="J905" t="s">
        <v>3293</v>
      </c>
      <c r="K905">
        <v>0.4</v>
      </c>
      <c r="L905" t="s">
        <v>1004</v>
      </c>
      <c r="M905">
        <v>0.76335877862595403</v>
      </c>
      <c r="N905" t="s">
        <v>1005</v>
      </c>
      <c r="O905">
        <v>0</v>
      </c>
      <c r="P905">
        <v>0</v>
      </c>
      <c r="Q905">
        <v>0</v>
      </c>
      <c r="R905">
        <v>0</v>
      </c>
    </row>
    <row r="906" spans="1:18" ht="16" x14ac:dyDescent="0.2">
      <c r="A906" s="127" t="s">
        <v>954</v>
      </c>
      <c r="B906" t="s">
        <v>454</v>
      </c>
      <c r="C906" t="s">
        <v>2924</v>
      </c>
      <c r="D906" t="s">
        <v>2925</v>
      </c>
      <c r="E906">
        <v>3</v>
      </c>
      <c r="F906">
        <v>3</v>
      </c>
      <c r="G906">
        <v>1</v>
      </c>
      <c r="H906">
        <v>11.246412354404701</v>
      </c>
      <c r="I906" t="s">
        <v>957</v>
      </c>
      <c r="J906" t="s">
        <v>2926</v>
      </c>
      <c r="K906">
        <v>1.4285714285714299E-2</v>
      </c>
      <c r="L906" t="s">
        <v>959</v>
      </c>
      <c r="M906">
        <v>0.76335877862595403</v>
      </c>
      <c r="N906" t="s">
        <v>960</v>
      </c>
      <c r="O906">
        <v>0</v>
      </c>
      <c r="P906">
        <v>0</v>
      </c>
      <c r="Q906">
        <v>0</v>
      </c>
      <c r="R906">
        <v>0</v>
      </c>
    </row>
    <row r="907" spans="1:18" ht="16" x14ac:dyDescent="0.2">
      <c r="A907" s="127" t="s">
        <v>954</v>
      </c>
      <c r="B907" t="s">
        <v>454</v>
      </c>
      <c r="C907" t="s">
        <v>1564</v>
      </c>
      <c r="D907" t="s">
        <v>1565</v>
      </c>
      <c r="E907">
        <v>3</v>
      </c>
      <c r="F907">
        <v>3</v>
      </c>
      <c r="G907">
        <v>1</v>
      </c>
      <c r="H907">
        <v>4.8821908631416999</v>
      </c>
      <c r="I907" t="s">
        <v>957</v>
      </c>
      <c r="J907" t="s">
        <v>3025</v>
      </c>
      <c r="K907">
        <v>8.5714285714285701E-2</v>
      </c>
      <c r="L907" t="s">
        <v>959</v>
      </c>
      <c r="M907">
        <v>2.2900763358778602</v>
      </c>
      <c r="N907" t="s">
        <v>960</v>
      </c>
      <c r="O907">
        <v>0</v>
      </c>
      <c r="P907">
        <v>0</v>
      </c>
      <c r="Q907">
        <v>0</v>
      </c>
      <c r="R907">
        <v>0</v>
      </c>
    </row>
    <row r="908" spans="1:18" ht="16" x14ac:dyDescent="0.2">
      <c r="A908" s="127" t="s">
        <v>954</v>
      </c>
      <c r="B908" t="s">
        <v>454</v>
      </c>
      <c r="C908" t="s">
        <v>2491</v>
      </c>
      <c r="D908" t="s">
        <v>2492</v>
      </c>
      <c r="E908" t="s">
        <v>1442</v>
      </c>
      <c r="F908">
        <v>5</v>
      </c>
      <c r="G908">
        <v>2</v>
      </c>
      <c r="H908">
        <v>3.81296061146345</v>
      </c>
      <c r="I908" t="s">
        <v>957</v>
      </c>
      <c r="J908" t="s">
        <v>3147</v>
      </c>
      <c r="K908">
        <v>0.2</v>
      </c>
      <c r="L908" t="s">
        <v>1004</v>
      </c>
      <c r="M908">
        <v>2.2900763358778602</v>
      </c>
      <c r="N908" t="s">
        <v>1005</v>
      </c>
      <c r="O908">
        <v>0</v>
      </c>
      <c r="P908">
        <v>0</v>
      </c>
      <c r="Q908">
        <v>0</v>
      </c>
      <c r="R908">
        <v>0</v>
      </c>
    </row>
    <row r="909" spans="1:18" ht="16" x14ac:dyDescent="0.2">
      <c r="A909" s="127" t="s">
        <v>954</v>
      </c>
      <c r="B909" t="s">
        <v>454</v>
      </c>
      <c r="C909" t="s">
        <v>3062</v>
      </c>
      <c r="D909" t="s">
        <v>3063</v>
      </c>
      <c r="E909" t="s">
        <v>3064</v>
      </c>
      <c r="F909">
        <v>37</v>
      </c>
      <c r="G909">
        <v>2</v>
      </c>
      <c r="H909">
        <v>3.8515182135636499</v>
      </c>
      <c r="I909" t="s">
        <v>957</v>
      </c>
      <c r="J909" t="s">
        <v>3065</v>
      </c>
      <c r="K909">
        <v>0.33333333333333298</v>
      </c>
      <c r="L909" t="s">
        <v>1004</v>
      </c>
      <c r="M909">
        <v>0.76335877862595403</v>
      </c>
      <c r="N909" t="s">
        <v>1005</v>
      </c>
      <c r="O909">
        <v>0</v>
      </c>
      <c r="P909">
        <v>0</v>
      </c>
      <c r="Q909">
        <v>0</v>
      </c>
      <c r="R909">
        <v>0</v>
      </c>
    </row>
    <row r="910" spans="1:18" ht="16" x14ac:dyDescent="0.2">
      <c r="A910" s="127" t="s">
        <v>954</v>
      </c>
      <c r="B910" t="s">
        <v>454</v>
      </c>
      <c r="C910" t="s">
        <v>1922</v>
      </c>
      <c r="D910" t="s">
        <v>1923</v>
      </c>
      <c r="E910">
        <v>9</v>
      </c>
      <c r="F910">
        <v>9</v>
      </c>
      <c r="G910">
        <v>1</v>
      </c>
      <c r="H910">
        <v>5.24550670911837</v>
      </c>
      <c r="I910" t="s">
        <v>957</v>
      </c>
      <c r="J910" t="s">
        <v>1925</v>
      </c>
      <c r="K910">
        <v>1.4285714285714299E-2</v>
      </c>
      <c r="L910" t="s">
        <v>959</v>
      </c>
      <c r="M910">
        <v>1.5267175572519101</v>
      </c>
      <c r="N910" t="s">
        <v>960</v>
      </c>
      <c r="O910">
        <v>0</v>
      </c>
      <c r="P910" t="s">
        <v>5017</v>
      </c>
      <c r="Q910">
        <v>0</v>
      </c>
      <c r="R910">
        <v>0</v>
      </c>
    </row>
    <row r="911" spans="1:18" ht="16" x14ac:dyDescent="0.2">
      <c r="A911" s="127" t="s">
        <v>954</v>
      </c>
      <c r="B911" t="s">
        <v>454</v>
      </c>
      <c r="C911" t="s">
        <v>450</v>
      </c>
      <c r="D911" t="s">
        <v>1456</v>
      </c>
      <c r="E911">
        <v>2</v>
      </c>
      <c r="F911">
        <v>2</v>
      </c>
      <c r="G911">
        <v>2</v>
      </c>
      <c r="H911">
        <v>8.8809749245513601</v>
      </c>
      <c r="I911" t="s">
        <v>957</v>
      </c>
      <c r="J911" t="s">
        <v>1963</v>
      </c>
      <c r="K911">
        <v>4.2857142857142899E-2</v>
      </c>
      <c r="L911" t="s">
        <v>959</v>
      </c>
      <c r="M911">
        <v>1.5267175572519101</v>
      </c>
      <c r="N911" t="s">
        <v>960</v>
      </c>
      <c r="O911">
        <v>0</v>
      </c>
      <c r="P911">
        <v>0</v>
      </c>
      <c r="Q911">
        <v>0</v>
      </c>
      <c r="R911">
        <v>0</v>
      </c>
    </row>
    <row r="912" spans="1:18" ht="16" x14ac:dyDescent="0.2">
      <c r="A912" s="127" t="s">
        <v>954</v>
      </c>
      <c r="B912" t="s">
        <v>454</v>
      </c>
      <c r="C912" t="s">
        <v>3592</v>
      </c>
      <c r="D912" t="s">
        <v>3593</v>
      </c>
      <c r="E912" t="s">
        <v>1018</v>
      </c>
      <c r="F912">
        <v>10</v>
      </c>
      <c r="G912">
        <v>2</v>
      </c>
      <c r="H912">
        <v>3.8729833462074099</v>
      </c>
      <c r="I912" t="s">
        <v>957</v>
      </c>
      <c r="J912" t="s">
        <v>3594</v>
      </c>
      <c r="K912">
        <v>6.6666666666666693E-2</v>
      </c>
      <c r="L912" t="s">
        <v>1004</v>
      </c>
      <c r="M912">
        <v>0.76335877862595403</v>
      </c>
      <c r="N912" t="s">
        <v>1005</v>
      </c>
      <c r="O912">
        <v>0</v>
      </c>
      <c r="P912">
        <v>0</v>
      </c>
      <c r="Q912">
        <v>0</v>
      </c>
      <c r="R912">
        <v>0</v>
      </c>
    </row>
    <row r="913" spans="1:18" ht="16" x14ac:dyDescent="0.2">
      <c r="A913" s="127" t="s">
        <v>954</v>
      </c>
      <c r="B913" t="s">
        <v>454</v>
      </c>
      <c r="C913" t="s">
        <v>1486</v>
      </c>
      <c r="D913" t="s">
        <v>1487</v>
      </c>
      <c r="E913" t="s">
        <v>1488</v>
      </c>
      <c r="F913">
        <v>8</v>
      </c>
      <c r="G913">
        <v>2</v>
      </c>
      <c r="H913">
        <v>3.8722941419406798</v>
      </c>
      <c r="I913" t="s">
        <v>957</v>
      </c>
      <c r="J913" t="s">
        <v>1489</v>
      </c>
      <c r="K913">
        <v>0.133333333333333</v>
      </c>
      <c r="L913" t="s">
        <v>1004</v>
      </c>
      <c r="M913">
        <v>2.2900763358778602</v>
      </c>
      <c r="N913" t="s">
        <v>1005</v>
      </c>
      <c r="O913">
        <v>0</v>
      </c>
      <c r="P913">
        <v>0</v>
      </c>
      <c r="Q913">
        <v>0</v>
      </c>
      <c r="R913">
        <v>0</v>
      </c>
    </row>
    <row r="914" spans="1:18" ht="16" x14ac:dyDescent="0.2">
      <c r="A914" s="127" t="s">
        <v>954</v>
      </c>
      <c r="B914" t="s">
        <v>454</v>
      </c>
      <c r="C914" t="s">
        <v>1271</v>
      </c>
      <c r="D914" t="s">
        <v>1272</v>
      </c>
      <c r="E914">
        <v>3</v>
      </c>
      <c r="F914">
        <v>3</v>
      </c>
      <c r="G914">
        <v>1</v>
      </c>
      <c r="H914">
        <v>5.6509923927556303</v>
      </c>
      <c r="I914" t="s">
        <v>957</v>
      </c>
      <c r="J914" t="s">
        <v>1273</v>
      </c>
      <c r="K914">
        <v>0.1</v>
      </c>
      <c r="L914" t="s">
        <v>959</v>
      </c>
      <c r="M914">
        <v>1.5267175572519101</v>
      </c>
      <c r="N914" t="s">
        <v>960</v>
      </c>
      <c r="O914">
        <v>0</v>
      </c>
      <c r="P914">
        <v>0</v>
      </c>
      <c r="Q914">
        <v>0</v>
      </c>
      <c r="R914">
        <v>0</v>
      </c>
    </row>
    <row r="915" spans="1:18" ht="16" x14ac:dyDescent="0.2">
      <c r="A915" s="127" t="s">
        <v>954</v>
      </c>
      <c r="B915" t="s">
        <v>454</v>
      </c>
      <c r="C915" t="s">
        <v>1222</v>
      </c>
      <c r="D915" t="s">
        <v>1223</v>
      </c>
      <c r="E915">
        <v>21</v>
      </c>
      <c r="F915">
        <v>21</v>
      </c>
      <c r="G915">
        <v>1</v>
      </c>
      <c r="H915">
        <v>5.7411731281956699</v>
      </c>
      <c r="I915" t="s">
        <v>957</v>
      </c>
      <c r="J915" t="s">
        <v>1224</v>
      </c>
      <c r="K915">
        <v>7.8571428571428598E-2</v>
      </c>
      <c r="L915" t="s">
        <v>959</v>
      </c>
      <c r="M915">
        <v>1.5267175572519101</v>
      </c>
      <c r="N915" t="s">
        <v>960</v>
      </c>
      <c r="O915">
        <v>0</v>
      </c>
      <c r="P915">
        <v>0</v>
      </c>
      <c r="Q915">
        <v>0</v>
      </c>
      <c r="R915">
        <v>0</v>
      </c>
    </row>
    <row r="916" spans="1:18" ht="16" x14ac:dyDescent="0.2">
      <c r="A916" s="127" t="s">
        <v>954</v>
      </c>
      <c r="B916" t="s">
        <v>454</v>
      </c>
      <c r="C916" t="s">
        <v>1072</v>
      </c>
      <c r="D916" t="s">
        <v>1073</v>
      </c>
      <c r="E916" t="s">
        <v>1074</v>
      </c>
      <c r="F916">
        <v>6</v>
      </c>
      <c r="G916">
        <v>2</v>
      </c>
      <c r="H916">
        <v>3.8729833462074201</v>
      </c>
      <c r="I916" t="s">
        <v>957</v>
      </c>
      <c r="J916" t="s">
        <v>1075</v>
      </c>
      <c r="K916">
        <v>6.6666666666666693E-2</v>
      </c>
      <c r="L916" t="s">
        <v>1004</v>
      </c>
      <c r="M916">
        <v>0.76335877862595403</v>
      </c>
      <c r="N916" t="s">
        <v>1005</v>
      </c>
      <c r="O916">
        <v>0</v>
      </c>
      <c r="P916">
        <v>0</v>
      </c>
      <c r="Q916">
        <v>0</v>
      </c>
      <c r="R916">
        <v>0</v>
      </c>
    </row>
    <row r="917" spans="1:18" ht="16" x14ac:dyDescent="0.2">
      <c r="A917" s="127" t="s">
        <v>954</v>
      </c>
      <c r="B917" t="s">
        <v>458</v>
      </c>
      <c r="C917" t="s">
        <v>2145</v>
      </c>
      <c r="D917" t="s">
        <v>2146</v>
      </c>
      <c r="E917" t="s">
        <v>1052</v>
      </c>
      <c r="F917">
        <v>2</v>
      </c>
      <c r="G917">
        <v>2</v>
      </c>
      <c r="H917">
        <v>5.8894659362644504</v>
      </c>
      <c r="I917" t="s">
        <v>957</v>
      </c>
      <c r="J917" t="s">
        <v>3043</v>
      </c>
      <c r="K917">
        <v>7.8571428571428598E-2</v>
      </c>
      <c r="L917" t="s">
        <v>959</v>
      </c>
      <c r="M917">
        <v>1.5267175572519101</v>
      </c>
      <c r="N917" t="s">
        <v>960</v>
      </c>
      <c r="O917">
        <v>0</v>
      </c>
      <c r="P917">
        <v>0</v>
      </c>
      <c r="Q917">
        <v>0</v>
      </c>
      <c r="R917">
        <v>0</v>
      </c>
    </row>
    <row r="918" spans="1:18" ht="16" x14ac:dyDescent="0.2">
      <c r="A918" s="127" t="s">
        <v>954</v>
      </c>
      <c r="B918" t="s">
        <v>458</v>
      </c>
      <c r="C918" t="s">
        <v>1814</v>
      </c>
      <c r="D918" t="s">
        <v>1815</v>
      </c>
      <c r="E918" t="s">
        <v>1816</v>
      </c>
      <c r="F918">
        <v>4</v>
      </c>
      <c r="G918">
        <v>3</v>
      </c>
      <c r="H918">
        <v>4.6352695468095897</v>
      </c>
      <c r="I918" t="s">
        <v>957</v>
      </c>
      <c r="J918" t="s">
        <v>1817</v>
      </c>
      <c r="K918">
        <v>0.157142857142857</v>
      </c>
      <c r="L918" t="s">
        <v>959</v>
      </c>
      <c r="M918">
        <v>2.2900763358778602</v>
      </c>
      <c r="N918" t="s">
        <v>960</v>
      </c>
      <c r="O918">
        <v>0</v>
      </c>
      <c r="P918">
        <v>0</v>
      </c>
      <c r="Q918">
        <v>0</v>
      </c>
      <c r="R918">
        <v>0</v>
      </c>
    </row>
    <row r="919" spans="1:18" ht="16" x14ac:dyDescent="0.2">
      <c r="A919" s="127" t="s">
        <v>954</v>
      </c>
      <c r="B919" t="s">
        <v>458</v>
      </c>
      <c r="C919" t="s">
        <v>1324</v>
      </c>
      <c r="E919" t="s">
        <v>2730</v>
      </c>
      <c r="F919">
        <v>8</v>
      </c>
      <c r="G919">
        <v>3</v>
      </c>
      <c r="H919">
        <v>7.3010194171621796</v>
      </c>
      <c r="I919" t="s">
        <v>957</v>
      </c>
      <c r="J919" t="s">
        <v>2731</v>
      </c>
      <c r="K919">
        <v>0.121428571428571</v>
      </c>
      <c r="L919" t="s">
        <v>959</v>
      </c>
      <c r="M919">
        <v>2.2900763358778602</v>
      </c>
      <c r="N919" t="s">
        <v>960</v>
      </c>
      <c r="O919">
        <v>0</v>
      </c>
      <c r="P919">
        <v>0</v>
      </c>
      <c r="Q919">
        <v>0</v>
      </c>
      <c r="R919" t="s">
        <v>5019</v>
      </c>
    </row>
    <row r="920" spans="1:18" ht="16" x14ac:dyDescent="0.2">
      <c r="A920" s="127" t="s">
        <v>954</v>
      </c>
      <c r="B920" t="s">
        <v>458</v>
      </c>
      <c r="C920" t="s">
        <v>2684</v>
      </c>
      <c r="D920" t="s">
        <v>2685</v>
      </c>
      <c r="E920" t="s">
        <v>1102</v>
      </c>
      <c r="F920">
        <v>4</v>
      </c>
      <c r="G920">
        <v>2</v>
      </c>
      <c r="H920">
        <v>5.3859033717267604</v>
      </c>
      <c r="I920" t="s">
        <v>957</v>
      </c>
      <c r="J920" t="s">
        <v>3003</v>
      </c>
      <c r="K920">
        <v>0.121428571428571</v>
      </c>
      <c r="L920" t="s">
        <v>959</v>
      </c>
      <c r="M920">
        <v>1.5267175572519101</v>
      </c>
      <c r="N920" t="s">
        <v>960</v>
      </c>
      <c r="O920">
        <v>0</v>
      </c>
      <c r="P920">
        <v>0</v>
      </c>
      <c r="Q920">
        <v>0</v>
      </c>
      <c r="R920">
        <v>0</v>
      </c>
    </row>
    <row r="921" spans="1:18" ht="16" x14ac:dyDescent="0.2">
      <c r="A921" s="127" t="s">
        <v>954</v>
      </c>
      <c r="B921" t="s">
        <v>458</v>
      </c>
      <c r="C921" t="s">
        <v>1995</v>
      </c>
      <c r="D921" t="s">
        <v>1996</v>
      </c>
      <c r="E921" t="s">
        <v>966</v>
      </c>
      <c r="F921">
        <v>3</v>
      </c>
      <c r="G921">
        <v>3</v>
      </c>
      <c r="H921">
        <v>5.1735067651070503</v>
      </c>
      <c r="I921" t="s">
        <v>957</v>
      </c>
      <c r="J921" t="s">
        <v>2048</v>
      </c>
      <c r="K921">
        <v>0.121428571428571</v>
      </c>
      <c r="L921" t="s">
        <v>959</v>
      </c>
      <c r="M921">
        <v>2.2900763358778602</v>
      </c>
      <c r="N921" t="s">
        <v>960</v>
      </c>
      <c r="O921">
        <v>0</v>
      </c>
      <c r="P921">
        <v>0</v>
      </c>
      <c r="Q921">
        <v>0</v>
      </c>
      <c r="R921">
        <v>0</v>
      </c>
    </row>
    <row r="922" spans="1:18" ht="16" x14ac:dyDescent="0.2">
      <c r="A922" s="127" t="s">
        <v>954</v>
      </c>
      <c r="B922" t="s">
        <v>458</v>
      </c>
      <c r="C922" t="s">
        <v>1100</v>
      </c>
      <c r="D922" t="s">
        <v>1101</v>
      </c>
      <c r="E922" t="s">
        <v>1052</v>
      </c>
      <c r="F922">
        <v>2</v>
      </c>
      <c r="G922">
        <v>2</v>
      </c>
      <c r="H922">
        <v>5.3322889995771598</v>
      </c>
      <c r="I922" t="s">
        <v>957</v>
      </c>
      <c r="J922" t="s">
        <v>1348</v>
      </c>
      <c r="K922">
        <v>0.13571428571428601</v>
      </c>
      <c r="L922" t="s">
        <v>959</v>
      </c>
      <c r="M922">
        <v>1.5267175572519101</v>
      </c>
      <c r="N922" t="s">
        <v>960</v>
      </c>
      <c r="O922">
        <v>0</v>
      </c>
      <c r="P922">
        <v>0</v>
      </c>
      <c r="Q922">
        <v>0</v>
      </c>
      <c r="R922">
        <v>0</v>
      </c>
    </row>
    <row r="923" spans="1:18" ht="16" x14ac:dyDescent="0.2">
      <c r="A923" s="127" t="s">
        <v>954</v>
      </c>
      <c r="B923" t="s">
        <v>458</v>
      </c>
      <c r="C923" t="s">
        <v>3016</v>
      </c>
      <c r="D923" t="s">
        <v>3017</v>
      </c>
      <c r="E923" t="s">
        <v>1052</v>
      </c>
      <c r="F923">
        <v>2</v>
      </c>
      <c r="G923">
        <v>2</v>
      </c>
      <c r="H923">
        <v>11.8321595661992</v>
      </c>
      <c r="I923" t="s">
        <v>957</v>
      </c>
      <c r="J923" t="s">
        <v>3018</v>
      </c>
      <c r="K923">
        <v>7.14285714285714E-3</v>
      </c>
      <c r="L923" t="s">
        <v>959</v>
      </c>
      <c r="M923">
        <v>0.76335877862595403</v>
      </c>
      <c r="N923" t="s">
        <v>960</v>
      </c>
      <c r="O923">
        <v>0</v>
      </c>
      <c r="P923">
        <v>0</v>
      </c>
      <c r="Q923">
        <v>0</v>
      </c>
      <c r="R923">
        <v>0</v>
      </c>
    </row>
    <row r="924" spans="1:18" ht="16" x14ac:dyDescent="0.2">
      <c r="A924" s="127" t="s">
        <v>954</v>
      </c>
      <c r="B924" t="s">
        <v>458</v>
      </c>
      <c r="C924" t="s">
        <v>2984</v>
      </c>
      <c r="D924" t="s">
        <v>2985</v>
      </c>
      <c r="E924">
        <v>3</v>
      </c>
      <c r="F924">
        <v>3</v>
      </c>
      <c r="G924">
        <v>1</v>
      </c>
      <c r="H924">
        <v>5.9404546765403001</v>
      </c>
      <c r="I924" t="s">
        <v>957</v>
      </c>
      <c r="J924" t="s">
        <v>2986</v>
      </c>
      <c r="K924">
        <v>0.121428571428571</v>
      </c>
      <c r="L924" t="s">
        <v>959</v>
      </c>
      <c r="M924">
        <v>1.5267175572519101</v>
      </c>
      <c r="N924" t="s">
        <v>960</v>
      </c>
      <c r="O924">
        <v>0</v>
      </c>
      <c r="P924">
        <v>0</v>
      </c>
      <c r="Q924">
        <v>0</v>
      </c>
      <c r="R924">
        <v>0</v>
      </c>
    </row>
    <row r="925" spans="1:18" ht="16" x14ac:dyDescent="0.2">
      <c r="A925" s="127" t="s">
        <v>954</v>
      </c>
      <c r="B925" t="s">
        <v>458</v>
      </c>
      <c r="C925" t="s">
        <v>2407</v>
      </c>
      <c r="D925" t="s">
        <v>2408</v>
      </c>
      <c r="E925" t="s">
        <v>1102</v>
      </c>
      <c r="F925">
        <v>4</v>
      </c>
      <c r="G925">
        <v>2</v>
      </c>
      <c r="H925">
        <v>5.5003730682802896</v>
      </c>
      <c r="I925" t="s">
        <v>957</v>
      </c>
      <c r="J925" t="s">
        <v>3603</v>
      </c>
      <c r="K925">
        <v>0.107142857142857</v>
      </c>
      <c r="L925" t="s">
        <v>959</v>
      </c>
      <c r="M925">
        <v>3.8167938931297698</v>
      </c>
      <c r="N925" t="s">
        <v>960</v>
      </c>
      <c r="O925">
        <v>0</v>
      </c>
      <c r="P925">
        <v>0</v>
      </c>
      <c r="Q925">
        <v>0</v>
      </c>
      <c r="R925">
        <v>0</v>
      </c>
    </row>
    <row r="926" spans="1:18" ht="16" x14ac:dyDescent="0.2">
      <c r="A926" s="127" t="s">
        <v>954</v>
      </c>
      <c r="B926" t="s">
        <v>462</v>
      </c>
      <c r="C926" t="s">
        <v>2382</v>
      </c>
      <c r="E926">
        <v>3</v>
      </c>
      <c r="F926">
        <v>3</v>
      </c>
      <c r="G926">
        <v>1</v>
      </c>
      <c r="H926">
        <v>5.6241314059343104</v>
      </c>
      <c r="I926" t="s">
        <v>957</v>
      </c>
      <c r="J926" t="s">
        <v>2383</v>
      </c>
      <c r="K926">
        <v>0.05</v>
      </c>
      <c r="L926" t="s">
        <v>959</v>
      </c>
      <c r="M926">
        <v>0.76335877862595403</v>
      </c>
      <c r="N926" t="s">
        <v>960</v>
      </c>
      <c r="O926">
        <v>0</v>
      </c>
      <c r="P926">
        <v>0</v>
      </c>
      <c r="Q926">
        <v>0</v>
      </c>
      <c r="R926">
        <v>0</v>
      </c>
    </row>
    <row r="927" spans="1:18" ht="16" x14ac:dyDescent="0.2">
      <c r="A927" s="127" t="s">
        <v>954</v>
      </c>
      <c r="B927" t="s">
        <v>462</v>
      </c>
      <c r="C927" t="s">
        <v>1034</v>
      </c>
      <c r="D927" t="s">
        <v>1035</v>
      </c>
      <c r="E927" t="s">
        <v>1022</v>
      </c>
      <c r="F927">
        <v>3</v>
      </c>
      <c r="G927">
        <v>2</v>
      </c>
      <c r="H927">
        <v>11.8321595661992</v>
      </c>
      <c r="I927" t="s">
        <v>957</v>
      </c>
      <c r="J927" t="s">
        <v>1036</v>
      </c>
      <c r="K927">
        <v>7.14285714285714E-3</v>
      </c>
      <c r="L927" t="s">
        <v>959</v>
      </c>
      <c r="M927">
        <v>0.76335877862595403</v>
      </c>
      <c r="N927" t="s">
        <v>960</v>
      </c>
      <c r="O927">
        <v>0</v>
      </c>
      <c r="P927">
        <v>0</v>
      </c>
      <c r="Q927">
        <v>0</v>
      </c>
      <c r="R927">
        <v>0</v>
      </c>
    </row>
    <row r="928" spans="1:18" ht="16" x14ac:dyDescent="0.2">
      <c r="A928" s="127" t="s">
        <v>954</v>
      </c>
      <c r="B928" t="s">
        <v>462</v>
      </c>
      <c r="C928" t="s">
        <v>2929</v>
      </c>
      <c r="D928" t="s">
        <v>2930</v>
      </c>
      <c r="E928">
        <v>3</v>
      </c>
      <c r="F928">
        <v>3</v>
      </c>
      <c r="G928">
        <v>1</v>
      </c>
      <c r="H928">
        <v>8.96015202573731</v>
      </c>
      <c r="I928" t="s">
        <v>957</v>
      </c>
      <c r="J928" t="s">
        <v>3148</v>
      </c>
      <c r="K928">
        <v>3.5714285714285698E-2</v>
      </c>
      <c r="L928" t="s">
        <v>959</v>
      </c>
      <c r="M928">
        <v>1.5267175572519101</v>
      </c>
      <c r="N928" t="s">
        <v>960</v>
      </c>
      <c r="O928">
        <v>0</v>
      </c>
      <c r="P928">
        <v>0</v>
      </c>
      <c r="Q928">
        <v>0</v>
      </c>
      <c r="R928">
        <v>0</v>
      </c>
    </row>
    <row r="929" spans="1:18" ht="16" x14ac:dyDescent="0.2">
      <c r="A929" s="127" t="s">
        <v>954</v>
      </c>
      <c r="B929" t="s">
        <v>462</v>
      </c>
      <c r="C929" t="s">
        <v>3360</v>
      </c>
      <c r="D929" t="s">
        <v>3361</v>
      </c>
      <c r="E929">
        <v>3</v>
      </c>
      <c r="F929">
        <v>3</v>
      </c>
      <c r="G929">
        <v>1</v>
      </c>
      <c r="H929">
        <v>5.9366718390363502</v>
      </c>
      <c r="I929" t="s">
        <v>957</v>
      </c>
      <c r="J929" t="s">
        <v>3362</v>
      </c>
      <c r="K929">
        <v>0.1</v>
      </c>
      <c r="L929" t="s">
        <v>959</v>
      </c>
      <c r="M929">
        <v>0.76335877862595403</v>
      </c>
      <c r="N929" t="s">
        <v>960</v>
      </c>
      <c r="O929">
        <v>0</v>
      </c>
      <c r="P929">
        <v>0</v>
      </c>
      <c r="Q929">
        <v>0</v>
      </c>
      <c r="R929">
        <v>0</v>
      </c>
    </row>
    <row r="930" spans="1:18" ht="16" x14ac:dyDescent="0.2">
      <c r="A930" s="127" t="s">
        <v>954</v>
      </c>
      <c r="B930" t="s">
        <v>462</v>
      </c>
      <c r="C930" t="s">
        <v>2378</v>
      </c>
      <c r="D930" t="s">
        <v>2379</v>
      </c>
      <c r="E930" t="s">
        <v>1442</v>
      </c>
      <c r="F930">
        <v>5</v>
      </c>
      <c r="G930">
        <v>2</v>
      </c>
      <c r="H930">
        <v>7.9958453513560404</v>
      </c>
      <c r="I930" t="s">
        <v>957</v>
      </c>
      <c r="J930" t="s">
        <v>2380</v>
      </c>
      <c r="K930">
        <v>7.8571428571428598E-2</v>
      </c>
      <c r="L930" t="s">
        <v>959</v>
      </c>
      <c r="M930">
        <v>1.5267175572519101</v>
      </c>
      <c r="N930" t="s">
        <v>960</v>
      </c>
      <c r="O930">
        <v>0</v>
      </c>
      <c r="P930" t="s">
        <v>5018</v>
      </c>
      <c r="Q930">
        <v>0</v>
      </c>
      <c r="R930">
        <v>0</v>
      </c>
    </row>
    <row r="931" spans="1:18" ht="16" x14ac:dyDescent="0.2">
      <c r="A931" s="127" t="s">
        <v>954</v>
      </c>
      <c r="B931" t="s">
        <v>462</v>
      </c>
      <c r="C931" t="s">
        <v>3235</v>
      </c>
      <c r="D931" t="s">
        <v>3236</v>
      </c>
      <c r="E931" t="s">
        <v>1052</v>
      </c>
      <c r="F931">
        <v>2</v>
      </c>
      <c r="G931">
        <v>2</v>
      </c>
      <c r="H931">
        <v>6.3347634406918703</v>
      </c>
      <c r="I931" t="s">
        <v>957</v>
      </c>
      <c r="J931" t="s">
        <v>3237</v>
      </c>
      <c r="K931">
        <v>8.5714285714285701E-2</v>
      </c>
      <c r="L931" t="s">
        <v>959</v>
      </c>
      <c r="M931">
        <v>0.76335877862595403</v>
      </c>
      <c r="N931" t="s">
        <v>960</v>
      </c>
      <c r="O931">
        <v>0</v>
      </c>
      <c r="P931">
        <v>0</v>
      </c>
      <c r="Q931">
        <v>0</v>
      </c>
      <c r="R931">
        <v>0</v>
      </c>
    </row>
    <row r="932" spans="1:18" ht="16" x14ac:dyDescent="0.2">
      <c r="A932" s="127" t="s">
        <v>954</v>
      </c>
      <c r="B932" t="s">
        <v>466</v>
      </c>
      <c r="C932" t="s">
        <v>2783</v>
      </c>
      <c r="D932" t="s">
        <v>2784</v>
      </c>
      <c r="E932" t="s">
        <v>1022</v>
      </c>
      <c r="F932">
        <v>3</v>
      </c>
      <c r="G932">
        <v>2</v>
      </c>
      <c r="H932">
        <v>11.8321595661992</v>
      </c>
      <c r="I932" t="s">
        <v>957</v>
      </c>
      <c r="J932" t="s">
        <v>2785</v>
      </c>
      <c r="K932">
        <v>7.14285714285714E-3</v>
      </c>
      <c r="L932" t="s">
        <v>959</v>
      </c>
      <c r="M932">
        <v>0.76335877862595403</v>
      </c>
      <c r="N932" t="s">
        <v>960</v>
      </c>
      <c r="O932">
        <v>0</v>
      </c>
      <c r="P932">
        <v>0</v>
      </c>
      <c r="Q932">
        <v>0</v>
      </c>
      <c r="R932">
        <v>0</v>
      </c>
    </row>
    <row r="933" spans="1:18" ht="16" x14ac:dyDescent="0.2">
      <c r="A933" s="127" t="s">
        <v>954</v>
      </c>
      <c r="B933" t="s">
        <v>466</v>
      </c>
      <c r="C933" t="s">
        <v>3214</v>
      </c>
      <c r="D933" t="s">
        <v>3215</v>
      </c>
      <c r="E933" t="s">
        <v>1052</v>
      </c>
      <c r="F933">
        <v>2</v>
      </c>
      <c r="G933">
        <v>2</v>
      </c>
      <c r="H933">
        <v>7.6169262745559001</v>
      </c>
      <c r="I933" t="s">
        <v>957</v>
      </c>
      <c r="J933" t="s">
        <v>3216</v>
      </c>
      <c r="K933">
        <v>0.05</v>
      </c>
      <c r="L933" t="s">
        <v>959</v>
      </c>
      <c r="M933">
        <v>0.76335877862595403</v>
      </c>
      <c r="N933" t="s">
        <v>960</v>
      </c>
      <c r="O933">
        <v>0</v>
      </c>
      <c r="P933">
        <v>0</v>
      </c>
      <c r="Q933">
        <v>0</v>
      </c>
      <c r="R933">
        <v>0</v>
      </c>
    </row>
    <row r="934" spans="1:18" ht="16" x14ac:dyDescent="0.2">
      <c r="A934" s="127" t="s">
        <v>954</v>
      </c>
      <c r="B934" t="s">
        <v>466</v>
      </c>
      <c r="C934" t="s">
        <v>2807</v>
      </c>
      <c r="D934" t="s">
        <v>2808</v>
      </c>
      <c r="E934" t="s">
        <v>1230</v>
      </c>
      <c r="F934">
        <v>4</v>
      </c>
      <c r="G934">
        <v>2</v>
      </c>
      <c r="H934">
        <v>10.922371432347999</v>
      </c>
      <c r="I934" t="s">
        <v>957</v>
      </c>
      <c r="J934" t="s">
        <v>2809</v>
      </c>
      <c r="K934">
        <v>2.8571428571428598E-2</v>
      </c>
      <c r="L934" t="s">
        <v>959</v>
      </c>
      <c r="M934">
        <v>0.76335877862595403</v>
      </c>
      <c r="N934" t="s">
        <v>960</v>
      </c>
      <c r="O934">
        <v>0</v>
      </c>
      <c r="P934">
        <v>0</v>
      </c>
      <c r="Q934">
        <v>0</v>
      </c>
      <c r="R934">
        <v>0</v>
      </c>
    </row>
    <row r="935" spans="1:18" ht="16" x14ac:dyDescent="0.2">
      <c r="A935" s="127" t="s">
        <v>954</v>
      </c>
      <c r="B935" t="s">
        <v>466</v>
      </c>
      <c r="C935" t="s">
        <v>3044</v>
      </c>
      <c r="D935" t="s">
        <v>3045</v>
      </c>
      <c r="E935" t="s">
        <v>3046</v>
      </c>
      <c r="F935">
        <v>6</v>
      </c>
      <c r="G935">
        <v>4</v>
      </c>
      <c r="H935">
        <v>4.7981821879736799</v>
      </c>
      <c r="I935" t="s">
        <v>957</v>
      </c>
      <c r="J935" t="s">
        <v>3047</v>
      </c>
      <c r="K935">
        <v>0.16428571428571401</v>
      </c>
      <c r="L935" t="s">
        <v>959</v>
      </c>
      <c r="M935">
        <v>1.5267175572519101</v>
      </c>
      <c r="N935" t="s">
        <v>960</v>
      </c>
      <c r="O935">
        <v>0</v>
      </c>
      <c r="P935">
        <v>0</v>
      </c>
      <c r="Q935">
        <v>0</v>
      </c>
      <c r="R935">
        <v>0</v>
      </c>
    </row>
    <row r="936" spans="1:18" ht="16" x14ac:dyDescent="0.2">
      <c r="A936" s="127" t="s">
        <v>954</v>
      </c>
      <c r="B936" t="s">
        <v>466</v>
      </c>
      <c r="C936" t="s">
        <v>2407</v>
      </c>
      <c r="D936" t="s">
        <v>2408</v>
      </c>
      <c r="E936" t="s">
        <v>2253</v>
      </c>
      <c r="F936">
        <v>4</v>
      </c>
      <c r="G936">
        <v>3</v>
      </c>
      <c r="H936">
        <v>5.5003730682802896</v>
      </c>
      <c r="I936" t="s">
        <v>957</v>
      </c>
      <c r="J936" t="s">
        <v>2409</v>
      </c>
      <c r="K936">
        <v>0.107142857142857</v>
      </c>
      <c r="L936" t="s">
        <v>959</v>
      </c>
      <c r="M936">
        <v>3.8167938931297698</v>
      </c>
      <c r="N936" t="s">
        <v>960</v>
      </c>
      <c r="O936">
        <v>0</v>
      </c>
      <c r="P936">
        <v>0</v>
      </c>
      <c r="Q936">
        <v>0</v>
      </c>
      <c r="R936">
        <v>0</v>
      </c>
    </row>
    <row r="937" spans="1:18" ht="16" x14ac:dyDescent="0.2">
      <c r="A937" s="127" t="s">
        <v>954</v>
      </c>
      <c r="B937" t="s">
        <v>466</v>
      </c>
      <c r="C937" t="s">
        <v>3075</v>
      </c>
      <c r="D937" t="s">
        <v>3076</v>
      </c>
      <c r="E937" t="s">
        <v>1059</v>
      </c>
      <c r="F937">
        <v>4</v>
      </c>
      <c r="G937">
        <v>2</v>
      </c>
      <c r="H937">
        <v>11.8321595661992</v>
      </c>
      <c r="I937" t="s">
        <v>957</v>
      </c>
      <c r="J937" t="s">
        <v>3077</v>
      </c>
      <c r="K937">
        <v>7.14285714285714E-3</v>
      </c>
      <c r="L937" t="s">
        <v>959</v>
      </c>
      <c r="M937">
        <v>0.76335877862595403</v>
      </c>
      <c r="N937" t="s">
        <v>960</v>
      </c>
      <c r="O937">
        <v>0</v>
      </c>
      <c r="P937">
        <v>0</v>
      </c>
      <c r="Q937">
        <v>0</v>
      </c>
      <c r="R937">
        <v>0</v>
      </c>
    </row>
    <row r="938" spans="1:18" ht="16" x14ac:dyDescent="0.2">
      <c r="A938" s="127" t="s">
        <v>954</v>
      </c>
      <c r="B938" t="s">
        <v>470</v>
      </c>
      <c r="C938" t="s">
        <v>2267</v>
      </c>
      <c r="D938" t="s">
        <v>2268</v>
      </c>
      <c r="E938">
        <v>4</v>
      </c>
      <c r="F938">
        <v>4</v>
      </c>
      <c r="G938">
        <v>1</v>
      </c>
      <c r="H938">
        <v>5.4281466575075497</v>
      </c>
      <c r="I938" t="s">
        <v>957</v>
      </c>
      <c r="J938" t="s">
        <v>3501</v>
      </c>
      <c r="K938">
        <v>0.114285714285714</v>
      </c>
      <c r="L938" t="s">
        <v>959</v>
      </c>
      <c r="M938">
        <v>2.2900763358778602</v>
      </c>
      <c r="N938" t="s">
        <v>960</v>
      </c>
      <c r="O938">
        <v>0</v>
      </c>
      <c r="P938" t="s">
        <v>5017</v>
      </c>
      <c r="Q938">
        <v>0</v>
      </c>
      <c r="R938">
        <v>0</v>
      </c>
    </row>
    <row r="939" spans="1:18" ht="16" x14ac:dyDescent="0.2">
      <c r="A939" s="127" t="s">
        <v>954</v>
      </c>
      <c r="B939" t="s">
        <v>470</v>
      </c>
      <c r="C939" t="s">
        <v>983</v>
      </c>
      <c r="D939" t="s">
        <v>984</v>
      </c>
      <c r="E939" t="s">
        <v>1432</v>
      </c>
      <c r="F939">
        <v>6</v>
      </c>
      <c r="G939">
        <v>2</v>
      </c>
      <c r="H939">
        <v>4.8929431124588803</v>
      </c>
      <c r="I939" t="s">
        <v>957</v>
      </c>
      <c r="J939" t="s">
        <v>1956</v>
      </c>
      <c r="K939">
        <v>0.128571428571429</v>
      </c>
      <c r="L939" t="s">
        <v>959</v>
      </c>
      <c r="M939">
        <v>2.2900763358778602</v>
      </c>
      <c r="N939" t="s">
        <v>960</v>
      </c>
      <c r="O939">
        <v>0</v>
      </c>
      <c r="P939">
        <v>0</v>
      </c>
      <c r="Q939">
        <v>0</v>
      </c>
      <c r="R939">
        <v>0</v>
      </c>
    </row>
    <row r="940" spans="1:18" ht="16" x14ac:dyDescent="0.2">
      <c r="A940" s="127" t="s">
        <v>954</v>
      </c>
      <c r="B940" t="s">
        <v>470</v>
      </c>
      <c r="C940" t="s">
        <v>2332</v>
      </c>
      <c r="D940" t="s">
        <v>2333</v>
      </c>
      <c r="E940">
        <v>4</v>
      </c>
      <c r="F940">
        <v>4</v>
      </c>
      <c r="G940">
        <v>1</v>
      </c>
      <c r="H940">
        <v>8.6435538140074595</v>
      </c>
      <c r="I940" t="s">
        <v>957</v>
      </c>
      <c r="J940" t="s">
        <v>2334</v>
      </c>
      <c r="K940">
        <v>2.1428571428571401E-2</v>
      </c>
      <c r="L940" t="s">
        <v>959</v>
      </c>
      <c r="M940">
        <v>2.2900763358778602</v>
      </c>
      <c r="N940" t="s">
        <v>960</v>
      </c>
      <c r="O940">
        <v>0</v>
      </c>
      <c r="P940">
        <v>0</v>
      </c>
      <c r="Q940">
        <v>0</v>
      </c>
      <c r="R940">
        <v>0</v>
      </c>
    </row>
    <row r="941" spans="1:18" ht="16" x14ac:dyDescent="0.2">
      <c r="A941" s="127" t="s">
        <v>954</v>
      </c>
      <c r="B941" t="s">
        <v>470</v>
      </c>
      <c r="C941" t="s">
        <v>1465</v>
      </c>
      <c r="D941" t="s">
        <v>1466</v>
      </c>
      <c r="E941" t="s">
        <v>1085</v>
      </c>
      <c r="F941">
        <v>5</v>
      </c>
      <c r="G941">
        <v>2</v>
      </c>
      <c r="H941">
        <v>7.5074790690668696</v>
      </c>
      <c r="I941" t="s">
        <v>957</v>
      </c>
      <c r="J941" t="s">
        <v>1467</v>
      </c>
      <c r="K941">
        <v>7.1428571428571397E-2</v>
      </c>
      <c r="L941" t="s">
        <v>959</v>
      </c>
      <c r="M941">
        <v>1.5267175572519101</v>
      </c>
      <c r="N941" t="s">
        <v>960</v>
      </c>
      <c r="O941">
        <v>0</v>
      </c>
      <c r="P941">
        <v>0</v>
      </c>
      <c r="Q941">
        <v>0</v>
      </c>
      <c r="R941">
        <v>0</v>
      </c>
    </row>
    <row r="942" spans="1:18" ht="16" x14ac:dyDescent="0.2">
      <c r="A942" s="127" t="s">
        <v>954</v>
      </c>
      <c r="B942" t="s">
        <v>470</v>
      </c>
      <c r="C942" t="s">
        <v>2061</v>
      </c>
      <c r="D942" t="s">
        <v>2062</v>
      </c>
      <c r="E942">
        <v>3</v>
      </c>
      <c r="F942">
        <v>3</v>
      </c>
      <c r="G942">
        <v>1</v>
      </c>
      <c r="H942">
        <v>11.8321595661992</v>
      </c>
      <c r="I942" t="s">
        <v>957</v>
      </c>
      <c r="J942" t="s">
        <v>2063</v>
      </c>
      <c r="K942">
        <v>7.14285714285714E-3</v>
      </c>
      <c r="L942" t="s">
        <v>959</v>
      </c>
      <c r="M942">
        <v>0.76335877862595403</v>
      </c>
      <c r="N942" t="s">
        <v>960</v>
      </c>
      <c r="O942">
        <v>0</v>
      </c>
      <c r="P942">
        <v>0</v>
      </c>
      <c r="Q942">
        <v>0</v>
      </c>
      <c r="R942">
        <v>0</v>
      </c>
    </row>
    <row r="943" spans="1:18" ht="16" x14ac:dyDescent="0.2">
      <c r="A943" s="127" t="s">
        <v>954</v>
      </c>
      <c r="B943" t="s">
        <v>470</v>
      </c>
      <c r="C943" t="s">
        <v>3221</v>
      </c>
      <c r="D943" t="s">
        <v>3222</v>
      </c>
      <c r="E943">
        <v>4</v>
      </c>
      <c r="F943">
        <v>4</v>
      </c>
      <c r="G943">
        <v>1</v>
      </c>
      <c r="H943">
        <v>6.4241507531589397</v>
      </c>
      <c r="I943" t="s">
        <v>957</v>
      </c>
      <c r="J943" t="s">
        <v>3223</v>
      </c>
      <c r="K943">
        <v>6.4285714285714293E-2</v>
      </c>
      <c r="L943" t="s">
        <v>959</v>
      </c>
      <c r="M943">
        <v>1.5267175572519101</v>
      </c>
      <c r="N943" t="s">
        <v>960</v>
      </c>
      <c r="O943">
        <v>0</v>
      </c>
      <c r="P943">
        <v>0</v>
      </c>
      <c r="Q943">
        <v>0</v>
      </c>
      <c r="R943">
        <v>0</v>
      </c>
    </row>
    <row r="944" spans="1:18" ht="16" x14ac:dyDescent="0.2">
      <c r="A944" s="127" t="s">
        <v>954</v>
      </c>
      <c r="B944" t="s">
        <v>470</v>
      </c>
      <c r="C944" t="s">
        <v>3100</v>
      </c>
      <c r="D944" t="s">
        <v>3101</v>
      </c>
      <c r="E944" t="s">
        <v>1692</v>
      </c>
      <c r="F944">
        <v>5</v>
      </c>
      <c r="G944">
        <v>2</v>
      </c>
      <c r="H944">
        <v>7.0399080713867104</v>
      </c>
      <c r="I944" t="s">
        <v>957</v>
      </c>
      <c r="J944" t="s">
        <v>3102</v>
      </c>
      <c r="K944">
        <v>0.128571428571429</v>
      </c>
      <c r="L944" t="s">
        <v>959</v>
      </c>
      <c r="M944">
        <v>0.76335877862595403</v>
      </c>
      <c r="N944" t="s">
        <v>960</v>
      </c>
      <c r="O944">
        <v>0</v>
      </c>
      <c r="P944">
        <v>0</v>
      </c>
      <c r="Q944">
        <v>0</v>
      </c>
      <c r="R944">
        <v>0</v>
      </c>
    </row>
    <row r="945" spans="1:18" ht="16" x14ac:dyDescent="0.2">
      <c r="A945" s="127" t="s">
        <v>954</v>
      </c>
      <c r="B945" t="s">
        <v>470</v>
      </c>
      <c r="C945" t="s">
        <v>1450</v>
      </c>
      <c r="D945" t="s">
        <v>1451</v>
      </c>
      <c r="E945" t="s">
        <v>1039</v>
      </c>
      <c r="F945">
        <v>3</v>
      </c>
      <c r="G945">
        <v>2</v>
      </c>
      <c r="H945">
        <v>5.0358908973506198</v>
      </c>
      <c r="I945" t="s">
        <v>957</v>
      </c>
      <c r="J945" t="s">
        <v>2221</v>
      </c>
      <c r="K945">
        <v>0.15</v>
      </c>
      <c r="L945" t="s">
        <v>959</v>
      </c>
      <c r="M945">
        <v>1.5267175572519101</v>
      </c>
      <c r="N945" t="s">
        <v>960</v>
      </c>
      <c r="O945">
        <v>0</v>
      </c>
      <c r="P945">
        <v>0</v>
      </c>
      <c r="Q945">
        <v>0</v>
      </c>
      <c r="R945">
        <v>0</v>
      </c>
    </row>
    <row r="946" spans="1:18" ht="16" x14ac:dyDescent="0.2">
      <c r="A946" s="127" t="s">
        <v>954</v>
      </c>
      <c r="B946" t="s">
        <v>470</v>
      </c>
      <c r="C946" t="s">
        <v>482</v>
      </c>
      <c r="D946" t="s">
        <v>2644</v>
      </c>
      <c r="E946">
        <v>11</v>
      </c>
      <c r="F946">
        <v>11</v>
      </c>
      <c r="G946">
        <v>1</v>
      </c>
      <c r="H946">
        <v>11.3069889083324</v>
      </c>
      <c r="I946" t="s">
        <v>957</v>
      </c>
      <c r="J946" t="s">
        <v>2645</v>
      </c>
      <c r="K946">
        <v>2.1428571428571401E-2</v>
      </c>
      <c r="L946" t="s">
        <v>959</v>
      </c>
      <c r="M946">
        <v>0.76335877862595403</v>
      </c>
      <c r="N946" t="s">
        <v>960</v>
      </c>
      <c r="O946">
        <v>0</v>
      </c>
      <c r="P946">
        <v>0</v>
      </c>
      <c r="Q946">
        <v>0</v>
      </c>
      <c r="R946">
        <v>0</v>
      </c>
    </row>
    <row r="947" spans="1:18" ht="16" x14ac:dyDescent="0.2">
      <c r="A947" s="127" t="s">
        <v>954</v>
      </c>
      <c r="B947" t="s">
        <v>470</v>
      </c>
      <c r="C947" t="s">
        <v>1430</v>
      </c>
      <c r="D947" t="s">
        <v>1431</v>
      </c>
      <c r="E947" t="s">
        <v>1432</v>
      </c>
      <c r="F947">
        <v>6</v>
      </c>
      <c r="G947">
        <v>2</v>
      </c>
      <c r="H947">
        <v>4.90436045201103</v>
      </c>
      <c r="I947" t="s">
        <v>957</v>
      </c>
      <c r="J947" t="s">
        <v>1433</v>
      </c>
      <c r="K947">
        <v>0.15</v>
      </c>
      <c r="L947" t="s">
        <v>959</v>
      </c>
      <c r="M947">
        <v>2.2900763358778602</v>
      </c>
      <c r="N947" t="s">
        <v>960</v>
      </c>
      <c r="O947">
        <v>0</v>
      </c>
      <c r="P947">
        <v>0</v>
      </c>
      <c r="Q947">
        <v>0</v>
      </c>
      <c r="R947">
        <v>0</v>
      </c>
    </row>
    <row r="948" spans="1:18" ht="16" x14ac:dyDescent="0.2">
      <c r="A948" s="127" t="s">
        <v>954</v>
      </c>
      <c r="B948" t="s">
        <v>470</v>
      </c>
      <c r="C948" t="s">
        <v>3477</v>
      </c>
      <c r="D948" t="s">
        <v>3478</v>
      </c>
      <c r="E948" t="s">
        <v>3479</v>
      </c>
      <c r="F948">
        <v>6</v>
      </c>
      <c r="G948">
        <v>3</v>
      </c>
      <c r="H948">
        <v>6.2159072039098797</v>
      </c>
      <c r="I948" t="s">
        <v>957</v>
      </c>
      <c r="J948" t="s">
        <v>3480</v>
      </c>
      <c r="K948">
        <v>0.185714285714286</v>
      </c>
      <c r="L948" t="s">
        <v>959</v>
      </c>
      <c r="M948">
        <v>0.76335877862595403</v>
      </c>
      <c r="N948" t="s">
        <v>960</v>
      </c>
      <c r="O948">
        <v>0</v>
      </c>
      <c r="P948">
        <v>0</v>
      </c>
      <c r="Q948">
        <v>0</v>
      </c>
      <c r="R948">
        <v>0</v>
      </c>
    </row>
    <row r="949" spans="1:18" ht="16" x14ac:dyDescent="0.2">
      <c r="A949" s="127" t="s">
        <v>954</v>
      </c>
      <c r="B949" t="s">
        <v>470</v>
      </c>
      <c r="C949" s="128" t="s">
        <v>2987</v>
      </c>
      <c r="D949" t="s">
        <v>2988</v>
      </c>
      <c r="E949" t="s">
        <v>1059</v>
      </c>
      <c r="F949">
        <v>4</v>
      </c>
      <c r="G949">
        <v>2</v>
      </c>
      <c r="H949">
        <v>5.0803092977565401</v>
      </c>
      <c r="I949" t="s">
        <v>957</v>
      </c>
      <c r="J949" t="s">
        <v>2989</v>
      </c>
      <c r="K949">
        <v>9.2857142857142902E-2</v>
      </c>
      <c r="L949" t="s">
        <v>959</v>
      </c>
      <c r="M949">
        <v>1.5267175572519101</v>
      </c>
      <c r="N949" s="128" t="s">
        <v>960</v>
      </c>
      <c r="O949">
        <v>0</v>
      </c>
      <c r="P949">
        <v>0</v>
      </c>
      <c r="Q949">
        <v>0</v>
      </c>
      <c r="R949">
        <v>0</v>
      </c>
    </row>
    <row r="950" spans="1:18" ht="16" x14ac:dyDescent="0.2">
      <c r="A950" s="127" t="s">
        <v>954</v>
      </c>
      <c r="B950" t="s">
        <v>470</v>
      </c>
      <c r="C950" t="s">
        <v>1244</v>
      </c>
      <c r="D950" t="s">
        <v>1245</v>
      </c>
      <c r="E950" t="s">
        <v>1230</v>
      </c>
      <c r="F950">
        <v>4</v>
      </c>
      <c r="G950">
        <v>2</v>
      </c>
      <c r="H950">
        <v>4.5687417272642499</v>
      </c>
      <c r="I950" t="s">
        <v>957</v>
      </c>
      <c r="J950" t="s">
        <v>1543</v>
      </c>
      <c r="K950">
        <v>0.121428571428571</v>
      </c>
      <c r="L950" t="s">
        <v>959</v>
      </c>
      <c r="M950">
        <v>2.2900763358778602</v>
      </c>
      <c r="N950" t="s">
        <v>960</v>
      </c>
      <c r="O950">
        <v>0</v>
      </c>
      <c r="P950">
        <v>0</v>
      </c>
      <c r="Q950">
        <v>0</v>
      </c>
      <c r="R950">
        <v>0</v>
      </c>
    </row>
    <row r="951" spans="1:18" ht="16" x14ac:dyDescent="0.2">
      <c r="A951" s="127" t="s">
        <v>954</v>
      </c>
      <c r="B951" t="s">
        <v>470</v>
      </c>
      <c r="C951" t="s">
        <v>2852</v>
      </c>
      <c r="D951" t="s">
        <v>2853</v>
      </c>
      <c r="E951" t="s">
        <v>1059</v>
      </c>
      <c r="F951">
        <v>4</v>
      </c>
      <c r="G951">
        <v>2</v>
      </c>
      <c r="H951">
        <v>7.4957387964084097</v>
      </c>
      <c r="I951" t="s">
        <v>957</v>
      </c>
      <c r="J951" t="s">
        <v>2854</v>
      </c>
      <c r="K951">
        <v>7.8571428571428598E-2</v>
      </c>
      <c r="L951" t="s">
        <v>959</v>
      </c>
      <c r="M951">
        <v>0.76335877862595403</v>
      </c>
      <c r="N951" t="s">
        <v>960</v>
      </c>
      <c r="O951">
        <v>0</v>
      </c>
      <c r="P951">
        <v>0</v>
      </c>
      <c r="Q951">
        <v>0</v>
      </c>
      <c r="R951">
        <v>0</v>
      </c>
    </row>
    <row r="952" spans="1:18" ht="16" x14ac:dyDescent="0.2">
      <c r="A952" s="127" t="s">
        <v>954</v>
      </c>
      <c r="B952" t="s">
        <v>470</v>
      </c>
      <c r="C952" t="s">
        <v>1415</v>
      </c>
      <c r="D952" t="s">
        <v>1416</v>
      </c>
      <c r="E952" t="s">
        <v>1598</v>
      </c>
      <c r="F952">
        <v>7</v>
      </c>
      <c r="G952">
        <v>2</v>
      </c>
      <c r="H952">
        <v>5.8536923185064502</v>
      </c>
      <c r="I952" t="s">
        <v>957</v>
      </c>
      <c r="J952" t="s">
        <v>3319</v>
      </c>
      <c r="K952">
        <v>3.5714285714285698E-2</v>
      </c>
      <c r="L952" t="s">
        <v>959</v>
      </c>
      <c r="M952">
        <v>2.2900763358778602</v>
      </c>
      <c r="N952" t="s">
        <v>960</v>
      </c>
      <c r="O952">
        <v>0</v>
      </c>
      <c r="P952">
        <v>0</v>
      </c>
      <c r="Q952">
        <v>0</v>
      </c>
      <c r="R952">
        <v>0</v>
      </c>
    </row>
    <row r="953" spans="1:18" ht="16" x14ac:dyDescent="0.2">
      <c r="A953" s="127" t="s">
        <v>954</v>
      </c>
      <c r="B953" t="s">
        <v>470</v>
      </c>
      <c r="C953" t="s">
        <v>1980</v>
      </c>
      <c r="D953" t="s">
        <v>1981</v>
      </c>
      <c r="E953" t="s">
        <v>1052</v>
      </c>
      <c r="F953">
        <v>2</v>
      </c>
      <c r="G953">
        <v>2</v>
      </c>
      <c r="H953">
        <v>5.97058805817242</v>
      </c>
      <c r="I953" t="s">
        <v>957</v>
      </c>
      <c r="J953" t="s">
        <v>2044</v>
      </c>
      <c r="K953">
        <v>0.05</v>
      </c>
      <c r="L953" t="s">
        <v>959</v>
      </c>
      <c r="M953">
        <v>1.5267175572519101</v>
      </c>
      <c r="N953" t="s">
        <v>960</v>
      </c>
      <c r="O953">
        <v>0</v>
      </c>
      <c r="P953">
        <v>0</v>
      </c>
      <c r="Q953">
        <v>0</v>
      </c>
      <c r="R953">
        <v>0</v>
      </c>
    </row>
    <row r="954" spans="1:18" ht="16" x14ac:dyDescent="0.2">
      <c r="A954" s="127" t="s">
        <v>954</v>
      </c>
      <c r="B954" t="s">
        <v>470</v>
      </c>
      <c r="C954" t="s">
        <v>3701</v>
      </c>
      <c r="D954" t="s">
        <v>3702</v>
      </c>
      <c r="E954">
        <v>3</v>
      </c>
      <c r="F954">
        <v>3</v>
      </c>
      <c r="G954">
        <v>1</v>
      </c>
      <c r="H954">
        <v>5.20713363165732</v>
      </c>
      <c r="I954" t="s">
        <v>957</v>
      </c>
      <c r="J954" t="s">
        <v>3703</v>
      </c>
      <c r="K954">
        <v>0.114285714285714</v>
      </c>
      <c r="L954" t="s">
        <v>959</v>
      </c>
      <c r="M954">
        <v>0.76335877862595403</v>
      </c>
      <c r="N954" t="s">
        <v>960</v>
      </c>
      <c r="O954">
        <v>0</v>
      </c>
      <c r="P954">
        <v>0</v>
      </c>
      <c r="Q954">
        <v>0</v>
      </c>
      <c r="R954">
        <v>0</v>
      </c>
    </row>
    <row r="955" spans="1:18" ht="16" x14ac:dyDescent="0.2">
      <c r="A955" s="127" t="s">
        <v>954</v>
      </c>
      <c r="B955" t="s">
        <v>470</v>
      </c>
      <c r="C955" t="s">
        <v>1130</v>
      </c>
      <c r="D955" t="s">
        <v>1131</v>
      </c>
      <c r="E955">
        <v>3</v>
      </c>
      <c r="F955">
        <v>3</v>
      </c>
      <c r="G955">
        <v>1</v>
      </c>
      <c r="H955">
        <v>4.6633831919746802</v>
      </c>
      <c r="I955" t="s">
        <v>957</v>
      </c>
      <c r="J955" t="s">
        <v>2199</v>
      </c>
      <c r="K955">
        <v>8.5714285714285701E-2</v>
      </c>
      <c r="L955" t="s">
        <v>959</v>
      </c>
      <c r="M955">
        <v>1.5267175572519101</v>
      </c>
      <c r="N955" t="s">
        <v>960</v>
      </c>
      <c r="O955">
        <v>0</v>
      </c>
      <c r="P955">
        <v>0</v>
      </c>
      <c r="Q955">
        <v>0</v>
      </c>
      <c r="R955">
        <v>0</v>
      </c>
    </row>
    <row r="956" spans="1:18" ht="16" x14ac:dyDescent="0.2">
      <c r="A956" s="127" t="s">
        <v>954</v>
      </c>
      <c r="B956" t="s">
        <v>474</v>
      </c>
      <c r="C956" t="s">
        <v>90</v>
      </c>
      <c r="D956" t="s">
        <v>3612</v>
      </c>
      <c r="E956">
        <v>6</v>
      </c>
      <c r="F956">
        <v>6</v>
      </c>
      <c r="G956">
        <v>1</v>
      </c>
      <c r="H956">
        <v>10.0509733192167</v>
      </c>
      <c r="I956" t="s">
        <v>957</v>
      </c>
      <c r="J956" t="s">
        <v>3613</v>
      </c>
      <c r="K956">
        <v>3.5714285714285698E-2</v>
      </c>
      <c r="L956" t="s">
        <v>959</v>
      </c>
      <c r="M956">
        <v>0.76335877862595403</v>
      </c>
      <c r="N956" t="s">
        <v>960</v>
      </c>
      <c r="O956">
        <v>0</v>
      </c>
      <c r="P956">
        <v>0</v>
      </c>
      <c r="Q956">
        <v>0</v>
      </c>
      <c r="R956">
        <v>0</v>
      </c>
    </row>
    <row r="957" spans="1:18" ht="16" x14ac:dyDescent="0.2">
      <c r="A957" s="127" t="s">
        <v>954</v>
      </c>
      <c r="B957" t="s">
        <v>474</v>
      </c>
      <c r="C957" t="s">
        <v>219</v>
      </c>
      <c r="D957" t="s">
        <v>1979</v>
      </c>
      <c r="E957" t="s">
        <v>3296</v>
      </c>
      <c r="F957">
        <v>15</v>
      </c>
      <c r="G957">
        <v>4</v>
      </c>
      <c r="H957">
        <v>9.8868599666425894</v>
      </c>
      <c r="I957">
        <v>1</v>
      </c>
      <c r="J957" t="s">
        <v>957</v>
      </c>
      <c r="K957">
        <v>43.75</v>
      </c>
      <c r="L957" t="s">
        <v>977</v>
      </c>
      <c r="M957">
        <v>2.2900763358778602</v>
      </c>
      <c r="N957" t="s">
        <v>2505</v>
      </c>
      <c r="O957">
        <v>0</v>
      </c>
      <c r="P957">
        <v>0</v>
      </c>
      <c r="Q957">
        <v>0</v>
      </c>
      <c r="R957">
        <v>0</v>
      </c>
    </row>
    <row r="958" spans="1:18" ht="16" x14ac:dyDescent="0.2">
      <c r="A958" s="127" t="s">
        <v>954</v>
      </c>
      <c r="B958" t="s">
        <v>474</v>
      </c>
      <c r="C958" t="s">
        <v>223</v>
      </c>
      <c r="D958" t="s">
        <v>3174</v>
      </c>
      <c r="E958" t="s">
        <v>3175</v>
      </c>
      <c r="F958">
        <v>10</v>
      </c>
      <c r="G958">
        <v>5</v>
      </c>
      <c r="H958">
        <v>8.7912293955802507</v>
      </c>
      <c r="I958">
        <v>0.72</v>
      </c>
      <c r="J958" t="s">
        <v>957</v>
      </c>
      <c r="K958">
        <v>75</v>
      </c>
      <c r="L958" t="s">
        <v>977</v>
      </c>
      <c r="M958">
        <v>1.5267175572519101</v>
      </c>
      <c r="N958" t="s">
        <v>2505</v>
      </c>
      <c r="O958">
        <v>0</v>
      </c>
      <c r="P958" t="s">
        <v>5017</v>
      </c>
      <c r="Q958">
        <v>0</v>
      </c>
      <c r="R958">
        <v>0</v>
      </c>
    </row>
    <row r="959" spans="1:18" ht="16" x14ac:dyDescent="0.2">
      <c r="A959" s="127" t="s">
        <v>954</v>
      </c>
      <c r="B959" t="s">
        <v>474</v>
      </c>
      <c r="C959" t="s">
        <v>1339</v>
      </c>
      <c r="D959" t="s">
        <v>1340</v>
      </c>
      <c r="E959" t="s">
        <v>1230</v>
      </c>
      <c r="F959">
        <v>4</v>
      </c>
      <c r="G959">
        <v>2</v>
      </c>
      <c r="H959">
        <v>5.2523648240141796</v>
      </c>
      <c r="I959" t="s">
        <v>957</v>
      </c>
      <c r="J959" t="s">
        <v>2335</v>
      </c>
      <c r="K959">
        <v>8.5714285714285701E-2</v>
      </c>
      <c r="L959" t="s">
        <v>959</v>
      </c>
      <c r="M959">
        <v>2.2900763358778602</v>
      </c>
      <c r="N959" t="s">
        <v>960</v>
      </c>
      <c r="O959">
        <v>0</v>
      </c>
      <c r="P959">
        <v>0</v>
      </c>
      <c r="Q959">
        <v>0</v>
      </c>
      <c r="R959">
        <v>0</v>
      </c>
    </row>
    <row r="960" spans="1:18" ht="16" x14ac:dyDescent="0.2">
      <c r="A960" s="127" t="s">
        <v>954</v>
      </c>
      <c r="B960" t="s">
        <v>474</v>
      </c>
      <c r="C960" t="s">
        <v>1289</v>
      </c>
      <c r="D960" t="s">
        <v>1290</v>
      </c>
      <c r="E960" t="s">
        <v>1291</v>
      </c>
      <c r="F960">
        <v>11</v>
      </c>
      <c r="G960">
        <v>2</v>
      </c>
      <c r="H960">
        <v>1.91485421551268</v>
      </c>
      <c r="I960">
        <v>0.4</v>
      </c>
      <c r="J960" t="s">
        <v>957</v>
      </c>
      <c r="K960">
        <v>50</v>
      </c>
      <c r="L960" t="s">
        <v>977</v>
      </c>
      <c r="M960">
        <v>1.5267175572519101</v>
      </c>
      <c r="N960" t="s">
        <v>978</v>
      </c>
      <c r="O960">
        <v>0</v>
      </c>
      <c r="P960">
        <v>0</v>
      </c>
      <c r="Q960">
        <v>0</v>
      </c>
      <c r="R960">
        <v>0</v>
      </c>
    </row>
    <row r="961" spans="1:18" ht="16" x14ac:dyDescent="0.2">
      <c r="A961" s="127" t="s">
        <v>954</v>
      </c>
      <c r="B961" t="s">
        <v>474</v>
      </c>
      <c r="C961" t="s">
        <v>3440</v>
      </c>
      <c r="D961" t="s">
        <v>3441</v>
      </c>
      <c r="E961" t="s">
        <v>3442</v>
      </c>
      <c r="F961">
        <v>9</v>
      </c>
      <c r="G961">
        <v>2</v>
      </c>
      <c r="H961">
        <v>1.1338934190276799</v>
      </c>
      <c r="I961">
        <v>0.32</v>
      </c>
      <c r="J961" t="s">
        <v>957</v>
      </c>
      <c r="K961">
        <v>50</v>
      </c>
      <c r="L961" t="s">
        <v>977</v>
      </c>
      <c r="M961">
        <v>0.76335877862595403</v>
      </c>
      <c r="N961" t="s">
        <v>978</v>
      </c>
      <c r="O961">
        <v>0</v>
      </c>
      <c r="P961">
        <v>0</v>
      </c>
      <c r="Q961">
        <v>0</v>
      </c>
      <c r="R961">
        <v>0</v>
      </c>
    </row>
    <row r="962" spans="1:18" ht="16" x14ac:dyDescent="0.2">
      <c r="A962" s="127" t="s">
        <v>954</v>
      </c>
      <c r="B962" t="s">
        <v>474</v>
      </c>
      <c r="C962" t="s">
        <v>2097</v>
      </c>
      <c r="D962" t="s">
        <v>2098</v>
      </c>
      <c r="E962">
        <v>4</v>
      </c>
      <c r="F962">
        <v>4</v>
      </c>
      <c r="G962">
        <v>1</v>
      </c>
      <c r="H962">
        <v>6.7477366071708698</v>
      </c>
      <c r="I962" t="s">
        <v>957</v>
      </c>
      <c r="J962" t="s">
        <v>3041</v>
      </c>
      <c r="K962">
        <v>9.2857142857142902E-2</v>
      </c>
      <c r="L962" t="s">
        <v>959</v>
      </c>
      <c r="M962">
        <v>1.5267175572519101</v>
      </c>
      <c r="N962" t="s">
        <v>2505</v>
      </c>
      <c r="O962">
        <v>0</v>
      </c>
      <c r="P962">
        <v>0</v>
      </c>
      <c r="Q962">
        <v>0</v>
      </c>
      <c r="R962">
        <v>0</v>
      </c>
    </row>
    <row r="963" spans="1:18" ht="16" x14ac:dyDescent="0.2">
      <c r="A963" s="127" t="s">
        <v>954</v>
      </c>
      <c r="B963" t="s">
        <v>474</v>
      </c>
      <c r="C963" t="s">
        <v>2609</v>
      </c>
      <c r="D963" t="s">
        <v>2610</v>
      </c>
      <c r="E963" t="s">
        <v>1039</v>
      </c>
      <c r="F963">
        <v>3</v>
      </c>
      <c r="G963">
        <v>2</v>
      </c>
      <c r="H963">
        <v>5.9931545898989098</v>
      </c>
      <c r="I963" t="s">
        <v>957</v>
      </c>
      <c r="J963" t="s">
        <v>2611</v>
      </c>
      <c r="K963">
        <v>0.15</v>
      </c>
      <c r="L963" t="s">
        <v>959</v>
      </c>
      <c r="M963">
        <v>0.76335877862595403</v>
      </c>
      <c r="N963" t="s">
        <v>960</v>
      </c>
      <c r="O963">
        <v>0</v>
      </c>
      <c r="P963">
        <v>0</v>
      </c>
      <c r="Q963">
        <v>0</v>
      </c>
      <c r="R963">
        <v>0</v>
      </c>
    </row>
    <row r="964" spans="1:18" ht="16" x14ac:dyDescent="0.2">
      <c r="A964" s="127" t="s">
        <v>954</v>
      </c>
      <c r="B964" t="s">
        <v>474</v>
      </c>
      <c r="C964" t="s">
        <v>2710</v>
      </c>
      <c r="D964" t="s">
        <v>2711</v>
      </c>
      <c r="E964">
        <v>4</v>
      </c>
      <c r="F964">
        <v>4</v>
      </c>
      <c r="G964">
        <v>1</v>
      </c>
      <c r="H964">
        <v>6.4877598066044699</v>
      </c>
      <c r="I964" t="s">
        <v>957</v>
      </c>
      <c r="J964" t="s">
        <v>2712</v>
      </c>
      <c r="K964">
        <v>6.4285714285714293E-2</v>
      </c>
      <c r="L964" t="s">
        <v>959</v>
      </c>
      <c r="M964">
        <v>1.5267175572519101</v>
      </c>
      <c r="N964" t="s">
        <v>2505</v>
      </c>
      <c r="O964">
        <v>0</v>
      </c>
      <c r="P964">
        <v>0</v>
      </c>
      <c r="Q964">
        <v>0</v>
      </c>
      <c r="R964">
        <v>0</v>
      </c>
    </row>
    <row r="965" spans="1:18" ht="16" x14ac:dyDescent="0.2">
      <c r="A965" s="127" t="s">
        <v>954</v>
      </c>
      <c r="B965" t="s">
        <v>478</v>
      </c>
      <c r="C965" t="s">
        <v>1754</v>
      </c>
      <c r="D965" t="s">
        <v>1755</v>
      </c>
      <c r="E965" t="s">
        <v>1008</v>
      </c>
      <c r="F965">
        <v>7</v>
      </c>
      <c r="G965">
        <v>2</v>
      </c>
      <c r="H965">
        <v>5.1279843160334497</v>
      </c>
      <c r="I965" t="s">
        <v>957</v>
      </c>
      <c r="J965" t="s">
        <v>1756</v>
      </c>
      <c r="K965">
        <v>2.1428571428571401E-2</v>
      </c>
      <c r="L965" t="s">
        <v>959</v>
      </c>
      <c r="M965">
        <v>2.2900763358778602</v>
      </c>
      <c r="N965" t="s">
        <v>960</v>
      </c>
      <c r="O965">
        <v>0</v>
      </c>
      <c r="P965">
        <v>0</v>
      </c>
      <c r="Q965">
        <v>0</v>
      </c>
      <c r="R965" t="s">
        <v>5019</v>
      </c>
    </row>
    <row r="966" spans="1:18" ht="16" x14ac:dyDescent="0.2">
      <c r="A966" s="127" t="s">
        <v>954</v>
      </c>
      <c r="B966" t="s">
        <v>478</v>
      </c>
      <c r="C966" t="s">
        <v>2539</v>
      </c>
      <c r="D966" t="s">
        <v>2540</v>
      </c>
      <c r="E966" t="s">
        <v>1059</v>
      </c>
      <c r="F966">
        <v>4</v>
      </c>
      <c r="G966">
        <v>2</v>
      </c>
      <c r="H966">
        <v>10.687437309164901</v>
      </c>
      <c r="I966" t="s">
        <v>957</v>
      </c>
      <c r="J966" t="s">
        <v>2541</v>
      </c>
      <c r="K966">
        <v>2.8571428571428598E-2</v>
      </c>
      <c r="L966" t="s">
        <v>959</v>
      </c>
      <c r="M966">
        <v>0.76335877862595403</v>
      </c>
      <c r="N966" t="s">
        <v>960</v>
      </c>
      <c r="O966">
        <v>0</v>
      </c>
      <c r="P966">
        <v>0</v>
      </c>
      <c r="Q966">
        <v>0</v>
      </c>
      <c r="R966">
        <v>0</v>
      </c>
    </row>
    <row r="967" spans="1:18" ht="16" x14ac:dyDescent="0.2">
      <c r="A967" s="127" t="s">
        <v>954</v>
      </c>
      <c r="B967" t="s">
        <v>478</v>
      </c>
      <c r="C967" t="s">
        <v>2339</v>
      </c>
      <c r="D967" t="s">
        <v>2340</v>
      </c>
      <c r="E967" t="s">
        <v>2436</v>
      </c>
      <c r="F967">
        <v>7</v>
      </c>
      <c r="G967">
        <v>3</v>
      </c>
      <c r="H967">
        <v>7.7115789915059798</v>
      </c>
      <c r="I967" t="s">
        <v>957</v>
      </c>
      <c r="J967" t="s">
        <v>2437</v>
      </c>
      <c r="K967">
        <v>0.1</v>
      </c>
      <c r="L967" t="s">
        <v>959</v>
      </c>
      <c r="M967">
        <v>1.5267175572519101</v>
      </c>
      <c r="N967" t="s">
        <v>960</v>
      </c>
      <c r="O967">
        <v>0</v>
      </c>
      <c r="P967">
        <v>0</v>
      </c>
      <c r="Q967">
        <v>0</v>
      </c>
      <c r="R967">
        <v>0</v>
      </c>
    </row>
    <row r="968" spans="1:18" ht="16" x14ac:dyDescent="0.2">
      <c r="A968" s="127" t="s">
        <v>954</v>
      </c>
      <c r="B968" t="s">
        <v>478</v>
      </c>
      <c r="C968" t="s">
        <v>1771</v>
      </c>
      <c r="D968" t="s">
        <v>1772</v>
      </c>
      <c r="E968" t="s">
        <v>1773</v>
      </c>
      <c r="F968">
        <v>10</v>
      </c>
      <c r="G968">
        <v>3</v>
      </c>
      <c r="H968">
        <v>11.5721552742342</v>
      </c>
      <c r="I968" t="s">
        <v>957</v>
      </c>
      <c r="J968" t="s">
        <v>1774</v>
      </c>
      <c r="K968">
        <v>2.1428571428571401E-2</v>
      </c>
      <c r="L968" t="s">
        <v>959</v>
      </c>
      <c r="M968">
        <v>0.76335877862595403</v>
      </c>
      <c r="N968" t="s">
        <v>960</v>
      </c>
      <c r="O968">
        <v>0</v>
      </c>
      <c r="P968">
        <v>0</v>
      </c>
      <c r="Q968">
        <v>0</v>
      </c>
      <c r="R968">
        <v>0</v>
      </c>
    </row>
    <row r="969" spans="1:18" ht="16" x14ac:dyDescent="0.2">
      <c r="A969" s="127" t="s">
        <v>954</v>
      </c>
      <c r="B969" t="s">
        <v>478</v>
      </c>
      <c r="C969" t="s">
        <v>1528</v>
      </c>
      <c r="D969" t="s">
        <v>1529</v>
      </c>
      <c r="E969">
        <v>3</v>
      </c>
      <c r="F969">
        <v>3</v>
      </c>
      <c r="G969">
        <v>1</v>
      </c>
      <c r="H969">
        <v>4.5668849660589101</v>
      </c>
      <c r="I969" t="s">
        <v>957</v>
      </c>
      <c r="J969" t="s">
        <v>1530</v>
      </c>
      <c r="K969">
        <v>2.1428571428571401E-2</v>
      </c>
      <c r="L969" t="s">
        <v>959</v>
      </c>
      <c r="M969">
        <v>2.2900763358778602</v>
      </c>
      <c r="N969" t="s">
        <v>960</v>
      </c>
      <c r="O969">
        <v>0</v>
      </c>
      <c r="P969" t="s">
        <v>5017</v>
      </c>
      <c r="Q969">
        <v>0</v>
      </c>
      <c r="R969">
        <v>0</v>
      </c>
    </row>
    <row r="970" spans="1:18" ht="16" x14ac:dyDescent="0.2">
      <c r="A970" s="127" t="s">
        <v>954</v>
      </c>
      <c r="B970" t="s">
        <v>482</v>
      </c>
      <c r="C970" t="s">
        <v>3672</v>
      </c>
      <c r="D970" t="s">
        <v>3673</v>
      </c>
      <c r="E970">
        <v>3</v>
      </c>
      <c r="F970">
        <v>3</v>
      </c>
      <c r="G970">
        <v>1</v>
      </c>
      <c r="H970">
        <v>6.2620784927354904</v>
      </c>
      <c r="I970" t="s">
        <v>957</v>
      </c>
      <c r="J970" t="s">
        <v>3674</v>
      </c>
      <c r="K970">
        <v>5.7142857142857099E-2</v>
      </c>
      <c r="L970" t="s">
        <v>959</v>
      </c>
      <c r="M970">
        <v>0.76335877862595403</v>
      </c>
      <c r="N970" t="s">
        <v>960</v>
      </c>
      <c r="O970">
        <v>0</v>
      </c>
      <c r="P970">
        <v>0</v>
      </c>
      <c r="Q970">
        <v>0</v>
      </c>
      <c r="R970">
        <v>0</v>
      </c>
    </row>
    <row r="971" spans="1:18" ht="16" x14ac:dyDescent="0.2">
      <c r="A971" s="127" t="s">
        <v>954</v>
      </c>
      <c r="B971" t="s">
        <v>482</v>
      </c>
      <c r="C971" t="s">
        <v>1564</v>
      </c>
      <c r="D971" t="s">
        <v>1565</v>
      </c>
      <c r="E971">
        <v>4</v>
      </c>
      <c r="F971">
        <v>4</v>
      </c>
      <c r="G971">
        <v>1</v>
      </c>
      <c r="H971">
        <v>4.8821908631416999</v>
      </c>
      <c r="I971" t="s">
        <v>957</v>
      </c>
      <c r="J971" t="s">
        <v>1566</v>
      </c>
      <c r="K971">
        <v>8.5714285714285701E-2</v>
      </c>
      <c r="L971" t="s">
        <v>959</v>
      </c>
      <c r="M971">
        <v>2.2900763358778602</v>
      </c>
      <c r="N971" t="s">
        <v>960</v>
      </c>
      <c r="O971">
        <v>0</v>
      </c>
      <c r="P971">
        <v>0</v>
      </c>
      <c r="Q971">
        <v>0</v>
      </c>
      <c r="R971">
        <v>0</v>
      </c>
    </row>
    <row r="972" spans="1:18" ht="16" x14ac:dyDescent="0.2">
      <c r="A972" s="127" t="s">
        <v>954</v>
      </c>
      <c r="B972" t="s">
        <v>482</v>
      </c>
      <c r="C972" t="s">
        <v>1754</v>
      </c>
      <c r="D972" t="s">
        <v>1755</v>
      </c>
      <c r="E972" t="s">
        <v>2438</v>
      </c>
      <c r="F972">
        <v>10</v>
      </c>
      <c r="G972">
        <v>2</v>
      </c>
      <c r="H972">
        <v>8.8946044852080703</v>
      </c>
      <c r="I972" t="s">
        <v>957</v>
      </c>
      <c r="J972" t="s">
        <v>2970</v>
      </c>
      <c r="K972">
        <v>2.1428571428571401E-2</v>
      </c>
      <c r="L972" t="s">
        <v>959</v>
      </c>
      <c r="M972">
        <v>2.2900763358778602</v>
      </c>
      <c r="N972" t="s">
        <v>960</v>
      </c>
      <c r="O972">
        <v>0</v>
      </c>
      <c r="P972">
        <v>0</v>
      </c>
      <c r="Q972">
        <v>0</v>
      </c>
      <c r="R972" t="s">
        <v>5019</v>
      </c>
    </row>
    <row r="973" spans="1:18" ht="16" x14ac:dyDescent="0.2">
      <c r="A973" s="127" t="s">
        <v>954</v>
      </c>
      <c r="B973" t="s">
        <v>482</v>
      </c>
      <c r="C973" t="s">
        <v>2026</v>
      </c>
      <c r="D973" t="s">
        <v>2027</v>
      </c>
      <c r="E973">
        <v>4</v>
      </c>
      <c r="F973">
        <v>4</v>
      </c>
      <c r="G973">
        <v>1</v>
      </c>
      <c r="H973">
        <v>8.7546510798037893</v>
      </c>
      <c r="I973" t="s">
        <v>957</v>
      </c>
      <c r="J973" t="s">
        <v>2028</v>
      </c>
      <c r="K973">
        <v>4.2857142857142899E-2</v>
      </c>
      <c r="L973" t="s">
        <v>959</v>
      </c>
      <c r="M973">
        <v>0.76335877862595403</v>
      </c>
      <c r="N973" t="s">
        <v>960</v>
      </c>
      <c r="O973">
        <v>0</v>
      </c>
      <c r="P973">
        <v>0</v>
      </c>
      <c r="Q973">
        <v>0</v>
      </c>
      <c r="R973">
        <v>0</v>
      </c>
    </row>
    <row r="974" spans="1:18" ht="16" x14ac:dyDescent="0.2">
      <c r="A974" s="127" t="s">
        <v>954</v>
      </c>
      <c r="B974" t="s">
        <v>482</v>
      </c>
      <c r="C974" t="s">
        <v>1641</v>
      </c>
      <c r="D974" t="s">
        <v>1642</v>
      </c>
      <c r="E974">
        <v>3</v>
      </c>
      <c r="F974">
        <v>3</v>
      </c>
      <c r="G974">
        <v>1</v>
      </c>
      <c r="H974">
        <v>6.0037656317127004</v>
      </c>
      <c r="I974" t="s">
        <v>957</v>
      </c>
      <c r="J974" t="s">
        <v>1643</v>
      </c>
      <c r="K974">
        <v>7.8571428571428598E-2</v>
      </c>
      <c r="L974" t="s">
        <v>959</v>
      </c>
      <c r="M974">
        <v>1.5267175572519101</v>
      </c>
      <c r="N974" t="s">
        <v>960</v>
      </c>
      <c r="O974">
        <v>0</v>
      </c>
      <c r="P974">
        <v>0</v>
      </c>
      <c r="Q974">
        <v>0</v>
      </c>
      <c r="R974">
        <v>0</v>
      </c>
    </row>
    <row r="975" spans="1:18" ht="16" x14ac:dyDescent="0.2">
      <c r="A975" s="127" t="s">
        <v>954</v>
      </c>
      <c r="B975" t="s">
        <v>482</v>
      </c>
      <c r="C975" t="s">
        <v>3337</v>
      </c>
      <c r="E975">
        <v>3</v>
      </c>
      <c r="F975">
        <v>3</v>
      </c>
      <c r="G975">
        <v>1</v>
      </c>
      <c r="H975">
        <v>9.8631957611800996</v>
      </c>
      <c r="I975" t="s">
        <v>957</v>
      </c>
      <c r="J975" t="s">
        <v>3338</v>
      </c>
      <c r="K975">
        <v>1.4285714285714299E-2</v>
      </c>
      <c r="L975" t="s">
        <v>959</v>
      </c>
      <c r="M975">
        <v>0.76335877862595403</v>
      </c>
      <c r="N975" t="s">
        <v>960</v>
      </c>
      <c r="O975">
        <v>0</v>
      </c>
      <c r="P975">
        <v>0</v>
      </c>
      <c r="Q975">
        <v>0</v>
      </c>
      <c r="R975">
        <v>0</v>
      </c>
    </row>
    <row r="976" spans="1:18" ht="16" x14ac:dyDescent="0.2">
      <c r="A976" s="127" t="s">
        <v>954</v>
      </c>
      <c r="B976" t="s">
        <v>482</v>
      </c>
      <c r="C976" t="s">
        <v>2416</v>
      </c>
      <c r="D976" t="s">
        <v>2417</v>
      </c>
      <c r="E976">
        <v>3</v>
      </c>
      <c r="F976">
        <v>3</v>
      </c>
      <c r="G976">
        <v>1</v>
      </c>
      <c r="H976">
        <v>5.6490241964332499</v>
      </c>
      <c r="I976" t="s">
        <v>957</v>
      </c>
      <c r="J976" t="s">
        <v>2418</v>
      </c>
      <c r="K976">
        <v>0.107142857142857</v>
      </c>
      <c r="L976" t="s">
        <v>959</v>
      </c>
      <c r="M976">
        <v>2.2900763358778602</v>
      </c>
      <c r="N976" t="s">
        <v>960</v>
      </c>
      <c r="O976">
        <v>0</v>
      </c>
      <c r="P976">
        <v>0</v>
      </c>
      <c r="Q976">
        <v>0</v>
      </c>
      <c r="R976">
        <v>0</v>
      </c>
    </row>
    <row r="977" spans="1:18" ht="16" x14ac:dyDescent="0.2">
      <c r="A977" s="127" t="s">
        <v>954</v>
      </c>
      <c r="B977" t="s">
        <v>482</v>
      </c>
      <c r="C977" t="s">
        <v>1013</v>
      </c>
      <c r="D977" t="s">
        <v>1014</v>
      </c>
      <c r="E977">
        <v>3</v>
      </c>
      <c r="F977">
        <v>3</v>
      </c>
      <c r="G977">
        <v>1</v>
      </c>
      <c r="H977">
        <v>6.7256899972516804</v>
      </c>
      <c r="I977" t="s">
        <v>957</v>
      </c>
      <c r="J977" t="s">
        <v>2266</v>
      </c>
      <c r="K977">
        <v>7.1428571428571397E-2</v>
      </c>
      <c r="L977" t="s">
        <v>959</v>
      </c>
      <c r="M977">
        <v>1.5267175572519101</v>
      </c>
      <c r="N977" t="s">
        <v>960</v>
      </c>
      <c r="O977">
        <v>0</v>
      </c>
      <c r="P977">
        <v>0</v>
      </c>
      <c r="Q977">
        <v>0</v>
      </c>
      <c r="R977">
        <v>0</v>
      </c>
    </row>
    <row r="978" spans="1:18" ht="16" x14ac:dyDescent="0.2">
      <c r="A978" s="127" t="s">
        <v>954</v>
      </c>
      <c r="B978" t="s">
        <v>482</v>
      </c>
      <c r="C978" t="s">
        <v>1430</v>
      </c>
      <c r="D978" t="s">
        <v>1431</v>
      </c>
      <c r="E978" t="s">
        <v>1692</v>
      </c>
      <c r="F978">
        <v>5</v>
      </c>
      <c r="G978">
        <v>2</v>
      </c>
      <c r="H978">
        <v>4.90436045201103</v>
      </c>
      <c r="I978" t="s">
        <v>957</v>
      </c>
      <c r="J978" t="s">
        <v>2498</v>
      </c>
      <c r="K978">
        <v>0.15</v>
      </c>
      <c r="L978" t="s">
        <v>959</v>
      </c>
      <c r="M978">
        <v>2.2900763358778602</v>
      </c>
      <c r="N978" t="s">
        <v>960</v>
      </c>
      <c r="O978">
        <v>0</v>
      </c>
      <c r="P978">
        <v>0</v>
      </c>
      <c r="Q978">
        <v>0</v>
      </c>
      <c r="R978">
        <v>0</v>
      </c>
    </row>
    <row r="979" spans="1:18" ht="16" x14ac:dyDescent="0.2">
      <c r="A979" s="127" t="s">
        <v>954</v>
      </c>
      <c r="B979" t="s">
        <v>482</v>
      </c>
      <c r="C979" t="s">
        <v>1983</v>
      </c>
      <c r="D979" t="s">
        <v>1984</v>
      </c>
      <c r="E979">
        <v>3</v>
      </c>
      <c r="F979">
        <v>3</v>
      </c>
      <c r="G979">
        <v>1</v>
      </c>
      <c r="H979">
        <v>6.3261718590124003</v>
      </c>
      <c r="I979" t="s">
        <v>957</v>
      </c>
      <c r="J979" t="s">
        <v>2584</v>
      </c>
      <c r="K979">
        <v>0.114285714285714</v>
      </c>
      <c r="L979" t="s">
        <v>959</v>
      </c>
      <c r="M979">
        <v>3.0534351145038201</v>
      </c>
      <c r="N979" t="s">
        <v>960</v>
      </c>
      <c r="O979">
        <v>0</v>
      </c>
      <c r="P979">
        <v>0</v>
      </c>
      <c r="Q979">
        <v>0</v>
      </c>
      <c r="R979">
        <v>0</v>
      </c>
    </row>
    <row r="980" spans="1:18" ht="16" x14ac:dyDescent="0.2">
      <c r="A980" s="127" t="s">
        <v>954</v>
      </c>
      <c r="B980" t="s">
        <v>486</v>
      </c>
      <c r="C980" t="s">
        <v>1376</v>
      </c>
      <c r="D980" t="s">
        <v>1377</v>
      </c>
      <c r="E980" t="s">
        <v>1378</v>
      </c>
      <c r="F980">
        <v>11</v>
      </c>
      <c r="G980">
        <v>3</v>
      </c>
      <c r="H980">
        <v>4.9896830234879301</v>
      </c>
      <c r="I980" t="s">
        <v>957</v>
      </c>
      <c r="J980" t="s">
        <v>1379</v>
      </c>
      <c r="K980">
        <v>0.17142857142857101</v>
      </c>
      <c r="L980" t="s">
        <v>959</v>
      </c>
      <c r="M980">
        <v>2.2900763358778602</v>
      </c>
      <c r="N980" t="s">
        <v>960</v>
      </c>
      <c r="O980">
        <v>0</v>
      </c>
      <c r="P980">
        <v>0</v>
      </c>
      <c r="Q980">
        <v>0</v>
      </c>
      <c r="R980">
        <v>0</v>
      </c>
    </row>
    <row r="981" spans="1:18" ht="16" x14ac:dyDescent="0.2">
      <c r="A981" s="127" t="s">
        <v>954</v>
      </c>
      <c r="B981" t="s">
        <v>486</v>
      </c>
      <c r="C981" t="s">
        <v>1536</v>
      </c>
      <c r="D981" t="s">
        <v>1537</v>
      </c>
      <c r="E981">
        <v>3</v>
      </c>
      <c r="F981">
        <v>3</v>
      </c>
      <c r="G981">
        <v>1</v>
      </c>
      <c r="H981">
        <v>8.96015202573731</v>
      </c>
      <c r="I981" t="s">
        <v>957</v>
      </c>
      <c r="J981" t="s">
        <v>1538</v>
      </c>
      <c r="K981">
        <v>3.5714285714285698E-2</v>
      </c>
      <c r="L981" t="s">
        <v>959</v>
      </c>
      <c r="M981">
        <v>0.76335877862595403</v>
      </c>
      <c r="N981" t="s">
        <v>960</v>
      </c>
      <c r="O981">
        <v>0</v>
      </c>
      <c r="P981">
        <v>0</v>
      </c>
      <c r="Q981">
        <v>0</v>
      </c>
      <c r="R981">
        <v>0</v>
      </c>
    </row>
    <row r="982" spans="1:18" ht="16" x14ac:dyDescent="0.2">
      <c r="A982" s="127" t="s">
        <v>954</v>
      </c>
      <c r="B982" t="s">
        <v>486</v>
      </c>
      <c r="C982" t="s">
        <v>1050</v>
      </c>
      <c r="D982" t="s">
        <v>1051</v>
      </c>
      <c r="E982" t="s">
        <v>1052</v>
      </c>
      <c r="F982">
        <v>2</v>
      </c>
      <c r="G982">
        <v>2</v>
      </c>
      <c r="H982">
        <v>6.2276217904109199</v>
      </c>
      <c r="I982" t="s">
        <v>957</v>
      </c>
      <c r="J982" t="s">
        <v>1336</v>
      </c>
      <c r="K982">
        <v>6.4285714285714293E-2</v>
      </c>
      <c r="L982" t="s">
        <v>959</v>
      </c>
      <c r="M982">
        <v>1.5267175572519101</v>
      </c>
      <c r="N982" t="s">
        <v>960</v>
      </c>
      <c r="O982">
        <v>0</v>
      </c>
      <c r="P982">
        <v>0</v>
      </c>
      <c r="Q982">
        <v>0</v>
      </c>
      <c r="R982">
        <v>0</v>
      </c>
    </row>
    <row r="983" spans="1:18" ht="16" x14ac:dyDescent="0.2">
      <c r="A983" s="127" t="s">
        <v>954</v>
      </c>
      <c r="B983" t="s">
        <v>486</v>
      </c>
      <c r="C983" t="s">
        <v>1660</v>
      </c>
      <c r="D983" t="s">
        <v>1661</v>
      </c>
      <c r="E983" t="s">
        <v>1442</v>
      </c>
      <c r="F983">
        <v>5</v>
      </c>
      <c r="G983">
        <v>2</v>
      </c>
      <c r="H983">
        <v>5.4540998801827403</v>
      </c>
      <c r="I983" t="s">
        <v>957</v>
      </c>
      <c r="J983" t="s">
        <v>3562</v>
      </c>
      <c r="K983">
        <v>0.17857142857142899</v>
      </c>
      <c r="L983" t="s">
        <v>959</v>
      </c>
      <c r="M983">
        <v>1.5267175572519101</v>
      </c>
      <c r="N983" t="s">
        <v>960</v>
      </c>
      <c r="O983">
        <v>0</v>
      </c>
      <c r="P983">
        <v>0</v>
      </c>
      <c r="Q983">
        <v>0</v>
      </c>
      <c r="R983">
        <v>0</v>
      </c>
    </row>
    <row r="984" spans="1:18" ht="16" x14ac:dyDescent="0.2">
      <c r="A984" s="127" t="s">
        <v>954</v>
      </c>
      <c r="B984" t="s">
        <v>486</v>
      </c>
      <c r="C984" t="s">
        <v>2742</v>
      </c>
      <c r="D984" t="s">
        <v>2743</v>
      </c>
      <c r="E984">
        <v>7</v>
      </c>
      <c r="F984">
        <v>7</v>
      </c>
      <c r="G984">
        <v>1</v>
      </c>
      <c r="H984">
        <v>10.116527447591601</v>
      </c>
      <c r="I984" t="s">
        <v>957</v>
      </c>
      <c r="J984" t="s">
        <v>2744</v>
      </c>
      <c r="K984">
        <v>5.7142857142857099E-2</v>
      </c>
      <c r="L984" t="s">
        <v>959</v>
      </c>
      <c r="M984">
        <v>0.76335877862595403</v>
      </c>
      <c r="N984" t="s">
        <v>960</v>
      </c>
      <c r="O984">
        <v>0</v>
      </c>
      <c r="P984">
        <v>0</v>
      </c>
      <c r="Q984">
        <v>0</v>
      </c>
      <c r="R984">
        <v>0</v>
      </c>
    </row>
    <row r="985" spans="1:18" ht="16" x14ac:dyDescent="0.2">
      <c r="A985" s="127" t="s">
        <v>954</v>
      </c>
      <c r="B985" t="s">
        <v>486</v>
      </c>
      <c r="C985" t="s">
        <v>2245</v>
      </c>
      <c r="D985" t="s">
        <v>2246</v>
      </c>
      <c r="E985" t="s">
        <v>3311</v>
      </c>
      <c r="F985">
        <v>5</v>
      </c>
      <c r="G985">
        <v>3</v>
      </c>
      <c r="H985">
        <v>5.1170997971953804</v>
      </c>
      <c r="I985" t="s">
        <v>957</v>
      </c>
      <c r="J985" t="s">
        <v>3312</v>
      </c>
      <c r="K985">
        <v>0.16428571428571401</v>
      </c>
      <c r="L985" t="s">
        <v>959</v>
      </c>
      <c r="M985">
        <v>1.5267175572519101</v>
      </c>
      <c r="N985" t="s">
        <v>960</v>
      </c>
      <c r="O985">
        <v>0</v>
      </c>
      <c r="P985">
        <v>0</v>
      </c>
      <c r="Q985">
        <v>0</v>
      </c>
      <c r="R985">
        <v>0</v>
      </c>
    </row>
    <row r="986" spans="1:18" ht="16" x14ac:dyDescent="0.2">
      <c r="A986" s="127" t="s">
        <v>954</v>
      </c>
      <c r="B986" t="s">
        <v>486</v>
      </c>
      <c r="C986" t="s">
        <v>1653</v>
      </c>
      <c r="D986" t="s">
        <v>1654</v>
      </c>
      <c r="E986" t="s">
        <v>1576</v>
      </c>
      <c r="F986">
        <v>4</v>
      </c>
      <c r="G986">
        <v>3</v>
      </c>
      <c r="H986">
        <v>4.7147160842991704</v>
      </c>
      <c r="I986" t="s">
        <v>957</v>
      </c>
      <c r="J986" t="s">
        <v>1655</v>
      </c>
      <c r="K986">
        <v>0.20714285714285699</v>
      </c>
      <c r="L986" t="s">
        <v>959</v>
      </c>
      <c r="M986">
        <v>1.5267175572519101</v>
      </c>
      <c r="N986" t="s">
        <v>960</v>
      </c>
      <c r="O986">
        <v>0</v>
      </c>
      <c r="P986">
        <v>0</v>
      </c>
      <c r="Q986">
        <v>0</v>
      </c>
      <c r="R986">
        <v>0</v>
      </c>
    </row>
    <row r="987" spans="1:18" ht="16" x14ac:dyDescent="0.2">
      <c r="A987" s="127" t="s">
        <v>954</v>
      </c>
      <c r="B987" t="s">
        <v>486</v>
      </c>
      <c r="C987" t="s">
        <v>1244</v>
      </c>
      <c r="D987" t="s">
        <v>1245</v>
      </c>
      <c r="E987">
        <v>4</v>
      </c>
      <c r="F987">
        <v>4</v>
      </c>
      <c r="G987">
        <v>1</v>
      </c>
      <c r="H987">
        <v>4.5687417272642499</v>
      </c>
      <c r="I987" t="s">
        <v>957</v>
      </c>
      <c r="J987" t="s">
        <v>1246</v>
      </c>
      <c r="K987">
        <v>0.121428571428571</v>
      </c>
      <c r="L987" t="s">
        <v>959</v>
      </c>
      <c r="M987">
        <v>2.2900763358778602</v>
      </c>
      <c r="N987" t="s">
        <v>960</v>
      </c>
      <c r="O987">
        <v>0</v>
      </c>
      <c r="P987">
        <v>0</v>
      </c>
      <c r="Q987">
        <v>0</v>
      </c>
      <c r="R987">
        <v>0</v>
      </c>
    </row>
    <row r="988" spans="1:18" ht="16" x14ac:dyDescent="0.2">
      <c r="A988" s="127" t="s">
        <v>954</v>
      </c>
      <c r="B988" t="s">
        <v>490</v>
      </c>
      <c r="C988" t="s">
        <v>1724</v>
      </c>
      <c r="D988" t="s">
        <v>1725</v>
      </c>
      <c r="E988">
        <v>4</v>
      </c>
      <c r="F988">
        <v>4</v>
      </c>
      <c r="G988">
        <v>1</v>
      </c>
      <c r="H988">
        <v>5.38194841093632</v>
      </c>
      <c r="I988" t="s">
        <v>957</v>
      </c>
      <c r="J988" t="s">
        <v>1726</v>
      </c>
      <c r="K988">
        <v>0.128571428571429</v>
      </c>
      <c r="L988" t="s">
        <v>959</v>
      </c>
      <c r="M988">
        <v>0.76335877862595403</v>
      </c>
      <c r="N988" t="s">
        <v>960</v>
      </c>
      <c r="O988">
        <v>0</v>
      </c>
      <c r="P988">
        <v>0</v>
      </c>
      <c r="Q988">
        <v>0</v>
      </c>
      <c r="R988">
        <v>0</v>
      </c>
    </row>
    <row r="989" spans="1:18" ht="16" x14ac:dyDescent="0.2">
      <c r="A989" s="127" t="s">
        <v>954</v>
      </c>
      <c r="B989" t="s">
        <v>490</v>
      </c>
      <c r="C989" t="s">
        <v>2303</v>
      </c>
      <c r="D989" t="s">
        <v>2304</v>
      </c>
      <c r="E989" t="s">
        <v>1022</v>
      </c>
      <c r="F989">
        <v>3</v>
      </c>
      <c r="G989">
        <v>2</v>
      </c>
      <c r="H989">
        <v>4.79081123750065</v>
      </c>
      <c r="I989" t="s">
        <v>957</v>
      </c>
      <c r="J989" t="s">
        <v>2305</v>
      </c>
      <c r="K989">
        <v>0.15</v>
      </c>
      <c r="L989" t="s">
        <v>959</v>
      </c>
      <c r="M989">
        <v>1.5267175572519101</v>
      </c>
      <c r="N989" t="s">
        <v>960</v>
      </c>
      <c r="O989">
        <v>0</v>
      </c>
      <c r="P989">
        <v>0</v>
      </c>
      <c r="Q989">
        <v>0</v>
      </c>
      <c r="R989">
        <v>0</v>
      </c>
    </row>
    <row r="990" spans="1:18" ht="16" x14ac:dyDescent="0.2">
      <c r="A990" s="127" t="s">
        <v>954</v>
      </c>
      <c r="B990" t="s">
        <v>490</v>
      </c>
      <c r="C990" t="s">
        <v>1329</v>
      </c>
      <c r="D990" t="s">
        <v>1330</v>
      </c>
      <c r="E990" t="s">
        <v>1265</v>
      </c>
      <c r="F990">
        <v>6</v>
      </c>
      <c r="G990">
        <v>2</v>
      </c>
      <c r="H990">
        <v>4.5710035900904096</v>
      </c>
      <c r="I990" t="s">
        <v>957</v>
      </c>
      <c r="J990" t="s">
        <v>3398</v>
      </c>
      <c r="K990">
        <v>0.14285714285714299</v>
      </c>
      <c r="L990" t="s">
        <v>959</v>
      </c>
      <c r="M990">
        <v>2.2900763358778602</v>
      </c>
      <c r="N990" t="s">
        <v>960</v>
      </c>
      <c r="O990">
        <v>0</v>
      </c>
      <c r="P990">
        <v>0</v>
      </c>
      <c r="Q990">
        <v>0</v>
      </c>
      <c r="R990">
        <v>0</v>
      </c>
    </row>
    <row r="991" spans="1:18" ht="16" x14ac:dyDescent="0.2">
      <c r="A991" s="127" t="s">
        <v>954</v>
      </c>
      <c r="B991" t="s">
        <v>490</v>
      </c>
      <c r="C991" t="s">
        <v>1365</v>
      </c>
      <c r="D991" t="s">
        <v>1366</v>
      </c>
      <c r="E991" t="s">
        <v>1059</v>
      </c>
      <c r="F991">
        <v>4</v>
      </c>
      <c r="G991">
        <v>2</v>
      </c>
      <c r="H991">
        <v>6.6919951788276997</v>
      </c>
      <c r="I991" t="s">
        <v>957</v>
      </c>
      <c r="J991" t="s">
        <v>1367</v>
      </c>
      <c r="K991">
        <v>7.8571428571428598E-2</v>
      </c>
      <c r="L991" t="s">
        <v>959</v>
      </c>
      <c r="M991">
        <v>2.2900763358778602</v>
      </c>
      <c r="N991" t="s">
        <v>960</v>
      </c>
      <c r="O991">
        <v>0</v>
      </c>
      <c r="P991">
        <v>0</v>
      </c>
      <c r="Q991">
        <v>0</v>
      </c>
      <c r="R991">
        <v>0</v>
      </c>
    </row>
    <row r="992" spans="1:18" ht="16" x14ac:dyDescent="0.2">
      <c r="A992" s="127" t="s">
        <v>954</v>
      </c>
      <c r="B992" t="s">
        <v>490</v>
      </c>
      <c r="C992" t="s">
        <v>2054</v>
      </c>
      <c r="D992" t="s">
        <v>2055</v>
      </c>
      <c r="E992">
        <v>3</v>
      </c>
      <c r="F992">
        <v>3</v>
      </c>
      <c r="G992">
        <v>1</v>
      </c>
      <c r="H992">
        <v>5.42034295107488</v>
      </c>
      <c r="I992" t="s">
        <v>957</v>
      </c>
      <c r="J992" t="s">
        <v>2056</v>
      </c>
      <c r="K992">
        <v>5.7142857142857099E-2</v>
      </c>
      <c r="L992" t="s">
        <v>959</v>
      </c>
      <c r="M992">
        <v>1.5267175572519101</v>
      </c>
      <c r="N992" t="s">
        <v>960</v>
      </c>
      <c r="O992">
        <v>0</v>
      </c>
      <c r="P992">
        <v>0</v>
      </c>
      <c r="Q992">
        <v>0</v>
      </c>
      <c r="R992">
        <v>0</v>
      </c>
    </row>
    <row r="993" spans="1:18" ht="16" x14ac:dyDescent="0.2">
      <c r="A993" s="127" t="s">
        <v>954</v>
      </c>
      <c r="B993" t="s">
        <v>490</v>
      </c>
      <c r="C993" t="s">
        <v>3367</v>
      </c>
      <c r="D993" t="s">
        <v>3368</v>
      </c>
      <c r="E993" t="s">
        <v>1102</v>
      </c>
      <c r="F993">
        <v>4</v>
      </c>
      <c r="G993">
        <v>2</v>
      </c>
      <c r="H993">
        <v>5.9325362259680601</v>
      </c>
      <c r="I993" t="s">
        <v>957</v>
      </c>
      <c r="J993" t="s">
        <v>3514</v>
      </c>
      <c r="K993">
        <v>0.114285714285714</v>
      </c>
      <c r="L993" t="s">
        <v>959</v>
      </c>
      <c r="M993">
        <v>1.5267175572519101</v>
      </c>
      <c r="N993" t="s">
        <v>960</v>
      </c>
      <c r="O993">
        <v>0</v>
      </c>
      <c r="P993">
        <v>0</v>
      </c>
      <c r="Q993">
        <v>0</v>
      </c>
      <c r="R993">
        <v>0</v>
      </c>
    </row>
    <row r="994" spans="1:18" ht="16" x14ac:dyDescent="0.2">
      <c r="A994" s="127" t="s">
        <v>954</v>
      </c>
      <c r="B994" t="s">
        <v>498</v>
      </c>
      <c r="C994" t="s">
        <v>1919</v>
      </c>
      <c r="D994" t="s">
        <v>1920</v>
      </c>
      <c r="E994" t="s">
        <v>1216</v>
      </c>
      <c r="F994">
        <v>7</v>
      </c>
      <c r="G994">
        <v>2</v>
      </c>
      <c r="H994">
        <v>5.3851648071344904</v>
      </c>
      <c r="I994" t="s">
        <v>957</v>
      </c>
      <c r="J994" t="s">
        <v>1921</v>
      </c>
      <c r="K994">
        <v>3.4482758620689703E-2</v>
      </c>
      <c r="L994" t="s">
        <v>972</v>
      </c>
      <c r="M994">
        <v>0.76335877862595403</v>
      </c>
      <c r="N994" t="s">
        <v>973</v>
      </c>
      <c r="O994">
        <v>0</v>
      </c>
      <c r="P994">
        <v>0</v>
      </c>
      <c r="Q994">
        <v>0</v>
      </c>
      <c r="R994">
        <v>0</v>
      </c>
    </row>
    <row r="995" spans="1:18" ht="16" x14ac:dyDescent="0.2">
      <c r="A995" s="127" t="s">
        <v>954</v>
      </c>
      <c r="B995" t="s">
        <v>498</v>
      </c>
      <c r="C995" t="s">
        <v>3645</v>
      </c>
      <c r="D995" t="s">
        <v>3646</v>
      </c>
      <c r="E995">
        <v>10</v>
      </c>
      <c r="F995">
        <v>10</v>
      </c>
      <c r="G995">
        <v>1</v>
      </c>
      <c r="H995">
        <v>8.7684061171281193</v>
      </c>
      <c r="I995" t="s">
        <v>957</v>
      </c>
      <c r="J995" t="s">
        <v>3647</v>
      </c>
      <c r="K995">
        <v>0.14285714285714299</v>
      </c>
      <c r="L995" t="s">
        <v>959</v>
      </c>
      <c r="M995">
        <v>0.76335877862595403</v>
      </c>
      <c r="N995" t="s">
        <v>960</v>
      </c>
      <c r="O995">
        <v>0</v>
      </c>
      <c r="P995">
        <v>0</v>
      </c>
      <c r="Q995">
        <v>0</v>
      </c>
      <c r="R995">
        <v>0</v>
      </c>
    </row>
    <row r="996" spans="1:18" ht="16" x14ac:dyDescent="0.2">
      <c r="A996" s="127" t="s">
        <v>954</v>
      </c>
      <c r="B996" t="s">
        <v>498</v>
      </c>
      <c r="C996" t="s">
        <v>1690</v>
      </c>
      <c r="D996" t="s">
        <v>1691</v>
      </c>
      <c r="E996" t="s">
        <v>1692</v>
      </c>
      <c r="F996">
        <v>5</v>
      </c>
      <c r="G996">
        <v>2</v>
      </c>
      <c r="H996">
        <v>10.0485454293056</v>
      </c>
      <c r="I996" t="s">
        <v>957</v>
      </c>
      <c r="J996" t="s">
        <v>1693</v>
      </c>
      <c r="K996">
        <v>6.4285714285714293E-2</v>
      </c>
      <c r="L996" t="s">
        <v>959</v>
      </c>
      <c r="M996">
        <v>0.76335877862595403</v>
      </c>
      <c r="N996" t="s">
        <v>960</v>
      </c>
      <c r="O996">
        <v>0</v>
      </c>
      <c r="P996">
        <v>0</v>
      </c>
      <c r="Q996">
        <v>0</v>
      </c>
      <c r="R996">
        <v>0</v>
      </c>
    </row>
    <row r="997" spans="1:18" ht="16" x14ac:dyDescent="0.2">
      <c r="A997" s="127" t="s">
        <v>954</v>
      </c>
      <c r="B997" t="s">
        <v>498</v>
      </c>
      <c r="C997" t="s">
        <v>2019</v>
      </c>
      <c r="D997" t="s">
        <v>2020</v>
      </c>
      <c r="E997" t="s">
        <v>2021</v>
      </c>
      <c r="F997">
        <v>66</v>
      </c>
      <c r="G997">
        <v>5</v>
      </c>
      <c r="H997">
        <v>5.38516480713451</v>
      </c>
      <c r="I997" t="s">
        <v>957</v>
      </c>
      <c r="J997" t="s">
        <v>2022</v>
      </c>
      <c r="K997" t="s">
        <v>2023</v>
      </c>
      <c r="L997" t="s">
        <v>2024</v>
      </c>
      <c r="M997">
        <v>0.76335877862595403</v>
      </c>
      <c r="N997" t="s">
        <v>987</v>
      </c>
      <c r="O997">
        <v>0</v>
      </c>
      <c r="P997">
        <v>0</v>
      </c>
      <c r="Q997">
        <v>0</v>
      </c>
      <c r="R997">
        <v>0</v>
      </c>
    </row>
    <row r="998" spans="1:18" ht="16" x14ac:dyDescent="0.2">
      <c r="A998" s="127" t="s">
        <v>954</v>
      </c>
      <c r="B998" t="s">
        <v>498</v>
      </c>
      <c r="C998" t="s">
        <v>2427</v>
      </c>
      <c r="D998" t="s">
        <v>2428</v>
      </c>
      <c r="E998">
        <v>5</v>
      </c>
      <c r="F998">
        <v>5</v>
      </c>
      <c r="G998">
        <v>1</v>
      </c>
      <c r="H998">
        <v>6.0179029812761797</v>
      </c>
      <c r="I998" t="s">
        <v>957</v>
      </c>
      <c r="J998" t="s">
        <v>3563</v>
      </c>
      <c r="K998">
        <v>0.128571428571429</v>
      </c>
      <c r="L998" t="s">
        <v>959</v>
      </c>
      <c r="M998">
        <v>1.5267175572519101</v>
      </c>
      <c r="N998" t="s">
        <v>960</v>
      </c>
      <c r="O998">
        <v>0</v>
      </c>
      <c r="P998">
        <v>0</v>
      </c>
      <c r="Q998">
        <v>0</v>
      </c>
      <c r="R998">
        <v>0</v>
      </c>
    </row>
    <row r="999" spans="1:18" ht="16" x14ac:dyDescent="0.2">
      <c r="A999" s="127" t="s">
        <v>954</v>
      </c>
      <c r="B999" t="s">
        <v>498</v>
      </c>
      <c r="C999" t="s">
        <v>434</v>
      </c>
      <c r="D999" t="s">
        <v>3685</v>
      </c>
      <c r="E999">
        <v>3</v>
      </c>
      <c r="F999">
        <v>3</v>
      </c>
      <c r="G999">
        <v>1</v>
      </c>
      <c r="H999">
        <v>11.8321595661992</v>
      </c>
      <c r="I999" t="s">
        <v>957</v>
      </c>
      <c r="J999" t="s">
        <v>3686</v>
      </c>
      <c r="K999">
        <v>7.14285714285714E-3</v>
      </c>
      <c r="L999" t="s">
        <v>959</v>
      </c>
      <c r="M999">
        <v>0.76335877862595403</v>
      </c>
      <c r="N999" t="s">
        <v>960</v>
      </c>
      <c r="O999">
        <v>0</v>
      </c>
      <c r="P999">
        <v>0</v>
      </c>
      <c r="Q999">
        <v>0</v>
      </c>
      <c r="R999">
        <v>0</v>
      </c>
    </row>
    <row r="1000" spans="1:18" ht="16" x14ac:dyDescent="0.2">
      <c r="A1000" s="127" t="s">
        <v>954</v>
      </c>
      <c r="B1000" t="s">
        <v>498</v>
      </c>
      <c r="C1000" t="s">
        <v>1365</v>
      </c>
      <c r="D1000" t="s">
        <v>1366</v>
      </c>
      <c r="E1000" t="s">
        <v>1230</v>
      </c>
      <c r="F1000">
        <v>4</v>
      </c>
      <c r="G1000">
        <v>2</v>
      </c>
      <c r="H1000">
        <v>6.6919951788276997</v>
      </c>
      <c r="I1000" t="s">
        <v>957</v>
      </c>
      <c r="J1000" t="s">
        <v>1652</v>
      </c>
      <c r="K1000">
        <v>7.8571428571428598E-2</v>
      </c>
      <c r="L1000" t="s">
        <v>959</v>
      </c>
      <c r="M1000">
        <v>2.2900763358778602</v>
      </c>
      <c r="N1000" t="s">
        <v>960</v>
      </c>
      <c r="O1000">
        <v>0</v>
      </c>
      <c r="P1000">
        <v>0</v>
      </c>
      <c r="Q1000">
        <v>0</v>
      </c>
      <c r="R1000">
        <v>0</v>
      </c>
    </row>
    <row r="1001" spans="1:18" ht="16" x14ac:dyDescent="0.2">
      <c r="A1001" s="127" t="s">
        <v>954</v>
      </c>
      <c r="B1001" t="s">
        <v>498</v>
      </c>
      <c r="C1001" t="s">
        <v>2134</v>
      </c>
      <c r="D1001" t="s">
        <v>2135</v>
      </c>
      <c r="E1001" t="s">
        <v>1442</v>
      </c>
      <c r="F1001">
        <v>5</v>
      </c>
      <c r="G1001">
        <v>2</v>
      </c>
      <c r="H1001">
        <v>11.8321595661992</v>
      </c>
      <c r="I1001" t="s">
        <v>957</v>
      </c>
      <c r="J1001" t="s">
        <v>2136</v>
      </c>
      <c r="K1001">
        <v>7.14285714285714E-3</v>
      </c>
      <c r="L1001" t="s">
        <v>959</v>
      </c>
      <c r="M1001">
        <v>0.76335877862595403</v>
      </c>
      <c r="N1001" t="s">
        <v>960</v>
      </c>
      <c r="O1001">
        <v>0</v>
      </c>
      <c r="P1001">
        <v>0</v>
      </c>
      <c r="Q1001">
        <v>0</v>
      </c>
      <c r="R1001">
        <v>0</v>
      </c>
    </row>
    <row r="1002" spans="1:18" ht="16" x14ac:dyDescent="0.2">
      <c r="A1002" s="127" t="s">
        <v>954</v>
      </c>
      <c r="B1002" t="s">
        <v>498</v>
      </c>
      <c r="C1002" t="s">
        <v>2239</v>
      </c>
      <c r="D1002" t="s">
        <v>2240</v>
      </c>
      <c r="E1002" t="s">
        <v>1216</v>
      </c>
      <c r="F1002">
        <v>7</v>
      </c>
      <c r="G1002">
        <v>2</v>
      </c>
      <c r="H1002">
        <v>5.3851648071345002</v>
      </c>
      <c r="I1002" t="s">
        <v>957</v>
      </c>
      <c r="J1002" t="s">
        <v>2241</v>
      </c>
      <c r="K1002">
        <v>3.4482758620689703E-2</v>
      </c>
      <c r="L1002" t="s">
        <v>972</v>
      </c>
      <c r="M1002">
        <v>0.76335877862595403</v>
      </c>
      <c r="N1002" t="s">
        <v>973</v>
      </c>
      <c r="O1002">
        <v>0</v>
      </c>
      <c r="P1002">
        <v>0</v>
      </c>
      <c r="Q1002">
        <v>0</v>
      </c>
      <c r="R1002">
        <v>0</v>
      </c>
    </row>
    <row r="1003" spans="1:18" ht="16" x14ac:dyDescent="0.2">
      <c r="A1003" s="127" t="s">
        <v>954</v>
      </c>
      <c r="B1003" t="s">
        <v>502</v>
      </c>
      <c r="C1003" t="s">
        <v>1788</v>
      </c>
      <c r="D1003" t="s">
        <v>1789</v>
      </c>
      <c r="E1003" t="s">
        <v>1790</v>
      </c>
      <c r="F1003">
        <v>22</v>
      </c>
      <c r="G1003">
        <v>3</v>
      </c>
      <c r="H1003">
        <v>11.8321595661993</v>
      </c>
      <c r="I1003" t="s">
        <v>957</v>
      </c>
      <c r="J1003" t="s">
        <v>1791</v>
      </c>
      <c r="K1003">
        <v>7.14285714285714E-3</v>
      </c>
      <c r="L1003" t="s">
        <v>959</v>
      </c>
      <c r="M1003">
        <v>0.76335877862595403</v>
      </c>
      <c r="N1003" t="s">
        <v>960</v>
      </c>
      <c r="O1003">
        <v>0</v>
      </c>
      <c r="P1003">
        <v>0</v>
      </c>
      <c r="Q1003">
        <v>0</v>
      </c>
      <c r="R1003">
        <v>0</v>
      </c>
    </row>
    <row r="1004" spans="1:18" ht="16" x14ac:dyDescent="0.2">
      <c r="A1004" s="127" t="s">
        <v>954</v>
      </c>
      <c r="B1004" t="s">
        <v>502</v>
      </c>
      <c r="C1004" t="s">
        <v>3185</v>
      </c>
      <c r="D1004" t="s">
        <v>3186</v>
      </c>
      <c r="E1004">
        <v>3</v>
      </c>
      <c r="F1004">
        <v>3</v>
      </c>
      <c r="G1004">
        <v>1</v>
      </c>
      <c r="H1004">
        <v>10.320921222120401</v>
      </c>
      <c r="I1004" t="s">
        <v>957</v>
      </c>
      <c r="J1004" t="s">
        <v>3187</v>
      </c>
      <c r="K1004">
        <v>2.8571428571428598E-2</v>
      </c>
      <c r="L1004" t="s">
        <v>959</v>
      </c>
      <c r="M1004">
        <v>0.76335877862595403</v>
      </c>
      <c r="N1004" t="s">
        <v>960</v>
      </c>
      <c r="O1004">
        <v>0</v>
      </c>
      <c r="P1004">
        <v>0</v>
      </c>
      <c r="Q1004">
        <v>0</v>
      </c>
      <c r="R1004">
        <v>0</v>
      </c>
    </row>
    <row r="1005" spans="1:18" ht="16" x14ac:dyDescent="0.2">
      <c r="A1005" s="127" t="s">
        <v>954</v>
      </c>
      <c r="B1005" t="s">
        <v>502</v>
      </c>
      <c r="C1005" t="s">
        <v>2746</v>
      </c>
      <c r="D1005" t="s">
        <v>2747</v>
      </c>
      <c r="E1005">
        <v>3</v>
      </c>
      <c r="F1005">
        <v>3</v>
      </c>
      <c r="G1005">
        <v>1</v>
      </c>
      <c r="H1005">
        <v>11.8321595661992</v>
      </c>
      <c r="I1005" t="s">
        <v>957</v>
      </c>
      <c r="J1005" t="s">
        <v>2748</v>
      </c>
      <c r="K1005">
        <v>7.14285714285714E-3</v>
      </c>
      <c r="L1005" t="s">
        <v>959</v>
      </c>
      <c r="M1005">
        <v>0.76335877862595403</v>
      </c>
      <c r="N1005" t="s">
        <v>960</v>
      </c>
      <c r="O1005">
        <v>0</v>
      </c>
      <c r="P1005">
        <v>0</v>
      </c>
      <c r="Q1005">
        <v>0</v>
      </c>
      <c r="R1005">
        <v>0</v>
      </c>
    </row>
    <row r="1006" spans="1:18" ht="16" x14ac:dyDescent="0.2">
      <c r="A1006" s="127" t="s">
        <v>954</v>
      </c>
      <c r="B1006" t="s">
        <v>502</v>
      </c>
      <c r="C1006" t="s">
        <v>2255</v>
      </c>
      <c r="D1006" t="s">
        <v>2256</v>
      </c>
      <c r="E1006" t="s">
        <v>2257</v>
      </c>
      <c r="F1006">
        <v>16</v>
      </c>
      <c r="G1006">
        <v>3</v>
      </c>
      <c r="H1006">
        <v>11.6438973314555</v>
      </c>
      <c r="I1006" t="s">
        <v>957</v>
      </c>
      <c r="J1006" t="s">
        <v>2258</v>
      </c>
      <c r="K1006">
        <v>1.4285714285714299E-2</v>
      </c>
      <c r="L1006" t="s">
        <v>959</v>
      </c>
      <c r="M1006">
        <v>0.76335877862595403</v>
      </c>
      <c r="N1006" t="s">
        <v>960</v>
      </c>
      <c r="O1006">
        <v>0</v>
      </c>
      <c r="P1006">
        <v>0</v>
      </c>
      <c r="Q1006">
        <v>0</v>
      </c>
      <c r="R1006">
        <v>0</v>
      </c>
    </row>
    <row r="1007" spans="1:18" ht="16" x14ac:dyDescent="0.2">
      <c r="A1007" s="127" t="s">
        <v>954</v>
      </c>
      <c r="B1007" t="s">
        <v>502</v>
      </c>
      <c r="C1007" s="128" t="s">
        <v>1906</v>
      </c>
      <c r="D1007" t="s">
        <v>1907</v>
      </c>
      <c r="E1007" t="s">
        <v>1230</v>
      </c>
      <c r="F1007">
        <v>4</v>
      </c>
      <c r="G1007">
        <v>2</v>
      </c>
      <c r="H1007">
        <v>5.3240478150941604</v>
      </c>
      <c r="I1007" t="s">
        <v>957</v>
      </c>
      <c r="J1007" t="s">
        <v>1908</v>
      </c>
      <c r="K1007">
        <v>9.2857142857142902E-2</v>
      </c>
      <c r="L1007" t="s">
        <v>959</v>
      </c>
      <c r="M1007">
        <v>1.5267175572519101</v>
      </c>
      <c r="N1007" s="128" t="s">
        <v>960</v>
      </c>
      <c r="O1007">
        <v>0</v>
      </c>
      <c r="P1007">
        <v>0</v>
      </c>
      <c r="Q1007">
        <v>0</v>
      </c>
      <c r="R1007">
        <v>0</v>
      </c>
    </row>
    <row r="1008" spans="1:18" ht="16" x14ac:dyDescent="0.2">
      <c r="A1008" s="127" t="s">
        <v>954</v>
      </c>
      <c r="B1008" t="s">
        <v>510</v>
      </c>
      <c r="C1008" t="s">
        <v>3201</v>
      </c>
      <c r="D1008" t="s">
        <v>3202</v>
      </c>
      <c r="E1008">
        <v>4</v>
      </c>
      <c r="F1008">
        <v>4</v>
      </c>
      <c r="G1008">
        <v>1</v>
      </c>
      <c r="H1008">
        <v>8.2507846639172708</v>
      </c>
      <c r="I1008" t="s">
        <v>957</v>
      </c>
      <c r="J1008" t="s">
        <v>3203</v>
      </c>
      <c r="K1008">
        <v>5.7142857142857099E-2</v>
      </c>
      <c r="L1008" t="s">
        <v>959</v>
      </c>
      <c r="M1008">
        <v>1.5267175572519101</v>
      </c>
      <c r="N1008" t="s">
        <v>960</v>
      </c>
      <c r="O1008">
        <v>0</v>
      </c>
      <c r="P1008">
        <v>0</v>
      </c>
      <c r="Q1008">
        <v>0</v>
      </c>
      <c r="R1008">
        <v>0</v>
      </c>
    </row>
    <row r="1009" spans="1:18" ht="16" x14ac:dyDescent="0.2">
      <c r="A1009" s="127" t="s">
        <v>954</v>
      </c>
      <c r="B1009" t="s">
        <v>510</v>
      </c>
      <c r="C1009" t="s">
        <v>2126</v>
      </c>
      <c r="D1009" t="s">
        <v>2127</v>
      </c>
      <c r="E1009">
        <v>3</v>
      </c>
      <c r="F1009">
        <v>3</v>
      </c>
      <c r="G1009">
        <v>1</v>
      </c>
      <c r="H1009">
        <v>11.8321595661992</v>
      </c>
      <c r="I1009" t="s">
        <v>957</v>
      </c>
      <c r="J1009" t="s">
        <v>2128</v>
      </c>
      <c r="K1009">
        <v>7.14285714285714E-3</v>
      </c>
      <c r="L1009" t="s">
        <v>959</v>
      </c>
      <c r="M1009">
        <v>0.76335877862595403</v>
      </c>
      <c r="N1009" t="s">
        <v>960</v>
      </c>
      <c r="O1009">
        <v>0</v>
      </c>
      <c r="P1009">
        <v>0</v>
      </c>
      <c r="Q1009">
        <v>0</v>
      </c>
      <c r="R1009">
        <v>0</v>
      </c>
    </row>
    <row r="1010" spans="1:18" ht="16" x14ac:dyDescent="0.2">
      <c r="A1010" s="127" t="s">
        <v>954</v>
      </c>
      <c r="B1010" t="s">
        <v>510</v>
      </c>
      <c r="C1010" t="s">
        <v>374</v>
      </c>
      <c r="D1010" t="s">
        <v>2410</v>
      </c>
      <c r="E1010">
        <v>5</v>
      </c>
      <c r="F1010">
        <v>5</v>
      </c>
      <c r="G1010">
        <v>1</v>
      </c>
      <c r="H1010">
        <v>11.8321595661992</v>
      </c>
      <c r="I1010" t="s">
        <v>957</v>
      </c>
      <c r="J1010" t="s">
        <v>2411</v>
      </c>
      <c r="K1010">
        <v>7.14285714285714E-3</v>
      </c>
      <c r="L1010" t="s">
        <v>959</v>
      </c>
      <c r="M1010">
        <v>0.76335877862595403</v>
      </c>
      <c r="N1010" t="s">
        <v>960</v>
      </c>
      <c r="O1010">
        <v>0</v>
      </c>
      <c r="P1010">
        <v>0</v>
      </c>
      <c r="Q1010">
        <v>0</v>
      </c>
      <c r="R1010">
        <v>0</v>
      </c>
    </row>
    <row r="1011" spans="1:18" ht="16" x14ac:dyDescent="0.2">
      <c r="A1011" s="127" t="s">
        <v>954</v>
      </c>
      <c r="B1011" t="s">
        <v>510</v>
      </c>
      <c r="C1011" t="s">
        <v>1622</v>
      </c>
      <c r="D1011" t="s">
        <v>1623</v>
      </c>
      <c r="E1011">
        <v>5</v>
      </c>
      <c r="F1011">
        <v>5</v>
      </c>
      <c r="G1011">
        <v>1</v>
      </c>
      <c r="H1011">
        <v>11.8321595661992</v>
      </c>
      <c r="I1011" t="s">
        <v>957</v>
      </c>
      <c r="J1011" t="s">
        <v>1624</v>
      </c>
      <c r="K1011">
        <v>7.14285714285714E-3</v>
      </c>
      <c r="L1011" t="s">
        <v>959</v>
      </c>
      <c r="M1011">
        <v>0.76335877862595403</v>
      </c>
      <c r="N1011" t="s">
        <v>960</v>
      </c>
      <c r="O1011">
        <v>0</v>
      </c>
      <c r="P1011">
        <v>0</v>
      </c>
      <c r="Q1011">
        <v>0</v>
      </c>
      <c r="R1011">
        <v>0</v>
      </c>
    </row>
    <row r="1012" spans="1:18" ht="16" x14ac:dyDescent="0.2">
      <c r="A1012" s="127" t="s">
        <v>954</v>
      </c>
      <c r="B1012" t="s">
        <v>510</v>
      </c>
      <c r="C1012" t="s">
        <v>3178</v>
      </c>
      <c r="D1012" t="s">
        <v>3179</v>
      </c>
      <c r="E1012">
        <v>3</v>
      </c>
      <c r="F1012">
        <v>3</v>
      </c>
      <c r="G1012">
        <v>1</v>
      </c>
      <c r="H1012">
        <v>10.320921222120401</v>
      </c>
      <c r="I1012" t="s">
        <v>957</v>
      </c>
      <c r="J1012" t="s">
        <v>3180</v>
      </c>
      <c r="K1012">
        <v>2.8571428571428598E-2</v>
      </c>
      <c r="L1012" t="s">
        <v>959</v>
      </c>
      <c r="M1012">
        <v>0.76335877862595403</v>
      </c>
      <c r="N1012" t="s">
        <v>960</v>
      </c>
      <c r="O1012">
        <v>0</v>
      </c>
      <c r="P1012">
        <v>0</v>
      </c>
      <c r="Q1012">
        <v>0</v>
      </c>
      <c r="R1012">
        <v>0</v>
      </c>
    </row>
    <row r="1013" spans="1:18" ht="16" x14ac:dyDescent="0.2">
      <c r="A1013" s="127" t="s">
        <v>954</v>
      </c>
      <c r="B1013" t="s">
        <v>510</v>
      </c>
      <c r="C1013" t="s">
        <v>3745</v>
      </c>
      <c r="D1013" t="s">
        <v>3746</v>
      </c>
      <c r="E1013" t="s">
        <v>1039</v>
      </c>
      <c r="F1013">
        <v>3</v>
      </c>
      <c r="G1013">
        <v>2</v>
      </c>
      <c r="H1013">
        <v>6.0551232166746001</v>
      </c>
      <c r="I1013" t="s">
        <v>957</v>
      </c>
      <c r="J1013" t="s">
        <v>3747</v>
      </c>
      <c r="K1013">
        <v>0.1</v>
      </c>
      <c r="L1013" t="s">
        <v>959</v>
      </c>
      <c r="M1013">
        <v>0.76335877862595403</v>
      </c>
      <c r="N1013" t="s">
        <v>960</v>
      </c>
      <c r="O1013">
        <v>0</v>
      </c>
      <c r="P1013">
        <v>0</v>
      </c>
      <c r="Q1013">
        <v>0</v>
      </c>
      <c r="R1013">
        <v>0</v>
      </c>
    </row>
    <row r="1014" spans="1:18" ht="16" x14ac:dyDescent="0.2">
      <c r="A1014" s="127" t="s">
        <v>954</v>
      </c>
      <c r="B1014" t="s">
        <v>510</v>
      </c>
      <c r="C1014" t="s">
        <v>2307</v>
      </c>
      <c r="D1014" t="s">
        <v>2308</v>
      </c>
      <c r="E1014">
        <v>3</v>
      </c>
      <c r="F1014">
        <v>3</v>
      </c>
      <c r="G1014">
        <v>1</v>
      </c>
      <c r="H1014">
        <v>6.1878904918673703</v>
      </c>
      <c r="I1014" t="s">
        <v>957</v>
      </c>
      <c r="J1014" t="s">
        <v>2309</v>
      </c>
      <c r="K1014">
        <v>5.7142857142857099E-2</v>
      </c>
      <c r="L1014" t="s">
        <v>959</v>
      </c>
      <c r="M1014">
        <v>0.76335877862595403</v>
      </c>
      <c r="N1014" t="s">
        <v>960</v>
      </c>
      <c r="O1014">
        <v>0</v>
      </c>
      <c r="P1014">
        <v>0</v>
      </c>
      <c r="Q1014">
        <v>0</v>
      </c>
      <c r="R1014">
        <v>0</v>
      </c>
    </row>
    <row r="1015" spans="1:18" ht="16" x14ac:dyDescent="0.2">
      <c r="A1015" s="127" t="s">
        <v>954</v>
      </c>
      <c r="B1015" t="s">
        <v>1524</v>
      </c>
      <c r="C1015" t="s">
        <v>15</v>
      </c>
      <c r="D1015" t="s">
        <v>3346</v>
      </c>
      <c r="E1015">
        <v>2</v>
      </c>
      <c r="F1015">
        <v>2</v>
      </c>
      <c r="G1015">
        <v>1</v>
      </c>
      <c r="H1015">
        <v>11.8321595661992</v>
      </c>
      <c r="I1015" t="s">
        <v>957</v>
      </c>
      <c r="J1015" t="s">
        <v>3347</v>
      </c>
      <c r="K1015">
        <v>7.14285714285714E-3</v>
      </c>
      <c r="L1015" t="s">
        <v>959</v>
      </c>
      <c r="M1015">
        <v>0.76335877862595403</v>
      </c>
      <c r="N1015" t="s">
        <v>960</v>
      </c>
      <c r="O1015">
        <v>0</v>
      </c>
      <c r="P1015">
        <v>0</v>
      </c>
      <c r="Q1015">
        <v>0</v>
      </c>
      <c r="R1015">
        <v>0</v>
      </c>
    </row>
    <row r="1016" spans="1:18" ht="16" x14ac:dyDescent="0.2">
      <c r="A1016" s="127" t="s">
        <v>954</v>
      </c>
      <c r="B1016" t="s">
        <v>1524</v>
      </c>
      <c r="C1016" t="s">
        <v>239</v>
      </c>
      <c r="D1016" t="s">
        <v>2919</v>
      </c>
      <c r="E1016">
        <v>2</v>
      </c>
      <c r="F1016">
        <v>2</v>
      </c>
      <c r="G1016">
        <v>1</v>
      </c>
      <c r="H1016">
        <v>11.8321595661992</v>
      </c>
      <c r="I1016" t="s">
        <v>957</v>
      </c>
      <c r="J1016" t="s">
        <v>2920</v>
      </c>
      <c r="K1016">
        <v>7.14285714285714E-3</v>
      </c>
      <c r="L1016" t="s">
        <v>959</v>
      </c>
      <c r="M1016">
        <v>0.76335877862595403</v>
      </c>
      <c r="N1016" t="s">
        <v>960</v>
      </c>
      <c r="O1016">
        <v>0</v>
      </c>
      <c r="P1016">
        <v>0</v>
      </c>
      <c r="Q1016">
        <v>0</v>
      </c>
      <c r="R1016">
        <v>0</v>
      </c>
    </row>
    <row r="1017" spans="1:18" ht="16" x14ac:dyDescent="0.2">
      <c r="A1017" s="127" t="s">
        <v>954</v>
      </c>
      <c r="B1017" t="s">
        <v>1524</v>
      </c>
      <c r="C1017" t="s">
        <v>207</v>
      </c>
      <c r="D1017" t="s">
        <v>1572</v>
      </c>
      <c r="E1017">
        <v>8</v>
      </c>
      <c r="F1017">
        <v>8</v>
      </c>
      <c r="G1017">
        <v>1</v>
      </c>
      <c r="H1017">
        <v>8.4980078604588307</v>
      </c>
      <c r="I1017" t="s">
        <v>957</v>
      </c>
      <c r="J1017" t="s">
        <v>2182</v>
      </c>
      <c r="K1017">
        <v>2.1428571428571401E-2</v>
      </c>
      <c r="L1017" t="s">
        <v>959</v>
      </c>
      <c r="M1017">
        <v>2.2900763358778602</v>
      </c>
      <c r="N1017" t="s">
        <v>960</v>
      </c>
      <c r="O1017">
        <v>0</v>
      </c>
      <c r="P1017">
        <v>0</v>
      </c>
      <c r="Q1017">
        <v>0</v>
      </c>
      <c r="R1017">
        <v>0</v>
      </c>
    </row>
    <row r="1018" spans="1:18" ht="16" x14ac:dyDescent="0.2">
      <c r="A1018" s="127" t="s">
        <v>954</v>
      </c>
      <c r="B1018" t="s">
        <v>1524</v>
      </c>
      <c r="C1018" t="s">
        <v>2464</v>
      </c>
      <c r="D1018" t="s">
        <v>2465</v>
      </c>
      <c r="E1018">
        <v>19</v>
      </c>
      <c r="F1018">
        <v>19</v>
      </c>
      <c r="G1018">
        <v>1</v>
      </c>
      <c r="H1018">
        <v>10.921491166303401</v>
      </c>
      <c r="I1018" t="s">
        <v>957</v>
      </c>
      <c r="J1018" t="s">
        <v>2466</v>
      </c>
      <c r="K1018">
        <v>0.16428571428571401</v>
      </c>
      <c r="L1018" t="s">
        <v>959</v>
      </c>
      <c r="M1018">
        <v>0.76335877862595403</v>
      </c>
      <c r="N1018" t="s">
        <v>960</v>
      </c>
      <c r="O1018">
        <v>0</v>
      </c>
      <c r="P1018">
        <v>0</v>
      </c>
      <c r="Q1018">
        <v>0</v>
      </c>
      <c r="R1018">
        <v>0</v>
      </c>
    </row>
    <row r="1019" spans="1:18" ht="16" x14ac:dyDescent="0.2">
      <c r="A1019" s="127" t="s">
        <v>954</v>
      </c>
      <c r="B1019" t="s">
        <v>1524</v>
      </c>
      <c r="C1019" t="s">
        <v>1525</v>
      </c>
      <c r="D1019" t="s">
        <v>1526</v>
      </c>
      <c r="E1019">
        <v>7</v>
      </c>
      <c r="F1019">
        <v>7</v>
      </c>
      <c r="G1019">
        <v>1</v>
      </c>
      <c r="H1019">
        <v>4.0205757634383801</v>
      </c>
      <c r="I1019" t="s">
        <v>957</v>
      </c>
      <c r="J1019" t="s">
        <v>1527</v>
      </c>
      <c r="K1019">
        <v>0.11764705882352899</v>
      </c>
      <c r="L1019" t="s">
        <v>1099</v>
      </c>
      <c r="M1019">
        <v>0.76335877862595403</v>
      </c>
      <c r="N1019" t="s">
        <v>973</v>
      </c>
      <c r="O1019">
        <v>0</v>
      </c>
      <c r="P1019">
        <v>0</v>
      </c>
      <c r="Q1019">
        <v>0</v>
      </c>
      <c r="R1019">
        <v>0</v>
      </c>
    </row>
    <row r="1020" spans="1:18" ht="16" x14ac:dyDescent="0.2">
      <c r="A1020" s="127" t="s">
        <v>954</v>
      </c>
      <c r="B1020" t="s">
        <v>514</v>
      </c>
      <c r="C1020" t="s">
        <v>1462</v>
      </c>
      <c r="D1020" t="s">
        <v>1463</v>
      </c>
      <c r="E1020">
        <v>4</v>
      </c>
      <c r="F1020">
        <v>4</v>
      </c>
      <c r="G1020">
        <v>1</v>
      </c>
      <c r="H1020">
        <v>7.54415664095451</v>
      </c>
      <c r="I1020" t="s">
        <v>957</v>
      </c>
      <c r="J1020" t="s">
        <v>3026</v>
      </c>
      <c r="K1020">
        <v>6.4285714285714293E-2</v>
      </c>
      <c r="L1020" t="s">
        <v>959</v>
      </c>
      <c r="M1020">
        <v>1.5267175572519101</v>
      </c>
      <c r="N1020" t="s">
        <v>960</v>
      </c>
      <c r="O1020">
        <v>0</v>
      </c>
      <c r="P1020">
        <v>0</v>
      </c>
      <c r="Q1020">
        <v>0</v>
      </c>
      <c r="R1020">
        <v>0</v>
      </c>
    </row>
    <row r="1021" spans="1:18" ht="16" x14ac:dyDescent="0.2">
      <c r="A1021" s="127" t="s">
        <v>954</v>
      </c>
      <c r="B1021" t="s">
        <v>514</v>
      </c>
      <c r="C1021" t="s">
        <v>2592</v>
      </c>
      <c r="D1021" t="s">
        <v>2593</v>
      </c>
      <c r="E1021">
        <v>5</v>
      </c>
      <c r="F1021">
        <v>5</v>
      </c>
      <c r="G1021">
        <v>1</v>
      </c>
      <c r="H1021">
        <v>11.246412354404599</v>
      </c>
      <c r="I1021" t="s">
        <v>957</v>
      </c>
      <c r="J1021" t="s">
        <v>2594</v>
      </c>
      <c r="K1021">
        <v>1.4285714285714299E-2</v>
      </c>
      <c r="L1021" t="s">
        <v>959</v>
      </c>
      <c r="M1021">
        <v>0.76335877862595403</v>
      </c>
      <c r="N1021" t="s">
        <v>960</v>
      </c>
      <c r="O1021">
        <v>0</v>
      </c>
      <c r="P1021">
        <v>0</v>
      </c>
      <c r="Q1021">
        <v>0</v>
      </c>
      <c r="R1021">
        <v>0</v>
      </c>
    </row>
    <row r="1022" spans="1:18" ht="16" x14ac:dyDescent="0.2">
      <c r="A1022" s="127" t="s">
        <v>954</v>
      </c>
      <c r="B1022" t="s">
        <v>514</v>
      </c>
      <c r="C1022" t="s">
        <v>2495</v>
      </c>
      <c r="D1022" t="s">
        <v>2496</v>
      </c>
      <c r="E1022">
        <v>3</v>
      </c>
      <c r="F1022">
        <v>3</v>
      </c>
      <c r="G1022">
        <v>1</v>
      </c>
      <c r="H1022">
        <v>6.0976106088536701</v>
      </c>
      <c r="I1022" t="s">
        <v>957</v>
      </c>
      <c r="J1022" t="s">
        <v>3128</v>
      </c>
      <c r="K1022">
        <v>3.5714285714285698E-2</v>
      </c>
      <c r="L1022" t="s">
        <v>959</v>
      </c>
      <c r="M1022">
        <v>1.5267175572519101</v>
      </c>
      <c r="N1022" t="s">
        <v>960</v>
      </c>
      <c r="O1022">
        <v>0</v>
      </c>
      <c r="P1022">
        <v>0</v>
      </c>
      <c r="Q1022">
        <v>0</v>
      </c>
      <c r="R1022">
        <v>0</v>
      </c>
    </row>
    <row r="1023" spans="1:18" ht="16" x14ac:dyDescent="0.2">
      <c r="A1023" s="127" t="s">
        <v>954</v>
      </c>
      <c r="B1023" t="s">
        <v>518</v>
      </c>
      <c r="C1023" t="s">
        <v>3107</v>
      </c>
      <c r="D1023" t="s">
        <v>3108</v>
      </c>
      <c r="E1023">
        <v>4</v>
      </c>
      <c r="F1023">
        <v>4</v>
      </c>
      <c r="G1023">
        <v>1</v>
      </c>
      <c r="H1023">
        <v>11.8321595661992</v>
      </c>
      <c r="I1023" t="s">
        <v>957</v>
      </c>
      <c r="J1023" t="s">
        <v>3109</v>
      </c>
      <c r="K1023">
        <v>7.14285714285714E-3</v>
      </c>
      <c r="L1023" t="s">
        <v>959</v>
      </c>
      <c r="M1023">
        <v>0.76335877862595403</v>
      </c>
      <c r="N1023" t="s">
        <v>960</v>
      </c>
      <c r="O1023" t="s">
        <v>5017</v>
      </c>
      <c r="P1023">
        <v>0</v>
      </c>
      <c r="Q1023">
        <v>0</v>
      </c>
      <c r="R1023">
        <v>0</v>
      </c>
    </row>
    <row r="1024" spans="1:18" ht="16" x14ac:dyDescent="0.2">
      <c r="A1024" s="127" t="s">
        <v>954</v>
      </c>
      <c r="B1024" t="s">
        <v>518</v>
      </c>
      <c r="C1024" t="s">
        <v>3451</v>
      </c>
      <c r="D1024" t="s">
        <v>3452</v>
      </c>
      <c r="E1024" t="s">
        <v>3453</v>
      </c>
      <c r="F1024">
        <v>21</v>
      </c>
      <c r="G1024">
        <v>3</v>
      </c>
      <c r="H1024">
        <v>11.8321595661993</v>
      </c>
      <c r="I1024" t="s">
        <v>957</v>
      </c>
      <c r="J1024" t="s">
        <v>3454</v>
      </c>
      <c r="K1024">
        <v>7.14285714285714E-3</v>
      </c>
      <c r="L1024" t="s">
        <v>959</v>
      </c>
      <c r="M1024">
        <v>0.76335877862595403</v>
      </c>
      <c r="N1024" t="s">
        <v>960</v>
      </c>
      <c r="O1024" t="s">
        <v>5017</v>
      </c>
      <c r="P1024" t="s">
        <v>5018</v>
      </c>
      <c r="Q1024">
        <v>0</v>
      </c>
      <c r="R1024">
        <v>0</v>
      </c>
    </row>
    <row r="1025" spans="1:18" ht="16" x14ac:dyDescent="0.2">
      <c r="A1025" s="127" t="s">
        <v>954</v>
      </c>
      <c r="B1025" t="s">
        <v>518</v>
      </c>
      <c r="C1025" t="s">
        <v>1885</v>
      </c>
      <c r="D1025" t="s">
        <v>1886</v>
      </c>
      <c r="E1025" t="s">
        <v>3289</v>
      </c>
      <c r="F1025">
        <v>21</v>
      </c>
      <c r="G1025">
        <v>3</v>
      </c>
      <c r="H1025">
        <v>10.599534026078199</v>
      </c>
      <c r="I1025" t="s">
        <v>957</v>
      </c>
      <c r="J1025" t="s">
        <v>1888</v>
      </c>
      <c r="K1025">
        <v>3.5714285714285698E-2</v>
      </c>
      <c r="L1025" t="s">
        <v>959</v>
      </c>
      <c r="M1025">
        <v>2.2900763358778602</v>
      </c>
      <c r="N1025" t="s">
        <v>960</v>
      </c>
      <c r="O1025" t="s">
        <v>5017</v>
      </c>
      <c r="P1025" t="s">
        <v>5018</v>
      </c>
      <c r="Q1025">
        <v>0</v>
      </c>
      <c r="R1025">
        <v>0</v>
      </c>
    </row>
    <row r="1026" spans="1:18" ht="16" x14ac:dyDescent="0.2">
      <c r="A1026" s="127" t="s">
        <v>954</v>
      </c>
      <c r="B1026" t="s">
        <v>518</v>
      </c>
      <c r="C1026" t="s">
        <v>1615</v>
      </c>
      <c r="D1026" t="s">
        <v>1616</v>
      </c>
      <c r="E1026" t="s">
        <v>1617</v>
      </c>
      <c r="F1026">
        <v>58</v>
      </c>
      <c r="G1026">
        <v>3</v>
      </c>
      <c r="H1026">
        <v>11.4839292020476</v>
      </c>
      <c r="I1026" t="s">
        <v>957</v>
      </c>
      <c r="J1026" t="s">
        <v>1618</v>
      </c>
      <c r="K1026">
        <v>7.1428571428571397E-2</v>
      </c>
      <c r="L1026" t="s">
        <v>959</v>
      </c>
      <c r="M1026">
        <v>2.2900763358778602</v>
      </c>
      <c r="N1026" t="s">
        <v>960</v>
      </c>
      <c r="O1026" t="s">
        <v>5017</v>
      </c>
      <c r="P1026" t="s">
        <v>5018</v>
      </c>
      <c r="Q1026">
        <v>0</v>
      </c>
      <c r="R1026">
        <v>0</v>
      </c>
    </row>
    <row r="1027" spans="1:18" ht="16" x14ac:dyDescent="0.2">
      <c r="A1027" s="127" t="s">
        <v>954</v>
      </c>
      <c r="B1027" t="s">
        <v>518</v>
      </c>
      <c r="C1027" t="s">
        <v>401</v>
      </c>
      <c r="D1027" t="s">
        <v>1389</v>
      </c>
      <c r="E1027" t="s">
        <v>1220</v>
      </c>
      <c r="F1027">
        <v>7</v>
      </c>
      <c r="G1027">
        <v>2</v>
      </c>
      <c r="H1027">
        <v>11.8321595661992</v>
      </c>
      <c r="I1027" t="s">
        <v>957</v>
      </c>
      <c r="J1027" t="s">
        <v>1390</v>
      </c>
      <c r="K1027">
        <v>7.14285714285714E-3</v>
      </c>
      <c r="L1027" t="s">
        <v>959</v>
      </c>
      <c r="M1027">
        <v>0.76335877862595403</v>
      </c>
      <c r="N1027" t="s">
        <v>960</v>
      </c>
      <c r="O1027" t="s">
        <v>5017</v>
      </c>
      <c r="P1027">
        <v>0</v>
      </c>
      <c r="Q1027">
        <v>0</v>
      </c>
      <c r="R1027">
        <v>0</v>
      </c>
    </row>
    <row r="1028" spans="1:18" ht="16" x14ac:dyDescent="0.2">
      <c r="A1028" s="127" t="s">
        <v>954</v>
      </c>
      <c r="B1028" t="s">
        <v>522</v>
      </c>
      <c r="C1028" t="s">
        <v>2242</v>
      </c>
      <c r="D1028" t="s">
        <v>2243</v>
      </c>
      <c r="E1028" t="s">
        <v>1442</v>
      </c>
      <c r="F1028">
        <v>5</v>
      </c>
      <c r="G1028">
        <v>2</v>
      </c>
      <c r="H1028">
        <v>5.33410591724338</v>
      </c>
      <c r="I1028" t="s">
        <v>957</v>
      </c>
      <c r="J1028" t="s">
        <v>3568</v>
      </c>
      <c r="K1028">
        <v>9.2857142857142902E-2</v>
      </c>
      <c r="L1028" t="s">
        <v>959</v>
      </c>
      <c r="M1028">
        <v>2.2900763358778602</v>
      </c>
      <c r="N1028" t="s">
        <v>960</v>
      </c>
      <c r="O1028">
        <v>0</v>
      </c>
      <c r="P1028">
        <v>0</v>
      </c>
      <c r="Q1028">
        <v>0</v>
      </c>
      <c r="R1028">
        <v>0</v>
      </c>
    </row>
    <row r="1029" spans="1:18" ht="16" x14ac:dyDescent="0.2">
      <c r="A1029" s="127" t="s">
        <v>954</v>
      </c>
      <c r="B1029" t="s">
        <v>522</v>
      </c>
      <c r="C1029" t="s">
        <v>2882</v>
      </c>
      <c r="D1029" t="s">
        <v>2883</v>
      </c>
      <c r="E1029">
        <v>3</v>
      </c>
      <c r="F1029">
        <v>3</v>
      </c>
      <c r="G1029">
        <v>1</v>
      </c>
      <c r="H1029">
        <v>5.1687255047651703</v>
      </c>
      <c r="I1029" t="s">
        <v>957</v>
      </c>
      <c r="J1029" t="s">
        <v>2884</v>
      </c>
      <c r="K1029">
        <v>4.2857142857142899E-2</v>
      </c>
      <c r="L1029" t="s">
        <v>959</v>
      </c>
      <c r="M1029">
        <v>2.2900763358778602</v>
      </c>
      <c r="N1029" t="s">
        <v>960</v>
      </c>
      <c r="O1029">
        <v>0</v>
      </c>
      <c r="P1029">
        <v>0</v>
      </c>
      <c r="Q1029">
        <v>0</v>
      </c>
      <c r="R1029">
        <v>0</v>
      </c>
    </row>
    <row r="1030" spans="1:18" ht="16" x14ac:dyDescent="0.2">
      <c r="A1030" s="127" t="s">
        <v>954</v>
      </c>
      <c r="B1030" t="s">
        <v>522</v>
      </c>
      <c r="C1030" t="s">
        <v>1440</v>
      </c>
      <c r="D1030" t="s">
        <v>1441</v>
      </c>
      <c r="E1030" t="s">
        <v>1442</v>
      </c>
      <c r="F1030">
        <v>5</v>
      </c>
      <c r="G1030">
        <v>2</v>
      </c>
      <c r="H1030">
        <v>5.3851648071344904</v>
      </c>
      <c r="I1030" t="s">
        <v>957</v>
      </c>
      <c r="J1030" t="s">
        <v>1443</v>
      </c>
      <c r="K1030">
        <v>3.4482758620689703E-2</v>
      </c>
      <c r="L1030" t="s">
        <v>972</v>
      </c>
      <c r="M1030">
        <v>0.76335877862595403</v>
      </c>
      <c r="N1030" t="s">
        <v>973</v>
      </c>
      <c r="O1030">
        <v>0</v>
      </c>
      <c r="P1030">
        <v>0</v>
      </c>
      <c r="Q1030">
        <v>0</v>
      </c>
      <c r="R1030">
        <v>0</v>
      </c>
    </row>
    <row r="1031" spans="1:18" ht="16" x14ac:dyDescent="0.2">
      <c r="A1031" s="127" t="s">
        <v>954</v>
      </c>
      <c r="B1031" t="s">
        <v>522</v>
      </c>
      <c r="C1031" t="s">
        <v>2546</v>
      </c>
      <c r="D1031" t="s">
        <v>2547</v>
      </c>
      <c r="E1031">
        <v>3</v>
      </c>
      <c r="F1031">
        <v>3</v>
      </c>
      <c r="G1031">
        <v>1</v>
      </c>
      <c r="H1031">
        <v>4.6763671860084397</v>
      </c>
      <c r="I1031" t="s">
        <v>957</v>
      </c>
      <c r="J1031" t="s">
        <v>2548</v>
      </c>
      <c r="K1031">
        <v>0.107142857142857</v>
      </c>
      <c r="L1031" t="s">
        <v>959</v>
      </c>
      <c r="M1031">
        <v>1.5267175572519101</v>
      </c>
      <c r="N1031" t="s">
        <v>960</v>
      </c>
      <c r="O1031">
        <v>0</v>
      </c>
      <c r="P1031">
        <v>0</v>
      </c>
      <c r="Q1031">
        <v>0</v>
      </c>
      <c r="R1031">
        <v>0</v>
      </c>
    </row>
    <row r="1032" spans="1:18" ht="16" x14ac:dyDescent="0.2">
      <c r="A1032" s="127" t="s">
        <v>954</v>
      </c>
      <c r="B1032" t="s">
        <v>522</v>
      </c>
      <c r="C1032" t="s">
        <v>2479</v>
      </c>
      <c r="D1032" t="s">
        <v>2480</v>
      </c>
      <c r="E1032">
        <v>3</v>
      </c>
      <c r="F1032">
        <v>3</v>
      </c>
      <c r="G1032">
        <v>1</v>
      </c>
      <c r="H1032">
        <v>7.15982508323075</v>
      </c>
      <c r="I1032" t="s">
        <v>957</v>
      </c>
      <c r="J1032" t="s">
        <v>2481</v>
      </c>
      <c r="K1032">
        <v>4.2857142857142899E-2</v>
      </c>
      <c r="L1032" t="s">
        <v>959</v>
      </c>
      <c r="M1032">
        <v>1.5267175572519101</v>
      </c>
      <c r="N1032" t="s">
        <v>960</v>
      </c>
      <c r="O1032">
        <v>0</v>
      </c>
      <c r="P1032">
        <v>0</v>
      </c>
      <c r="Q1032">
        <v>0</v>
      </c>
      <c r="R1032">
        <v>0</v>
      </c>
    </row>
    <row r="1033" spans="1:18" ht="16" x14ac:dyDescent="0.2">
      <c r="A1033" s="127" t="s">
        <v>954</v>
      </c>
      <c r="B1033" t="s">
        <v>522</v>
      </c>
      <c r="C1033" t="s">
        <v>1615</v>
      </c>
      <c r="D1033" t="s">
        <v>1616</v>
      </c>
      <c r="E1033" t="s">
        <v>3111</v>
      </c>
      <c r="F1033">
        <v>19</v>
      </c>
      <c r="G1033">
        <v>2</v>
      </c>
      <c r="H1033">
        <v>5.38516480713451</v>
      </c>
      <c r="I1033" t="s">
        <v>957</v>
      </c>
      <c r="J1033" t="s">
        <v>3112</v>
      </c>
      <c r="K1033">
        <v>3.4482758620689703E-2</v>
      </c>
      <c r="L1033" t="s">
        <v>972</v>
      </c>
      <c r="M1033">
        <v>2.2900763358778602</v>
      </c>
      <c r="N1033" t="s">
        <v>987</v>
      </c>
      <c r="O1033">
        <v>0</v>
      </c>
      <c r="P1033" t="s">
        <v>5018</v>
      </c>
      <c r="Q1033">
        <v>0</v>
      </c>
      <c r="R1033">
        <v>0</v>
      </c>
    </row>
    <row r="1034" spans="1:18" ht="16" x14ac:dyDescent="0.2">
      <c r="A1034" s="127" t="s">
        <v>954</v>
      </c>
      <c r="B1034" t="s">
        <v>522</v>
      </c>
      <c r="C1034" t="s">
        <v>2736</v>
      </c>
      <c r="D1034" t="s">
        <v>2737</v>
      </c>
      <c r="E1034" t="s">
        <v>1085</v>
      </c>
      <c r="F1034">
        <v>5</v>
      </c>
      <c r="G1034">
        <v>2</v>
      </c>
      <c r="H1034">
        <v>5.3851648071345002</v>
      </c>
      <c r="I1034" t="s">
        <v>957</v>
      </c>
      <c r="J1034" t="s">
        <v>2738</v>
      </c>
      <c r="K1034">
        <v>3.4482758620689703E-2</v>
      </c>
      <c r="L1034" t="s">
        <v>972</v>
      </c>
      <c r="M1034">
        <v>0.76335877862595403</v>
      </c>
      <c r="N1034" t="s">
        <v>973</v>
      </c>
      <c r="O1034">
        <v>0</v>
      </c>
      <c r="P1034">
        <v>0</v>
      </c>
      <c r="Q1034">
        <v>0</v>
      </c>
      <c r="R1034">
        <v>0</v>
      </c>
    </row>
    <row r="1035" spans="1:18" ht="16" x14ac:dyDescent="0.2">
      <c r="A1035" s="127" t="s">
        <v>954</v>
      </c>
      <c r="B1035" t="s">
        <v>522</v>
      </c>
      <c r="C1035" t="s">
        <v>1462</v>
      </c>
      <c r="D1035" t="s">
        <v>1463</v>
      </c>
      <c r="E1035">
        <v>3</v>
      </c>
      <c r="F1035">
        <v>3</v>
      </c>
      <c r="G1035">
        <v>1</v>
      </c>
      <c r="H1035">
        <v>5.5990702141890702</v>
      </c>
      <c r="I1035" t="s">
        <v>957</v>
      </c>
      <c r="J1035" t="s">
        <v>1464</v>
      </c>
      <c r="K1035">
        <v>6.4285714285714293E-2</v>
      </c>
      <c r="L1035" t="s">
        <v>959</v>
      </c>
      <c r="M1035">
        <v>1.5267175572519101</v>
      </c>
      <c r="N1035" t="s">
        <v>960</v>
      </c>
      <c r="O1035">
        <v>0</v>
      </c>
      <c r="P1035">
        <v>0</v>
      </c>
      <c r="Q1035">
        <v>0</v>
      </c>
      <c r="R1035">
        <v>0</v>
      </c>
    </row>
    <row r="1036" spans="1:18" ht="16" x14ac:dyDescent="0.2">
      <c r="A1036" s="127" t="s">
        <v>954</v>
      </c>
      <c r="B1036" t="s">
        <v>522</v>
      </c>
      <c r="C1036" t="s">
        <v>1926</v>
      </c>
      <c r="D1036" t="s">
        <v>1927</v>
      </c>
      <c r="E1036">
        <v>4</v>
      </c>
      <c r="F1036">
        <v>4</v>
      </c>
      <c r="G1036">
        <v>1</v>
      </c>
      <c r="H1036">
        <v>6.4241507531589397</v>
      </c>
      <c r="I1036" t="s">
        <v>957</v>
      </c>
      <c r="J1036" t="s">
        <v>2542</v>
      </c>
      <c r="K1036">
        <v>6.4285714285714293E-2</v>
      </c>
      <c r="L1036" t="s">
        <v>959</v>
      </c>
      <c r="M1036">
        <v>2.2900763358778602</v>
      </c>
      <c r="N1036" t="s">
        <v>960</v>
      </c>
      <c r="O1036">
        <v>0</v>
      </c>
      <c r="P1036">
        <v>0</v>
      </c>
      <c r="Q1036">
        <v>0</v>
      </c>
      <c r="R1036">
        <v>0</v>
      </c>
    </row>
    <row r="1037" spans="1:18" ht="16" x14ac:dyDescent="0.2">
      <c r="A1037" s="127" t="s">
        <v>954</v>
      </c>
      <c r="B1037" t="s">
        <v>522</v>
      </c>
      <c r="C1037" t="s">
        <v>1734</v>
      </c>
      <c r="D1037" t="s">
        <v>1735</v>
      </c>
      <c r="E1037">
        <v>3</v>
      </c>
      <c r="F1037">
        <v>3</v>
      </c>
      <c r="G1037">
        <v>1</v>
      </c>
      <c r="H1037">
        <v>6.3856993189142104</v>
      </c>
      <c r="I1037" t="s">
        <v>957</v>
      </c>
      <c r="J1037" t="s">
        <v>1736</v>
      </c>
      <c r="K1037">
        <v>3.5714285714285698E-2</v>
      </c>
      <c r="L1037" t="s">
        <v>959</v>
      </c>
      <c r="M1037">
        <v>1.5267175572519101</v>
      </c>
      <c r="N1037" t="s">
        <v>960</v>
      </c>
      <c r="O1037">
        <v>0</v>
      </c>
      <c r="P1037">
        <v>0</v>
      </c>
      <c r="Q1037">
        <v>0</v>
      </c>
      <c r="R1037">
        <v>0</v>
      </c>
    </row>
    <row r="1038" spans="1:18" ht="16" x14ac:dyDescent="0.2">
      <c r="A1038" s="127" t="s">
        <v>954</v>
      </c>
      <c r="B1038" t="s">
        <v>522</v>
      </c>
      <c r="C1038" t="s">
        <v>1147</v>
      </c>
      <c r="D1038" t="s">
        <v>1148</v>
      </c>
      <c r="E1038" t="s">
        <v>1974</v>
      </c>
      <c r="F1038">
        <v>5</v>
      </c>
      <c r="G1038">
        <v>2</v>
      </c>
      <c r="H1038">
        <v>5.2204646109736101</v>
      </c>
      <c r="I1038" t="s">
        <v>957</v>
      </c>
      <c r="J1038" t="s">
        <v>2261</v>
      </c>
      <c r="K1038">
        <v>9.2857142857142902E-2</v>
      </c>
      <c r="L1038" t="s">
        <v>959</v>
      </c>
      <c r="M1038">
        <v>3.8167938931297698</v>
      </c>
      <c r="N1038" t="s">
        <v>960</v>
      </c>
      <c r="O1038">
        <v>0</v>
      </c>
      <c r="P1038">
        <v>0</v>
      </c>
      <c r="Q1038">
        <v>0</v>
      </c>
      <c r="R1038">
        <v>0</v>
      </c>
    </row>
    <row r="1039" spans="1:18" ht="16" x14ac:dyDescent="0.2">
      <c r="A1039" s="127" t="s">
        <v>954</v>
      </c>
      <c r="B1039" t="s">
        <v>529</v>
      </c>
      <c r="C1039" t="s">
        <v>41</v>
      </c>
      <c r="D1039" t="s">
        <v>2095</v>
      </c>
      <c r="E1039">
        <v>3</v>
      </c>
      <c r="F1039">
        <v>3</v>
      </c>
      <c r="G1039">
        <v>1</v>
      </c>
      <c r="H1039">
        <v>11.8321595661992</v>
      </c>
      <c r="I1039" t="s">
        <v>957</v>
      </c>
      <c r="J1039" t="s">
        <v>2096</v>
      </c>
      <c r="K1039">
        <v>7.14285714285714E-3</v>
      </c>
      <c r="L1039" t="s">
        <v>959</v>
      </c>
      <c r="M1039">
        <v>0.76335877862595403</v>
      </c>
      <c r="N1039" t="s">
        <v>960</v>
      </c>
      <c r="O1039">
        <v>0</v>
      </c>
      <c r="P1039">
        <v>0</v>
      </c>
      <c r="Q1039">
        <v>0</v>
      </c>
      <c r="R1039">
        <v>0</v>
      </c>
    </row>
    <row r="1040" spans="1:18" ht="16" x14ac:dyDescent="0.2">
      <c r="A1040" s="127" t="s">
        <v>954</v>
      </c>
      <c r="B1040" t="s">
        <v>529</v>
      </c>
      <c r="C1040" t="s">
        <v>243</v>
      </c>
      <c r="D1040" t="s">
        <v>2959</v>
      </c>
      <c r="E1040">
        <v>8</v>
      </c>
      <c r="F1040">
        <v>8</v>
      </c>
      <c r="G1040">
        <v>1</v>
      </c>
      <c r="H1040">
        <v>6.5228065897390897</v>
      </c>
      <c r="I1040" t="s">
        <v>957</v>
      </c>
      <c r="J1040" t="s">
        <v>2960</v>
      </c>
      <c r="K1040">
        <v>2.1428571428571401E-2</v>
      </c>
      <c r="L1040" t="s">
        <v>959</v>
      </c>
      <c r="M1040">
        <v>1.5267175572519101</v>
      </c>
      <c r="N1040" t="s">
        <v>960</v>
      </c>
      <c r="O1040">
        <v>0</v>
      </c>
      <c r="P1040">
        <v>0</v>
      </c>
      <c r="Q1040">
        <v>0</v>
      </c>
      <c r="R1040">
        <v>0</v>
      </c>
    </row>
    <row r="1041" spans="1:18" ht="16" x14ac:dyDescent="0.2">
      <c r="A1041" s="127" t="s">
        <v>954</v>
      </c>
      <c r="B1041" t="s">
        <v>529</v>
      </c>
      <c r="C1041" t="s">
        <v>2575</v>
      </c>
      <c r="D1041" t="s">
        <v>2576</v>
      </c>
      <c r="E1041">
        <v>22</v>
      </c>
      <c r="F1041">
        <v>22</v>
      </c>
      <c r="G1041">
        <v>1</v>
      </c>
      <c r="H1041">
        <v>2.70801280154532</v>
      </c>
      <c r="I1041">
        <v>0.31</v>
      </c>
      <c r="J1041" t="s">
        <v>957</v>
      </c>
      <c r="K1041">
        <v>37.5</v>
      </c>
      <c r="L1041" t="s">
        <v>977</v>
      </c>
      <c r="M1041">
        <v>1.5267175572519101</v>
      </c>
      <c r="O1041">
        <v>0</v>
      </c>
      <c r="P1041">
        <v>0</v>
      </c>
      <c r="Q1041">
        <v>0</v>
      </c>
      <c r="R1041">
        <v>0</v>
      </c>
    </row>
    <row r="1042" spans="1:18" ht="16" x14ac:dyDescent="0.2">
      <c r="A1042" s="127" t="s">
        <v>954</v>
      </c>
      <c r="B1042" t="s">
        <v>529</v>
      </c>
      <c r="C1042" t="s">
        <v>1704</v>
      </c>
      <c r="D1042" t="s">
        <v>1705</v>
      </c>
      <c r="E1042" t="s">
        <v>1706</v>
      </c>
      <c r="F1042">
        <v>14</v>
      </c>
      <c r="G1042">
        <v>2</v>
      </c>
      <c r="H1042">
        <v>4.2426406871192803</v>
      </c>
      <c r="I1042">
        <v>0.65</v>
      </c>
      <c r="J1042" t="s">
        <v>957</v>
      </c>
      <c r="K1042">
        <v>18.75</v>
      </c>
      <c r="L1042" t="s">
        <v>977</v>
      </c>
      <c r="M1042">
        <v>1.5267175572519101</v>
      </c>
      <c r="N1042" t="s">
        <v>978</v>
      </c>
      <c r="O1042">
        <v>0</v>
      </c>
      <c r="P1042">
        <v>0</v>
      </c>
      <c r="Q1042">
        <v>0</v>
      </c>
      <c r="R1042">
        <v>0</v>
      </c>
    </row>
    <row r="1043" spans="1:18" ht="16" x14ac:dyDescent="0.2">
      <c r="A1043" s="127" t="s">
        <v>954</v>
      </c>
      <c r="B1043" t="s">
        <v>529</v>
      </c>
      <c r="C1043" t="s">
        <v>1176</v>
      </c>
      <c r="D1043" t="s">
        <v>1177</v>
      </c>
      <c r="E1043" t="s">
        <v>1178</v>
      </c>
      <c r="F1043">
        <v>59</v>
      </c>
      <c r="G1043">
        <v>2</v>
      </c>
      <c r="H1043">
        <v>5.4313902456001104</v>
      </c>
      <c r="I1043">
        <v>1</v>
      </c>
      <c r="J1043" t="s">
        <v>957</v>
      </c>
      <c r="K1043">
        <v>37.5</v>
      </c>
      <c r="L1043" t="s">
        <v>977</v>
      </c>
      <c r="M1043">
        <v>1.5267175572519101</v>
      </c>
      <c r="N1043" t="s">
        <v>978</v>
      </c>
      <c r="O1043">
        <v>0</v>
      </c>
      <c r="P1043">
        <v>0</v>
      </c>
      <c r="Q1043">
        <v>0</v>
      </c>
      <c r="R1043">
        <v>0</v>
      </c>
    </row>
    <row r="1044" spans="1:18" ht="16" x14ac:dyDescent="0.2">
      <c r="A1044" s="127" t="s">
        <v>954</v>
      </c>
      <c r="B1044" t="s">
        <v>529</v>
      </c>
      <c r="C1044" t="s">
        <v>1179</v>
      </c>
      <c r="D1044" t="s">
        <v>1862</v>
      </c>
      <c r="E1044">
        <v>15</v>
      </c>
      <c r="F1044">
        <v>15</v>
      </c>
      <c r="G1044">
        <v>1</v>
      </c>
      <c r="H1044">
        <v>3.8729833462074201</v>
      </c>
      <c r="I1044">
        <v>0.57999999999999996</v>
      </c>
      <c r="J1044" t="s">
        <v>957</v>
      </c>
      <c r="K1044">
        <v>37.5</v>
      </c>
      <c r="L1044" t="s">
        <v>977</v>
      </c>
      <c r="M1044">
        <v>1.5267175572519101</v>
      </c>
      <c r="N1044" t="s">
        <v>978</v>
      </c>
      <c r="O1044">
        <v>0</v>
      </c>
      <c r="P1044" t="s">
        <v>5018</v>
      </c>
      <c r="Q1044">
        <v>0</v>
      </c>
      <c r="R1044">
        <v>0</v>
      </c>
    </row>
    <row r="1045" spans="1:18" ht="16" x14ac:dyDescent="0.2">
      <c r="A1045" s="127" t="s">
        <v>954</v>
      </c>
      <c r="B1045" t="s">
        <v>529</v>
      </c>
      <c r="C1045" t="s">
        <v>533</v>
      </c>
      <c r="D1045" t="s">
        <v>2373</v>
      </c>
      <c r="E1045" t="s">
        <v>2374</v>
      </c>
      <c r="F1045">
        <v>23</v>
      </c>
      <c r="G1045">
        <v>3</v>
      </c>
      <c r="H1045">
        <v>4.1231056256176704</v>
      </c>
      <c r="I1045" t="s">
        <v>957</v>
      </c>
      <c r="J1045" t="s">
        <v>2375</v>
      </c>
      <c r="K1045" t="s">
        <v>2376</v>
      </c>
      <c r="L1045" t="s">
        <v>2377</v>
      </c>
      <c r="M1045">
        <v>0.76335877862595403</v>
      </c>
      <c r="N1045" t="s">
        <v>1534</v>
      </c>
      <c r="O1045">
        <v>0</v>
      </c>
      <c r="P1045">
        <v>0</v>
      </c>
      <c r="Q1045">
        <v>0</v>
      </c>
      <c r="R1045">
        <v>0</v>
      </c>
    </row>
    <row r="1046" spans="1:18" ht="16" x14ac:dyDescent="0.2">
      <c r="A1046" s="127" t="s">
        <v>954</v>
      </c>
      <c r="B1046" t="s">
        <v>533</v>
      </c>
      <c r="C1046" t="s">
        <v>1066</v>
      </c>
      <c r="D1046" t="s">
        <v>1067</v>
      </c>
      <c r="E1046">
        <v>3</v>
      </c>
      <c r="F1046">
        <v>3</v>
      </c>
      <c r="G1046">
        <v>1</v>
      </c>
      <c r="H1046">
        <v>8.2185325359161894</v>
      </c>
      <c r="I1046" t="s">
        <v>957</v>
      </c>
      <c r="J1046" t="s">
        <v>1068</v>
      </c>
      <c r="K1046">
        <v>3.5714285714285698E-2</v>
      </c>
      <c r="L1046" t="s">
        <v>959</v>
      </c>
      <c r="M1046">
        <v>0.76335877862595403</v>
      </c>
      <c r="N1046" t="s">
        <v>960</v>
      </c>
      <c r="O1046">
        <v>0</v>
      </c>
      <c r="P1046">
        <v>0</v>
      </c>
      <c r="Q1046">
        <v>0</v>
      </c>
      <c r="R1046">
        <v>0</v>
      </c>
    </row>
    <row r="1047" spans="1:18" ht="16" x14ac:dyDescent="0.2">
      <c r="A1047" s="127" t="s">
        <v>954</v>
      </c>
      <c r="B1047" t="s">
        <v>537</v>
      </c>
      <c r="C1047" t="s">
        <v>114</v>
      </c>
      <c r="D1047" t="s">
        <v>1296</v>
      </c>
      <c r="E1047">
        <v>13</v>
      </c>
      <c r="F1047">
        <v>13</v>
      </c>
      <c r="G1047">
        <v>1</v>
      </c>
      <c r="H1047">
        <v>10.3712924936895</v>
      </c>
      <c r="I1047" t="s">
        <v>957</v>
      </c>
      <c r="J1047" t="s">
        <v>1600</v>
      </c>
      <c r="K1047">
        <v>2.1428571428571401E-2</v>
      </c>
      <c r="L1047" t="s">
        <v>959</v>
      </c>
      <c r="M1047">
        <v>1.5267175572519101</v>
      </c>
      <c r="N1047" t="s">
        <v>960</v>
      </c>
      <c r="O1047">
        <v>0</v>
      </c>
      <c r="P1047" t="s">
        <v>5018</v>
      </c>
      <c r="Q1047">
        <v>0</v>
      </c>
      <c r="R1047">
        <v>0</v>
      </c>
    </row>
    <row r="1048" spans="1:18" ht="16" x14ac:dyDescent="0.2">
      <c r="A1048" s="127" t="s">
        <v>954</v>
      </c>
      <c r="B1048" t="s">
        <v>537</v>
      </c>
      <c r="C1048" t="s">
        <v>2575</v>
      </c>
      <c r="D1048" t="s">
        <v>2576</v>
      </c>
      <c r="E1048">
        <v>18</v>
      </c>
      <c r="F1048">
        <v>18</v>
      </c>
      <c r="G1048">
        <v>1</v>
      </c>
      <c r="H1048">
        <v>2.4494897427831801</v>
      </c>
      <c r="I1048">
        <v>0.34</v>
      </c>
      <c r="J1048" t="s">
        <v>957</v>
      </c>
      <c r="K1048">
        <v>37.5</v>
      </c>
      <c r="L1048" t="s">
        <v>977</v>
      </c>
      <c r="M1048">
        <v>1.5267175572519101</v>
      </c>
      <c r="O1048">
        <v>0</v>
      </c>
      <c r="P1048">
        <v>0</v>
      </c>
      <c r="Q1048">
        <v>0</v>
      </c>
      <c r="R1048">
        <v>0</v>
      </c>
    </row>
    <row r="1049" spans="1:18" ht="16" x14ac:dyDescent="0.2">
      <c r="A1049" s="127" t="s">
        <v>954</v>
      </c>
      <c r="B1049" t="s">
        <v>537</v>
      </c>
      <c r="C1049" t="s">
        <v>1704</v>
      </c>
      <c r="D1049" t="s">
        <v>1705</v>
      </c>
      <c r="E1049" t="s">
        <v>1910</v>
      </c>
      <c r="F1049">
        <v>15</v>
      </c>
      <c r="G1049">
        <v>2</v>
      </c>
      <c r="H1049">
        <v>4.6368092477478502</v>
      </c>
      <c r="I1049">
        <v>0.5</v>
      </c>
      <c r="J1049" t="s">
        <v>957</v>
      </c>
      <c r="K1049">
        <v>18.75</v>
      </c>
      <c r="L1049" t="s">
        <v>977</v>
      </c>
      <c r="M1049">
        <v>1.5267175572519101</v>
      </c>
      <c r="N1049" t="s">
        <v>978</v>
      </c>
      <c r="O1049">
        <v>0</v>
      </c>
      <c r="P1049">
        <v>0</v>
      </c>
      <c r="Q1049">
        <v>0</v>
      </c>
      <c r="R1049">
        <v>0</v>
      </c>
    </row>
    <row r="1050" spans="1:18" ht="16" x14ac:dyDescent="0.2">
      <c r="A1050" s="127" t="s">
        <v>954</v>
      </c>
      <c r="B1050" t="s">
        <v>537</v>
      </c>
      <c r="C1050" t="s">
        <v>1176</v>
      </c>
      <c r="D1050" t="s">
        <v>1177</v>
      </c>
      <c r="E1050">
        <v>24</v>
      </c>
      <c r="F1050">
        <v>24</v>
      </c>
      <c r="G1050">
        <v>1</v>
      </c>
      <c r="H1050">
        <v>3.4641016151377499</v>
      </c>
      <c r="I1050">
        <v>0.62</v>
      </c>
      <c r="J1050" t="s">
        <v>957</v>
      </c>
      <c r="K1050">
        <v>37.5</v>
      </c>
      <c r="L1050" t="s">
        <v>977</v>
      </c>
      <c r="M1050">
        <v>1.5267175572519101</v>
      </c>
      <c r="O1050">
        <v>0</v>
      </c>
      <c r="P1050">
        <v>0</v>
      </c>
      <c r="Q1050">
        <v>0</v>
      </c>
      <c r="R1050">
        <v>0</v>
      </c>
    </row>
    <row r="1051" spans="1:18" ht="16" x14ac:dyDescent="0.2">
      <c r="A1051" s="127" t="s">
        <v>954</v>
      </c>
      <c r="B1051" t="s">
        <v>545</v>
      </c>
      <c r="C1051" t="s">
        <v>3629</v>
      </c>
      <c r="D1051" t="s">
        <v>3630</v>
      </c>
      <c r="E1051" t="s">
        <v>1022</v>
      </c>
      <c r="F1051">
        <v>3</v>
      </c>
      <c r="G1051">
        <v>2</v>
      </c>
      <c r="H1051">
        <v>11.684167198308501</v>
      </c>
      <c r="I1051" t="s">
        <v>957</v>
      </c>
      <c r="J1051" t="s">
        <v>3631</v>
      </c>
      <c r="K1051">
        <v>1.4285714285714299E-2</v>
      </c>
      <c r="L1051" t="s">
        <v>959</v>
      </c>
      <c r="M1051">
        <v>0.76335877862595403</v>
      </c>
      <c r="N1051" t="s">
        <v>960</v>
      </c>
      <c r="O1051" t="s">
        <v>5018</v>
      </c>
      <c r="P1051" t="s">
        <v>5018</v>
      </c>
      <c r="Q1051">
        <v>0</v>
      </c>
      <c r="R1051">
        <v>0</v>
      </c>
    </row>
    <row r="1052" spans="1:18" ht="16" x14ac:dyDescent="0.2">
      <c r="A1052" s="127" t="s">
        <v>954</v>
      </c>
      <c r="B1052" t="s">
        <v>545</v>
      </c>
      <c r="C1052" t="s">
        <v>1187</v>
      </c>
      <c r="D1052" t="s">
        <v>1188</v>
      </c>
      <c r="E1052" t="s">
        <v>1052</v>
      </c>
      <c r="F1052">
        <v>2</v>
      </c>
      <c r="G1052">
        <v>2</v>
      </c>
      <c r="H1052">
        <v>5.47993693880123</v>
      </c>
      <c r="I1052" t="s">
        <v>957</v>
      </c>
      <c r="J1052" t="s">
        <v>1189</v>
      </c>
      <c r="K1052">
        <v>9.2857142857142902E-2</v>
      </c>
      <c r="L1052" t="s">
        <v>959</v>
      </c>
      <c r="M1052">
        <v>3.0534351145038201</v>
      </c>
      <c r="N1052" t="s">
        <v>960</v>
      </c>
      <c r="O1052" t="s">
        <v>5018</v>
      </c>
      <c r="P1052">
        <v>0</v>
      </c>
      <c r="Q1052">
        <v>0</v>
      </c>
      <c r="R1052">
        <v>0</v>
      </c>
    </row>
    <row r="1053" spans="1:18" ht="16" x14ac:dyDescent="0.2">
      <c r="A1053" s="127" t="s">
        <v>954</v>
      </c>
      <c r="B1053" t="s">
        <v>545</v>
      </c>
      <c r="C1053" t="s">
        <v>1292</v>
      </c>
      <c r="D1053" t="s">
        <v>1293</v>
      </c>
      <c r="E1053" t="s">
        <v>1294</v>
      </c>
      <c r="F1053">
        <v>25</v>
      </c>
      <c r="G1053">
        <v>2</v>
      </c>
      <c r="H1053">
        <v>11.8242232495301</v>
      </c>
      <c r="I1053" t="s">
        <v>957</v>
      </c>
      <c r="J1053" t="s">
        <v>1295</v>
      </c>
      <c r="K1053">
        <v>2.1428571428571401E-2</v>
      </c>
      <c r="L1053" t="s">
        <v>959</v>
      </c>
      <c r="M1053">
        <v>0.76335877862595403</v>
      </c>
      <c r="N1053" t="s">
        <v>960</v>
      </c>
      <c r="O1053" t="s">
        <v>5018</v>
      </c>
      <c r="P1053">
        <v>0</v>
      </c>
      <c r="Q1053">
        <v>0</v>
      </c>
      <c r="R1053">
        <v>0</v>
      </c>
    </row>
    <row r="1054" spans="1:18" ht="16" x14ac:dyDescent="0.2">
      <c r="A1054" s="127" t="s">
        <v>954</v>
      </c>
      <c r="B1054" t="s">
        <v>545</v>
      </c>
      <c r="C1054" t="s">
        <v>2596</v>
      </c>
      <c r="D1054" t="s">
        <v>2597</v>
      </c>
      <c r="E1054" t="s">
        <v>1230</v>
      </c>
      <c r="F1054">
        <v>4</v>
      </c>
      <c r="G1054">
        <v>2</v>
      </c>
      <c r="H1054">
        <v>11.8321595661992</v>
      </c>
      <c r="I1054" t="s">
        <v>957</v>
      </c>
      <c r="J1054" t="s">
        <v>2598</v>
      </c>
      <c r="K1054">
        <v>7.14285714285714E-3</v>
      </c>
      <c r="L1054" t="s">
        <v>959</v>
      </c>
      <c r="M1054">
        <v>0.76335877862595403</v>
      </c>
      <c r="N1054" t="s">
        <v>960</v>
      </c>
      <c r="O1054" t="s">
        <v>5018</v>
      </c>
      <c r="P1054">
        <v>0</v>
      </c>
      <c r="Q1054">
        <v>0</v>
      </c>
      <c r="R1054">
        <v>0</v>
      </c>
    </row>
    <row r="1055" spans="1:18" ht="16" x14ac:dyDescent="0.2">
      <c r="A1055" s="127" t="s">
        <v>954</v>
      </c>
      <c r="B1055" t="s">
        <v>545</v>
      </c>
      <c r="C1055" t="s">
        <v>1649</v>
      </c>
      <c r="D1055" t="s">
        <v>1650</v>
      </c>
      <c r="E1055" t="s">
        <v>1692</v>
      </c>
      <c r="F1055">
        <v>5</v>
      </c>
      <c r="G1055">
        <v>2</v>
      </c>
      <c r="H1055">
        <v>4.5947819875929898</v>
      </c>
      <c r="I1055" t="s">
        <v>957</v>
      </c>
      <c r="J1055" t="s">
        <v>3005</v>
      </c>
      <c r="K1055">
        <v>0.2</v>
      </c>
      <c r="L1055" t="s">
        <v>959</v>
      </c>
      <c r="M1055">
        <v>3.0534351145038201</v>
      </c>
      <c r="N1055" t="s">
        <v>960</v>
      </c>
      <c r="O1055" t="s">
        <v>5018</v>
      </c>
      <c r="P1055">
        <v>0</v>
      </c>
      <c r="Q1055">
        <v>0</v>
      </c>
      <c r="R1055">
        <v>0</v>
      </c>
    </row>
    <row r="1056" spans="1:18" ht="16" x14ac:dyDescent="0.2">
      <c r="A1056" s="127" t="s">
        <v>954</v>
      </c>
      <c r="B1056" t="s">
        <v>545</v>
      </c>
      <c r="C1056" t="s">
        <v>1184</v>
      </c>
      <c r="D1056" t="s">
        <v>1185</v>
      </c>
      <c r="E1056" t="s">
        <v>1039</v>
      </c>
      <c r="F1056">
        <v>3</v>
      </c>
      <c r="G1056">
        <v>2</v>
      </c>
      <c r="H1056">
        <v>5.9429691749426796</v>
      </c>
      <c r="I1056" t="s">
        <v>957</v>
      </c>
      <c r="J1056" t="s">
        <v>1186</v>
      </c>
      <c r="K1056">
        <v>0.114285714285714</v>
      </c>
      <c r="L1056" t="s">
        <v>959</v>
      </c>
      <c r="M1056">
        <v>0.76335877862595403</v>
      </c>
      <c r="N1056" t="s">
        <v>960</v>
      </c>
      <c r="O1056" t="s">
        <v>5018</v>
      </c>
      <c r="P1056">
        <v>0</v>
      </c>
      <c r="Q1056">
        <v>0</v>
      </c>
      <c r="R1056">
        <v>0</v>
      </c>
    </row>
    <row r="1057" spans="1:18" ht="16" x14ac:dyDescent="0.2">
      <c r="A1057" s="127" t="s">
        <v>954</v>
      </c>
      <c r="B1057" t="s">
        <v>545</v>
      </c>
      <c r="C1057" t="s">
        <v>2672</v>
      </c>
      <c r="D1057" t="s">
        <v>2673</v>
      </c>
      <c r="E1057" t="s">
        <v>1022</v>
      </c>
      <c r="F1057">
        <v>3</v>
      </c>
      <c r="G1057">
        <v>2</v>
      </c>
      <c r="H1057">
        <v>5.4937336862936199</v>
      </c>
      <c r="I1057" t="s">
        <v>957</v>
      </c>
      <c r="J1057" t="s">
        <v>2674</v>
      </c>
      <c r="K1057">
        <v>9.2857142857142902E-2</v>
      </c>
      <c r="L1057" t="s">
        <v>959</v>
      </c>
      <c r="M1057">
        <v>0.76335877862595403</v>
      </c>
      <c r="N1057" t="s">
        <v>960</v>
      </c>
      <c r="O1057" t="s">
        <v>5018</v>
      </c>
      <c r="P1057">
        <v>0</v>
      </c>
      <c r="Q1057">
        <v>0</v>
      </c>
      <c r="R1057">
        <v>0</v>
      </c>
    </row>
    <row r="1058" spans="1:18" ht="16" x14ac:dyDescent="0.2">
      <c r="A1058" s="127" t="s">
        <v>954</v>
      </c>
      <c r="B1058" t="s">
        <v>545</v>
      </c>
      <c r="C1058" t="s">
        <v>2378</v>
      </c>
      <c r="D1058" t="s">
        <v>2379</v>
      </c>
      <c r="E1058">
        <v>3</v>
      </c>
      <c r="F1058">
        <v>3</v>
      </c>
      <c r="G1058">
        <v>1</v>
      </c>
      <c r="H1058">
        <v>4.6937263271971998</v>
      </c>
      <c r="I1058" t="s">
        <v>957</v>
      </c>
      <c r="J1058" t="s">
        <v>2380</v>
      </c>
      <c r="K1058">
        <v>7.8571428571428598E-2</v>
      </c>
      <c r="L1058" t="s">
        <v>959</v>
      </c>
      <c r="M1058">
        <v>1.5267175572519101</v>
      </c>
      <c r="N1058" t="s">
        <v>960</v>
      </c>
      <c r="O1058" t="s">
        <v>5018</v>
      </c>
      <c r="P1058" t="s">
        <v>5018</v>
      </c>
      <c r="Q1058">
        <v>0</v>
      </c>
      <c r="R1058">
        <v>0</v>
      </c>
    </row>
    <row r="1059" spans="1:18" ht="16" x14ac:dyDescent="0.2">
      <c r="A1059" s="127" t="s">
        <v>954</v>
      </c>
      <c r="B1059" t="s">
        <v>545</v>
      </c>
      <c r="C1059" t="s">
        <v>2976</v>
      </c>
      <c r="D1059" t="s">
        <v>2977</v>
      </c>
      <c r="E1059" t="s">
        <v>2978</v>
      </c>
      <c r="F1059">
        <v>10</v>
      </c>
      <c r="G1059">
        <v>3</v>
      </c>
      <c r="H1059">
        <v>10.971756811294799</v>
      </c>
      <c r="I1059" t="s">
        <v>957</v>
      </c>
      <c r="J1059" t="s">
        <v>2979</v>
      </c>
      <c r="K1059">
        <v>2.1428571428571401E-2</v>
      </c>
      <c r="L1059" t="s">
        <v>959</v>
      </c>
      <c r="M1059">
        <v>0.76335877862595403</v>
      </c>
      <c r="N1059" t="s">
        <v>960</v>
      </c>
      <c r="O1059" t="s">
        <v>5018</v>
      </c>
      <c r="P1059">
        <v>0</v>
      </c>
      <c r="Q1059">
        <v>0</v>
      </c>
      <c r="R1059">
        <v>0</v>
      </c>
    </row>
    <row r="1060" spans="1:18" ht="16" x14ac:dyDescent="0.2">
      <c r="A1060" s="127" t="s">
        <v>954</v>
      </c>
      <c r="B1060" t="s">
        <v>545</v>
      </c>
      <c r="C1060" t="s">
        <v>1298</v>
      </c>
      <c r="D1060" t="s">
        <v>1299</v>
      </c>
      <c r="E1060">
        <v>3</v>
      </c>
      <c r="F1060">
        <v>3</v>
      </c>
      <c r="G1060">
        <v>1</v>
      </c>
      <c r="H1060">
        <v>7.4294866571568399</v>
      </c>
      <c r="I1060" t="s">
        <v>957</v>
      </c>
      <c r="J1060" t="s">
        <v>1300</v>
      </c>
      <c r="K1060">
        <v>2.8571428571428598E-2</v>
      </c>
      <c r="L1060" t="s">
        <v>959</v>
      </c>
      <c r="M1060">
        <v>1.5267175572519101</v>
      </c>
      <c r="N1060" t="s">
        <v>960</v>
      </c>
      <c r="O1060" t="s">
        <v>5018</v>
      </c>
      <c r="P1060">
        <v>0</v>
      </c>
      <c r="Q1060">
        <v>0</v>
      </c>
      <c r="R1060">
        <v>0</v>
      </c>
    </row>
    <row r="1061" spans="1:18" ht="16" x14ac:dyDescent="0.2">
      <c r="A1061" s="127" t="s">
        <v>954</v>
      </c>
      <c r="B1061" t="s">
        <v>541</v>
      </c>
      <c r="C1061" t="s">
        <v>3667</v>
      </c>
      <c r="D1061" t="s">
        <v>3668</v>
      </c>
      <c r="E1061" t="s">
        <v>3669</v>
      </c>
      <c r="F1061">
        <v>11</v>
      </c>
      <c r="G1061">
        <v>3</v>
      </c>
      <c r="H1061">
        <v>11.4680959255813</v>
      </c>
      <c r="I1061" t="s">
        <v>957</v>
      </c>
      <c r="J1061" t="s">
        <v>3670</v>
      </c>
      <c r="K1061">
        <v>2.1428571428571401E-2</v>
      </c>
      <c r="L1061" t="s">
        <v>959</v>
      </c>
      <c r="M1061">
        <v>0.76335877862595403</v>
      </c>
      <c r="N1061" t="s">
        <v>960</v>
      </c>
      <c r="O1061">
        <v>0</v>
      </c>
      <c r="P1061">
        <v>0</v>
      </c>
      <c r="Q1061">
        <v>0</v>
      </c>
      <c r="R1061">
        <v>0</v>
      </c>
    </row>
    <row r="1062" spans="1:18" ht="16" x14ac:dyDescent="0.2">
      <c r="A1062" s="127" t="s">
        <v>954</v>
      </c>
      <c r="B1062" t="s">
        <v>541</v>
      </c>
      <c r="C1062" t="s">
        <v>1553</v>
      </c>
      <c r="E1062">
        <v>4</v>
      </c>
      <c r="F1062">
        <v>4</v>
      </c>
      <c r="G1062">
        <v>1</v>
      </c>
      <c r="H1062">
        <v>6.2808093722576803</v>
      </c>
      <c r="I1062" t="s">
        <v>957</v>
      </c>
      <c r="J1062" t="s">
        <v>1554</v>
      </c>
      <c r="K1062">
        <v>4.2857142857142899E-2</v>
      </c>
      <c r="L1062" t="s">
        <v>959</v>
      </c>
      <c r="M1062">
        <v>0.76335877862595403</v>
      </c>
      <c r="N1062" t="s">
        <v>960</v>
      </c>
      <c r="O1062">
        <v>0</v>
      </c>
      <c r="P1062">
        <v>0</v>
      </c>
      <c r="Q1062">
        <v>0</v>
      </c>
      <c r="R1062">
        <v>0</v>
      </c>
    </row>
    <row r="1063" spans="1:18" ht="16" x14ac:dyDescent="0.2">
      <c r="A1063" s="127" t="s">
        <v>954</v>
      </c>
      <c r="B1063" t="s">
        <v>549</v>
      </c>
      <c r="C1063" t="s">
        <v>1423</v>
      </c>
      <c r="D1063" t="s">
        <v>1424</v>
      </c>
      <c r="E1063" t="s">
        <v>1425</v>
      </c>
      <c r="F1063">
        <v>8</v>
      </c>
      <c r="G1063">
        <v>2</v>
      </c>
      <c r="H1063">
        <v>7.4794243055056002</v>
      </c>
      <c r="I1063" t="s">
        <v>957</v>
      </c>
      <c r="J1063" t="s">
        <v>1426</v>
      </c>
      <c r="K1063">
        <v>1.4285714285714299E-2</v>
      </c>
      <c r="L1063" t="s">
        <v>959</v>
      </c>
      <c r="M1063">
        <v>1.5267175572519101</v>
      </c>
      <c r="N1063" t="s">
        <v>960</v>
      </c>
      <c r="O1063">
        <v>0</v>
      </c>
      <c r="P1063">
        <v>0</v>
      </c>
      <c r="Q1063">
        <v>0</v>
      </c>
      <c r="R1063">
        <v>0</v>
      </c>
    </row>
    <row r="1064" spans="1:18" ht="16" x14ac:dyDescent="0.2">
      <c r="A1064" s="127" t="s">
        <v>954</v>
      </c>
      <c r="B1064" t="s">
        <v>549</v>
      </c>
      <c r="C1064" t="s">
        <v>1731</v>
      </c>
      <c r="D1064" t="s">
        <v>1732</v>
      </c>
      <c r="E1064">
        <v>4</v>
      </c>
      <c r="F1064">
        <v>4</v>
      </c>
      <c r="G1064">
        <v>1</v>
      </c>
      <c r="H1064">
        <v>6.2087159310076201</v>
      </c>
      <c r="I1064" t="s">
        <v>957</v>
      </c>
      <c r="J1064" t="s">
        <v>1733</v>
      </c>
      <c r="K1064">
        <v>2.8571428571428598E-2</v>
      </c>
      <c r="L1064" t="s">
        <v>959</v>
      </c>
      <c r="M1064">
        <v>2.2900763358778602</v>
      </c>
      <c r="N1064" t="s">
        <v>960</v>
      </c>
      <c r="O1064">
        <v>0</v>
      </c>
      <c r="P1064">
        <v>0</v>
      </c>
      <c r="Q1064">
        <v>0</v>
      </c>
      <c r="R1064">
        <v>0</v>
      </c>
    </row>
    <row r="1065" spans="1:18" ht="16" x14ac:dyDescent="0.2">
      <c r="A1065" s="127" t="s">
        <v>954</v>
      </c>
      <c r="B1065" t="s">
        <v>549</v>
      </c>
      <c r="C1065" t="s">
        <v>2390</v>
      </c>
      <c r="D1065" t="s">
        <v>2391</v>
      </c>
      <c r="E1065">
        <v>4</v>
      </c>
      <c r="F1065">
        <v>4</v>
      </c>
      <c r="G1065">
        <v>1</v>
      </c>
      <c r="H1065">
        <v>5.3633479927274497</v>
      </c>
      <c r="I1065" t="s">
        <v>957</v>
      </c>
      <c r="J1065" t="s">
        <v>3403</v>
      </c>
      <c r="K1065">
        <v>4.2857142857142899E-2</v>
      </c>
      <c r="L1065" t="s">
        <v>959</v>
      </c>
      <c r="M1065">
        <v>1.5267175572519101</v>
      </c>
      <c r="N1065" t="s">
        <v>960</v>
      </c>
      <c r="O1065">
        <v>0</v>
      </c>
      <c r="P1065">
        <v>0</v>
      </c>
      <c r="Q1065">
        <v>0</v>
      </c>
      <c r="R1065">
        <v>0</v>
      </c>
    </row>
    <row r="1066" spans="1:18" ht="16" x14ac:dyDescent="0.2">
      <c r="A1066" s="127" t="s">
        <v>954</v>
      </c>
      <c r="B1066" t="s">
        <v>549</v>
      </c>
      <c r="C1066" t="s">
        <v>1391</v>
      </c>
      <c r="D1066" t="s">
        <v>1392</v>
      </c>
      <c r="E1066" t="s">
        <v>3162</v>
      </c>
      <c r="F1066">
        <v>12</v>
      </c>
      <c r="G1066">
        <v>2</v>
      </c>
      <c r="H1066">
        <v>5.7098616279257302</v>
      </c>
      <c r="I1066" t="s">
        <v>957</v>
      </c>
      <c r="J1066" t="s">
        <v>3163</v>
      </c>
      <c r="K1066">
        <v>0.14285714285714299</v>
      </c>
      <c r="L1066" t="s">
        <v>959</v>
      </c>
      <c r="M1066">
        <v>2.2900763358778602</v>
      </c>
      <c r="N1066" t="s">
        <v>960</v>
      </c>
      <c r="O1066">
        <v>0</v>
      </c>
      <c r="P1066">
        <v>0</v>
      </c>
      <c r="Q1066">
        <v>0</v>
      </c>
      <c r="R1066">
        <v>0</v>
      </c>
    </row>
    <row r="1067" spans="1:18" ht="16" x14ac:dyDescent="0.2">
      <c r="A1067" s="127" t="s">
        <v>954</v>
      </c>
      <c r="B1067" t="s">
        <v>549</v>
      </c>
      <c r="C1067" t="s">
        <v>3416</v>
      </c>
      <c r="D1067" t="s">
        <v>3417</v>
      </c>
      <c r="E1067">
        <v>3</v>
      </c>
      <c r="F1067">
        <v>3</v>
      </c>
      <c r="G1067">
        <v>1</v>
      </c>
      <c r="H1067">
        <v>6.2119051471704703</v>
      </c>
      <c r="I1067" t="s">
        <v>957</v>
      </c>
      <c r="J1067" t="s">
        <v>3418</v>
      </c>
      <c r="K1067">
        <v>0.107142857142857</v>
      </c>
      <c r="L1067" t="s">
        <v>959</v>
      </c>
      <c r="M1067">
        <v>0.76335877862595403</v>
      </c>
      <c r="N1067" t="s">
        <v>960</v>
      </c>
      <c r="O1067">
        <v>0</v>
      </c>
      <c r="P1067">
        <v>0</v>
      </c>
      <c r="Q1067">
        <v>0</v>
      </c>
      <c r="R1067">
        <v>0</v>
      </c>
    </row>
    <row r="1068" spans="1:18" ht="16" x14ac:dyDescent="0.2">
      <c r="A1068" s="127" t="s">
        <v>954</v>
      </c>
      <c r="B1068" t="s">
        <v>549</v>
      </c>
      <c r="C1068" t="s">
        <v>1351</v>
      </c>
      <c r="D1068" t="s">
        <v>1352</v>
      </c>
      <c r="E1068">
        <v>9</v>
      </c>
      <c r="F1068">
        <v>9</v>
      </c>
      <c r="G1068">
        <v>1</v>
      </c>
      <c r="H1068">
        <v>5.94235466250261</v>
      </c>
      <c r="I1068" t="s">
        <v>957</v>
      </c>
      <c r="J1068" t="s">
        <v>1353</v>
      </c>
      <c r="K1068">
        <v>0.1</v>
      </c>
      <c r="L1068" t="s">
        <v>959</v>
      </c>
      <c r="M1068">
        <v>1.5267175572519101</v>
      </c>
      <c r="N1068" t="s">
        <v>960</v>
      </c>
      <c r="O1068">
        <v>0</v>
      </c>
      <c r="P1068">
        <v>0</v>
      </c>
      <c r="Q1068">
        <v>0</v>
      </c>
      <c r="R1068">
        <v>0</v>
      </c>
    </row>
    <row r="1069" spans="1:18" ht="16" x14ac:dyDescent="0.2">
      <c r="A1069" s="127" t="s">
        <v>954</v>
      </c>
      <c r="B1069" t="s">
        <v>549</v>
      </c>
      <c r="C1069" t="s">
        <v>1332</v>
      </c>
      <c r="D1069" t="s">
        <v>1333</v>
      </c>
      <c r="E1069" t="s">
        <v>1334</v>
      </c>
      <c r="F1069">
        <v>10</v>
      </c>
      <c r="G1069">
        <v>2</v>
      </c>
      <c r="H1069">
        <v>6.0278664888246398</v>
      </c>
      <c r="I1069" t="s">
        <v>957</v>
      </c>
      <c r="J1069" t="s">
        <v>1335</v>
      </c>
      <c r="K1069">
        <v>0.114285714285714</v>
      </c>
      <c r="L1069" t="s">
        <v>959</v>
      </c>
      <c r="M1069">
        <v>2.2900763358778602</v>
      </c>
      <c r="N1069" t="s">
        <v>960</v>
      </c>
      <c r="O1069">
        <v>0</v>
      </c>
      <c r="P1069">
        <v>0</v>
      </c>
      <c r="Q1069">
        <v>0</v>
      </c>
      <c r="R1069">
        <v>0</v>
      </c>
    </row>
    <row r="1070" spans="1:18" ht="16" x14ac:dyDescent="0.2">
      <c r="A1070" s="127" t="s">
        <v>954</v>
      </c>
      <c r="B1070" t="s">
        <v>549</v>
      </c>
      <c r="C1070" t="s">
        <v>1629</v>
      </c>
      <c r="D1070" t="s">
        <v>1630</v>
      </c>
      <c r="E1070">
        <v>7</v>
      </c>
      <c r="F1070">
        <v>7</v>
      </c>
      <c r="G1070">
        <v>1</v>
      </c>
      <c r="H1070">
        <v>7.1917379969180297</v>
      </c>
      <c r="I1070" t="s">
        <v>957</v>
      </c>
      <c r="J1070" t="s">
        <v>1806</v>
      </c>
      <c r="K1070">
        <v>8.5714285714285701E-2</v>
      </c>
      <c r="L1070" t="s">
        <v>959</v>
      </c>
      <c r="M1070">
        <v>1.5267175572519101</v>
      </c>
      <c r="N1070" t="s">
        <v>960</v>
      </c>
      <c r="O1070">
        <v>0</v>
      </c>
      <c r="P1070">
        <v>0</v>
      </c>
      <c r="Q1070">
        <v>0</v>
      </c>
      <c r="R1070">
        <v>0</v>
      </c>
    </row>
    <row r="1071" spans="1:18" ht="16" x14ac:dyDescent="0.2">
      <c r="A1071" s="127" t="s">
        <v>954</v>
      </c>
      <c r="B1071" t="s">
        <v>549</v>
      </c>
      <c r="C1071" t="s">
        <v>3758</v>
      </c>
      <c r="D1071" t="s">
        <v>3759</v>
      </c>
      <c r="E1071" t="s">
        <v>1039</v>
      </c>
      <c r="F1071">
        <v>3</v>
      </c>
      <c r="G1071">
        <v>2</v>
      </c>
      <c r="H1071">
        <v>5.6705657433488703</v>
      </c>
      <c r="I1071" t="s">
        <v>957</v>
      </c>
      <c r="J1071" t="s">
        <v>3760</v>
      </c>
      <c r="K1071">
        <v>0.1</v>
      </c>
      <c r="L1071" t="s">
        <v>959</v>
      </c>
      <c r="M1071">
        <v>0.76335877862595403</v>
      </c>
      <c r="N1071" t="s">
        <v>960</v>
      </c>
      <c r="O1071">
        <v>0</v>
      </c>
      <c r="P1071">
        <v>0</v>
      </c>
      <c r="Q1071">
        <v>0</v>
      </c>
      <c r="R1071">
        <v>0</v>
      </c>
    </row>
    <row r="1072" spans="1:18" ht="16" x14ac:dyDescent="0.2">
      <c r="A1072" s="127" t="s">
        <v>954</v>
      </c>
      <c r="B1072" t="s">
        <v>549</v>
      </c>
      <c r="C1072" t="s">
        <v>3320</v>
      </c>
      <c r="D1072" t="s">
        <v>3321</v>
      </c>
      <c r="E1072">
        <v>5</v>
      </c>
      <c r="F1072">
        <v>5</v>
      </c>
      <c r="G1072">
        <v>1</v>
      </c>
      <c r="H1072">
        <v>4.7003488132709599</v>
      </c>
      <c r="I1072" t="s">
        <v>957</v>
      </c>
      <c r="J1072" t="s">
        <v>3322</v>
      </c>
      <c r="K1072">
        <v>0.114285714285714</v>
      </c>
      <c r="L1072" t="s">
        <v>959</v>
      </c>
      <c r="M1072">
        <v>1.5267175572519101</v>
      </c>
      <c r="N1072" t="s">
        <v>960</v>
      </c>
      <c r="O1072">
        <v>0</v>
      </c>
      <c r="P1072">
        <v>0</v>
      </c>
      <c r="Q1072">
        <v>0</v>
      </c>
      <c r="R1072">
        <v>0</v>
      </c>
    </row>
    <row r="1073" spans="1:18" ht="16" x14ac:dyDescent="0.2">
      <c r="A1073" s="127" t="s">
        <v>954</v>
      </c>
      <c r="B1073" t="s">
        <v>549</v>
      </c>
      <c r="C1073" t="s">
        <v>2811</v>
      </c>
      <c r="D1073" t="s">
        <v>2812</v>
      </c>
      <c r="E1073">
        <v>4</v>
      </c>
      <c r="F1073">
        <v>4</v>
      </c>
      <c r="G1073">
        <v>1</v>
      </c>
      <c r="H1073">
        <v>6.9249999891757401</v>
      </c>
      <c r="I1073" t="s">
        <v>957</v>
      </c>
      <c r="J1073" t="s">
        <v>2813</v>
      </c>
      <c r="K1073">
        <v>7.1428571428571397E-2</v>
      </c>
      <c r="L1073" t="s">
        <v>959</v>
      </c>
      <c r="M1073">
        <v>0.76335877862595403</v>
      </c>
      <c r="N1073" t="s">
        <v>960</v>
      </c>
      <c r="O1073">
        <v>0</v>
      </c>
      <c r="P1073">
        <v>0</v>
      </c>
      <c r="Q1073">
        <v>0</v>
      </c>
      <c r="R1073">
        <v>0</v>
      </c>
    </row>
    <row r="1074" spans="1:18" ht="16" x14ac:dyDescent="0.2">
      <c r="A1074" s="127" t="s">
        <v>954</v>
      </c>
      <c r="B1074" t="s">
        <v>549</v>
      </c>
      <c r="C1074" t="s">
        <v>1309</v>
      </c>
      <c r="D1074" t="s">
        <v>1310</v>
      </c>
      <c r="E1074">
        <v>4</v>
      </c>
      <c r="F1074">
        <v>4</v>
      </c>
      <c r="G1074">
        <v>1</v>
      </c>
      <c r="H1074">
        <v>7.0520403673781704</v>
      </c>
      <c r="I1074" t="s">
        <v>957</v>
      </c>
      <c r="J1074" t="s">
        <v>1311</v>
      </c>
      <c r="K1074">
        <v>2.1428571428571401E-2</v>
      </c>
      <c r="L1074" t="s">
        <v>959</v>
      </c>
      <c r="M1074">
        <v>1.5267175572519101</v>
      </c>
      <c r="N1074" t="s">
        <v>960</v>
      </c>
      <c r="O1074">
        <v>0</v>
      </c>
      <c r="P1074">
        <v>0</v>
      </c>
      <c r="Q1074">
        <v>0</v>
      </c>
      <c r="R1074">
        <v>0</v>
      </c>
    </row>
    <row r="1075" spans="1:18" ht="16" x14ac:dyDescent="0.2">
      <c r="A1075" s="127" t="s">
        <v>954</v>
      </c>
      <c r="B1075" t="s">
        <v>553</v>
      </c>
      <c r="C1075" t="s">
        <v>1423</v>
      </c>
      <c r="D1075" t="s">
        <v>1424</v>
      </c>
      <c r="E1075" t="s">
        <v>2974</v>
      </c>
      <c r="F1075">
        <v>11</v>
      </c>
      <c r="G1075">
        <v>3</v>
      </c>
      <c r="H1075">
        <v>9.1683265680391202</v>
      </c>
      <c r="I1075" t="s">
        <v>957</v>
      </c>
      <c r="J1075" t="s">
        <v>2975</v>
      </c>
      <c r="K1075">
        <v>1.4285714285714299E-2</v>
      </c>
      <c r="L1075" t="s">
        <v>959</v>
      </c>
      <c r="M1075">
        <v>1.5267175572519101</v>
      </c>
      <c r="N1075" t="s">
        <v>982</v>
      </c>
      <c r="O1075">
        <v>0</v>
      </c>
      <c r="P1075">
        <v>0</v>
      </c>
      <c r="Q1075">
        <v>0</v>
      </c>
      <c r="R1075">
        <v>0</v>
      </c>
    </row>
    <row r="1076" spans="1:18" ht="16" x14ac:dyDescent="0.2">
      <c r="A1076" s="127" t="s">
        <v>954</v>
      </c>
      <c r="B1076" t="s">
        <v>553</v>
      </c>
      <c r="C1076" t="s">
        <v>2351</v>
      </c>
      <c r="D1076" t="s">
        <v>2352</v>
      </c>
      <c r="E1076" t="s">
        <v>1438</v>
      </c>
      <c r="F1076">
        <v>8</v>
      </c>
      <c r="G1076">
        <v>2</v>
      </c>
      <c r="H1076">
        <v>3.8729833462074201</v>
      </c>
      <c r="I1076" t="s">
        <v>957</v>
      </c>
      <c r="J1076" t="s">
        <v>2353</v>
      </c>
      <c r="K1076">
        <v>6.6666666666666693E-2</v>
      </c>
      <c r="L1076" t="s">
        <v>1004</v>
      </c>
      <c r="M1076">
        <v>0.76335877862595403</v>
      </c>
      <c r="N1076" t="s">
        <v>1005</v>
      </c>
      <c r="O1076">
        <v>0</v>
      </c>
      <c r="P1076">
        <v>0</v>
      </c>
      <c r="Q1076">
        <v>0</v>
      </c>
      <c r="R1076">
        <v>0</v>
      </c>
    </row>
    <row r="1077" spans="1:18" ht="16" x14ac:dyDescent="0.2">
      <c r="A1077" s="127" t="s">
        <v>954</v>
      </c>
      <c r="B1077" t="s">
        <v>553</v>
      </c>
      <c r="C1077" t="s">
        <v>2442</v>
      </c>
      <c r="D1077" t="s">
        <v>2443</v>
      </c>
      <c r="E1077">
        <v>3</v>
      </c>
      <c r="F1077">
        <v>3</v>
      </c>
      <c r="G1077">
        <v>1</v>
      </c>
      <c r="H1077">
        <v>10.605878528655399</v>
      </c>
      <c r="I1077" t="s">
        <v>957</v>
      </c>
      <c r="J1077" t="s">
        <v>2444</v>
      </c>
      <c r="K1077">
        <v>1.4285714285714299E-2</v>
      </c>
      <c r="L1077" t="s">
        <v>959</v>
      </c>
      <c r="M1077">
        <v>0.76335877862595403</v>
      </c>
      <c r="N1077" t="s">
        <v>960</v>
      </c>
      <c r="O1077">
        <v>0</v>
      </c>
      <c r="P1077">
        <v>0</v>
      </c>
      <c r="Q1077">
        <v>0</v>
      </c>
      <c r="R1077">
        <v>0</v>
      </c>
    </row>
    <row r="1078" spans="1:18" ht="16" x14ac:dyDescent="0.2">
      <c r="A1078" s="127" t="s">
        <v>954</v>
      </c>
      <c r="B1078" t="s">
        <v>553</v>
      </c>
      <c r="C1078" t="s">
        <v>1402</v>
      </c>
      <c r="D1078" t="s">
        <v>1403</v>
      </c>
      <c r="E1078" t="s">
        <v>1404</v>
      </c>
      <c r="F1078">
        <v>8</v>
      </c>
      <c r="G1078">
        <v>3</v>
      </c>
      <c r="H1078">
        <v>5.01623770585838</v>
      </c>
      <c r="I1078" t="s">
        <v>957</v>
      </c>
      <c r="J1078" t="s">
        <v>1405</v>
      </c>
      <c r="K1078">
        <v>0.185714285714286</v>
      </c>
      <c r="L1078" t="s">
        <v>959</v>
      </c>
      <c r="M1078">
        <v>0.76335877862595403</v>
      </c>
      <c r="N1078" t="s">
        <v>960</v>
      </c>
      <c r="O1078">
        <v>0</v>
      </c>
      <c r="P1078">
        <v>0</v>
      </c>
      <c r="Q1078">
        <v>0</v>
      </c>
      <c r="R1078">
        <v>0</v>
      </c>
    </row>
    <row r="1079" spans="1:18" ht="16" x14ac:dyDescent="0.2">
      <c r="A1079" s="127" t="s">
        <v>954</v>
      </c>
      <c r="B1079" t="s">
        <v>553</v>
      </c>
      <c r="C1079" t="s">
        <v>2513</v>
      </c>
      <c r="D1079" t="s">
        <v>2514</v>
      </c>
      <c r="E1079">
        <v>8</v>
      </c>
      <c r="F1079">
        <v>8</v>
      </c>
      <c r="G1079">
        <v>1</v>
      </c>
      <c r="H1079">
        <v>7.5760297263866603</v>
      </c>
      <c r="I1079" t="s">
        <v>957</v>
      </c>
      <c r="J1079" t="s">
        <v>3090</v>
      </c>
      <c r="K1079">
        <v>4.2857142857142899E-2</v>
      </c>
      <c r="L1079" t="s">
        <v>959</v>
      </c>
      <c r="M1079">
        <v>1.5267175572519101</v>
      </c>
      <c r="N1079" t="s">
        <v>960</v>
      </c>
      <c r="O1079">
        <v>0</v>
      </c>
      <c r="P1079">
        <v>0</v>
      </c>
      <c r="Q1079">
        <v>0</v>
      </c>
      <c r="R1079">
        <v>0</v>
      </c>
    </row>
    <row r="1080" spans="1:18" ht="16" x14ac:dyDescent="0.2">
      <c r="A1080" s="127" t="s">
        <v>954</v>
      </c>
      <c r="B1080" t="s">
        <v>553</v>
      </c>
      <c r="C1080" t="s">
        <v>1515</v>
      </c>
      <c r="D1080" t="s">
        <v>2206</v>
      </c>
      <c r="E1080">
        <v>3</v>
      </c>
      <c r="F1080">
        <v>3</v>
      </c>
      <c r="G1080">
        <v>1</v>
      </c>
      <c r="H1080">
        <v>7.15982508323075</v>
      </c>
      <c r="I1080" t="s">
        <v>957</v>
      </c>
      <c r="J1080" t="s">
        <v>2207</v>
      </c>
      <c r="K1080">
        <v>4.2857142857142899E-2</v>
      </c>
      <c r="L1080" t="s">
        <v>959</v>
      </c>
      <c r="M1080">
        <v>1.5267175572519101</v>
      </c>
      <c r="N1080" t="s">
        <v>960</v>
      </c>
      <c r="O1080">
        <v>0</v>
      </c>
      <c r="P1080">
        <v>0</v>
      </c>
      <c r="Q1080">
        <v>0</v>
      </c>
      <c r="R1080">
        <v>0</v>
      </c>
    </row>
    <row r="1081" spans="1:18" ht="16" x14ac:dyDescent="0.2">
      <c r="A1081" s="127" t="s">
        <v>954</v>
      </c>
      <c r="B1081" t="s">
        <v>553</v>
      </c>
      <c r="C1081" t="s">
        <v>1332</v>
      </c>
      <c r="D1081" t="s">
        <v>1333</v>
      </c>
      <c r="E1081" t="s">
        <v>1688</v>
      </c>
      <c r="F1081">
        <v>9</v>
      </c>
      <c r="G1081">
        <v>2</v>
      </c>
      <c r="H1081">
        <v>4.97496404536182</v>
      </c>
      <c r="I1081" t="s">
        <v>957</v>
      </c>
      <c r="J1081" t="s">
        <v>1335</v>
      </c>
      <c r="K1081">
        <v>0.114285714285714</v>
      </c>
      <c r="L1081" t="s">
        <v>959</v>
      </c>
      <c r="M1081">
        <v>2.2900763358778602</v>
      </c>
      <c r="N1081" t="s">
        <v>960</v>
      </c>
      <c r="O1081">
        <v>0</v>
      </c>
      <c r="P1081">
        <v>0</v>
      </c>
      <c r="Q1081">
        <v>0</v>
      </c>
      <c r="R1081">
        <v>0</v>
      </c>
    </row>
    <row r="1082" spans="1:18" ht="16" x14ac:dyDescent="0.2">
      <c r="A1082" s="127" t="s">
        <v>954</v>
      </c>
      <c r="B1082" t="s">
        <v>553</v>
      </c>
      <c r="C1082" t="s">
        <v>1277</v>
      </c>
      <c r="D1082" t="s">
        <v>2349</v>
      </c>
      <c r="E1082">
        <v>3</v>
      </c>
      <c r="F1082">
        <v>3</v>
      </c>
      <c r="G1082">
        <v>1</v>
      </c>
      <c r="H1082">
        <v>7.4294866571568399</v>
      </c>
      <c r="I1082" t="s">
        <v>957</v>
      </c>
      <c r="J1082" t="s">
        <v>2350</v>
      </c>
      <c r="K1082">
        <v>2.8571428571428598E-2</v>
      </c>
      <c r="L1082" t="s">
        <v>959</v>
      </c>
      <c r="M1082">
        <v>1.5267175572519101</v>
      </c>
      <c r="N1082" t="s">
        <v>960</v>
      </c>
      <c r="O1082">
        <v>0</v>
      </c>
      <c r="P1082">
        <v>0</v>
      </c>
      <c r="Q1082">
        <v>0</v>
      </c>
      <c r="R1082">
        <v>0</v>
      </c>
    </row>
    <row r="1083" spans="1:18" ht="16" x14ac:dyDescent="0.2">
      <c r="A1083" s="127" t="s">
        <v>954</v>
      </c>
      <c r="B1083" t="s">
        <v>553</v>
      </c>
      <c r="C1083" t="s">
        <v>1459</v>
      </c>
      <c r="D1083" t="s">
        <v>1460</v>
      </c>
      <c r="E1083">
        <v>18</v>
      </c>
      <c r="F1083">
        <v>18</v>
      </c>
      <c r="G1083">
        <v>1</v>
      </c>
      <c r="H1083">
        <v>5.3267410520393002</v>
      </c>
      <c r="I1083" t="s">
        <v>957</v>
      </c>
      <c r="J1083" t="s">
        <v>1461</v>
      </c>
      <c r="K1083">
        <v>7.1428571428571397E-2</v>
      </c>
      <c r="L1083" t="s">
        <v>959</v>
      </c>
      <c r="M1083">
        <v>1.5267175572519101</v>
      </c>
      <c r="N1083" t="s">
        <v>960</v>
      </c>
      <c r="O1083">
        <v>0</v>
      </c>
      <c r="P1083" t="s">
        <v>5017</v>
      </c>
      <c r="Q1083">
        <v>0</v>
      </c>
      <c r="R1083" t="s">
        <v>5019</v>
      </c>
    </row>
    <row r="1084" spans="1:18" ht="16" x14ac:dyDescent="0.2">
      <c r="A1084" s="127" t="s">
        <v>954</v>
      </c>
      <c r="B1084" t="s">
        <v>553</v>
      </c>
      <c r="C1084" t="s">
        <v>466</v>
      </c>
      <c r="D1084" t="s">
        <v>2566</v>
      </c>
      <c r="E1084">
        <v>2</v>
      </c>
      <c r="F1084">
        <v>2</v>
      </c>
      <c r="G1084">
        <v>1</v>
      </c>
      <c r="H1084">
        <v>11.8321595661992</v>
      </c>
      <c r="I1084" t="s">
        <v>957</v>
      </c>
      <c r="J1084" t="s">
        <v>2567</v>
      </c>
      <c r="K1084">
        <v>7.14285714285714E-3</v>
      </c>
      <c r="L1084" t="s">
        <v>959</v>
      </c>
      <c r="M1084">
        <v>0.76335877862595403</v>
      </c>
      <c r="N1084" t="s">
        <v>960</v>
      </c>
      <c r="O1084">
        <v>0</v>
      </c>
      <c r="P1084">
        <v>0</v>
      </c>
      <c r="Q1084">
        <v>0</v>
      </c>
      <c r="R1084">
        <v>0</v>
      </c>
    </row>
    <row r="1085" spans="1:18" ht="16" x14ac:dyDescent="0.2">
      <c r="A1085" s="127" t="s">
        <v>954</v>
      </c>
      <c r="B1085" t="s">
        <v>553</v>
      </c>
      <c r="C1085" t="s">
        <v>3552</v>
      </c>
      <c r="D1085" t="s">
        <v>3553</v>
      </c>
      <c r="E1085" t="s">
        <v>1022</v>
      </c>
      <c r="F1085">
        <v>3</v>
      </c>
      <c r="G1085">
        <v>2</v>
      </c>
      <c r="H1085">
        <v>8.2185325359161894</v>
      </c>
      <c r="I1085" t="s">
        <v>957</v>
      </c>
      <c r="J1085" t="s">
        <v>3554</v>
      </c>
      <c r="K1085">
        <v>3.5714285714285698E-2</v>
      </c>
      <c r="L1085" t="s">
        <v>959</v>
      </c>
      <c r="M1085">
        <v>0.76335877862595403</v>
      </c>
      <c r="N1085" t="s">
        <v>960</v>
      </c>
      <c r="O1085">
        <v>0</v>
      </c>
      <c r="P1085">
        <v>0</v>
      </c>
      <c r="Q1085">
        <v>0</v>
      </c>
      <c r="R1085">
        <v>0</v>
      </c>
    </row>
    <row r="1086" spans="1:18" ht="16" x14ac:dyDescent="0.2">
      <c r="A1086" s="127" t="s">
        <v>954</v>
      </c>
      <c r="B1086" t="s">
        <v>553</v>
      </c>
      <c r="C1086" t="s">
        <v>2665</v>
      </c>
      <c r="D1086" t="s">
        <v>2666</v>
      </c>
      <c r="E1086">
        <v>8</v>
      </c>
      <c r="F1086">
        <v>8</v>
      </c>
      <c r="G1086">
        <v>1</v>
      </c>
      <c r="H1086">
        <v>5.3232156633335999</v>
      </c>
      <c r="I1086" t="s">
        <v>957</v>
      </c>
      <c r="J1086" t="s">
        <v>2667</v>
      </c>
      <c r="K1086">
        <v>5.7142857142857099E-2</v>
      </c>
      <c r="L1086" t="s">
        <v>959</v>
      </c>
      <c r="M1086">
        <v>0.76335877862595403</v>
      </c>
      <c r="N1086" t="s">
        <v>960</v>
      </c>
      <c r="O1086">
        <v>0</v>
      </c>
      <c r="P1086">
        <v>0</v>
      </c>
      <c r="Q1086">
        <v>0</v>
      </c>
      <c r="R1086">
        <v>0</v>
      </c>
    </row>
    <row r="1087" spans="1:18" ht="16" x14ac:dyDescent="0.2">
      <c r="A1087" s="127" t="s">
        <v>954</v>
      </c>
      <c r="B1087" t="s">
        <v>553</v>
      </c>
      <c r="C1087" t="s">
        <v>1480</v>
      </c>
      <c r="D1087" t="s">
        <v>2208</v>
      </c>
      <c r="E1087" t="s">
        <v>3168</v>
      </c>
      <c r="F1087">
        <v>12</v>
      </c>
      <c r="G1087">
        <v>2</v>
      </c>
      <c r="H1087">
        <v>7.4355202601095698</v>
      </c>
      <c r="I1087" t="s">
        <v>957</v>
      </c>
      <c r="J1087" t="s">
        <v>3169</v>
      </c>
      <c r="K1087">
        <v>0.13571428571428601</v>
      </c>
      <c r="L1087" t="s">
        <v>959</v>
      </c>
      <c r="M1087">
        <v>2.2900763358778602</v>
      </c>
      <c r="N1087" t="s">
        <v>960</v>
      </c>
      <c r="O1087">
        <v>0</v>
      </c>
      <c r="P1087">
        <v>0</v>
      </c>
      <c r="Q1087">
        <v>0</v>
      </c>
      <c r="R1087" t="s">
        <v>5019</v>
      </c>
    </row>
    <row r="1088" spans="1:18" ht="16" x14ac:dyDescent="0.2">
      <c r="A1088" s="127" t="s">
        <v>954</v>
      </c>
      <c r="B1088" t="s">
        <v>553</v>
      </c>
      <c r="C1088" t="s">
        <v>2529</v>
      </c>
      <c r="D1088" t="s">
        <v>2530</v>
      </c>
      <c r="E1088" t="s">
        <v>3691</v>
      </c>
      <c r="F1088">
        <v>16</v>
      </c>
      <c r="G1088">
        <v>2</v>
      </c>
      <c r="H1088">
        <v>3.8215706235964499</v>
      </c>
      <c r="I1088" t="s">
        <v>957</v>
      </c>
      <c r="J1088" t="s">
        <v>3692</v>
      </c>
      <c r="K1088">
        <v>0.266666666666667</v>
      </c>
      <c r="L1088" t="s">
        <v>1004</v>
      </c>
      <c r="M1088">
        <v>2.2900763358778602</v>
      </c>
      <c r="N1088" t="s">
        <v>1005</v>
      </c>
      <c r="O1088">
        <v>0</v>
      </c>
      <c r="P1088">
        <v>0</v>
      </c>
      <c r="Q1088">
        <v>0</v>
      </c>
      <c r="R1088">
        <v>0</v>
      </c>
    </row>
    <row r="1089" spans="1:18" ht="16" x14ac:dyDescent="0.2">
      <c r="A1089" s="127" t="s">
        <v>954</v>
      </c>
      <c r="B1089" t="s">
        <v>553</v>
      </c>
      <c r="C1089" t="s">
        <v>3410</v>
      </c>
      <c r="D1089" t="s">
        <v>3411</v>
      </c>
      <c r="E1089" t="s">
        <v>1052</v>
      </c>
      <c r="F1089">
        <v>2</v>
      </c>
      <c r="G1089">
        <v>2</v>
      </c>
      <c r="H1089">
        <v>5.9972251372606502</v>
      </c>
      <c r="I1089" t="s">
        <v>957</v>
      </c>
      <c r="J1089" t="s">
        <v>3412</v>
      </c>
      <c r="K1089">
        <v>0.1</v>
      </c>
      <c r="L1089" t="s">
        <v>959</v>
      </c>
      <c r="M1089">
        <v>0.76335877862595403</v>
      </c>
      <c r="N1089" t="s">
        <v>960</v>
      </c>
      <c r="O1089">
        <v>0</v>
      </c>
      <c r="P1089">
        <v>0</v>
      </c>
      <c r="Q1089">
        <v>0</v>
      </c>
      <c r="R1089">
        <v>0</v>
      </c>
    </row>
    <row r="1090" spans="1:18" ht="16" x14ac:dyDescent="0.2">
      <c r="A1090" s="127" t="s">
        <v>954</v>
      </c>
      <c r="B1090" t="s">
        <v>553</v>
      </c>
      <c r="C1090" t="s">
        <v>1301</v>
      </c>
      <c r="D1090" t="s">
        <v>1302</v>
      </c>
      <c r="E1090" t="s">
        <v>1039</v>
      </c>
      <c r="F1090">
        <v>3</v>
      </c>
      <c r="G1090">
        <v>2</v>
      </c>
      <c r="H1090">
        <v>5.7555909026522496</v>
      </c>
      <c r="I1090" t="s">
        <v>957</v>
      </c>
      <c r="J1090" t="s">
        <v>1397</v>
      </c>
      <c r="K1090">
        <v>7.1428571428571397E-2</v>
      </c>
      <c r="L1090" t="s">
        <v>959</v>
      </c>
      <c r="M1090">
        <v>1.5267175572519101</v>
      </c>
      <c r="N1090" t="s">
        <v>960</v>
      </c>
      <c r="O1090">
        <v>0</v>
      </c>
      <c r="P1090">
        <v>0</v>
      </c>
      <c r="Q1090">
        <v>0</v>
      </c>
      <c r="R1090">
        <v>0</v>
      </c>
    </row>
    <row r="1091" spans="1:18" ht="16" x14ac:dyDescent="0.2">
      <c r="A1091" s="127" t="s">
        <v>954</v>
      </c>
      <c r="B1091" t="s">
        <v>557</v>
      </c>
      <c r="C1091" t="s">
        <v>2342</v>
      </c>
      <c r="D1091" t="s">
        <v>2343</v>
      </c>
      <c r="E1091" t="s">
        <v>1488</v>
      </c>
      <c r="F1091">
        <v>8</v>
      </c>
      <c r="G1091">
        <v>2</v>
      </c>
      <c r="H1091">
        <v>10.288356257162199</v>
      </c>
      <c r="I1091" t="s">
        <v>957</v>
      </c>
      <c r="J1091" t="s">
        <v>2344</v>
      </c>
      <c r="K1091">
        <v>8.5714285714285701E-2</v>
      </c>
      <c r="L1091" t="s">
        <v>959</v>
      </c>
      <c r="M1091">
        <v>0.76335877862595403</v>
      </c>
      <c r="N1091" t="s">
        <v>960</v>
      </c>
      <c r="O1091">
        <v>0</v>
      </c>
      <c r="P1091">
        <v>0</v>
      </c>
      <c r="Q1091">
        <v>0</v>
      </c>
      <c r="R1091">
        <v>0</v>
      </c>
    </row>
    <row r="1092" spans="1:18" ht="16" x14ac:dyDescent="0.2">
      <c r="A1092" s="127" t="s">
        <v>954</v>
      </c>
      <c r="B1092" t="s">
        <v>557</v>
      </c>
      <c r="C1092" t="s">
        <v>260</v>
      </c>
      <c r="D1092" t="s">
        <v>1775</v>
      </c>
      <c r="E1092">
        <v>2</v>
      </c>
      <c r="F1092">
        <v>2</v>
      </c>
      <c r="G1092">
        <v>1</v>
      </c>
      <c r="H1092">
        <v>10.2946969967229</v>
      </c>
      <c r="I1092" t="s">
        <v>957</v>
      </c>
      <c r="J1092" t="s">
        <v>1776</v>
      </c>
      <c r="K1092">
        <v>1.4285714285714299E-2</v>
      </c>
      <c r="L1092" t="s">
        <v>959</v>
      </c>
      <c r="M1092">
        <v>1.5267175572519101</v>
      </c>
      <c r="N1092" t="s">
        <v>960</v>
      </c>
      <c r="O1092">
        <v>0</v>
      </c>
      <c r="P1092">
        <v>0</v>
      </c>
      <c r="Q1092">
        <v>0</v>
      </c>
      <c r="R1092">
        <v>0</v>
      </c>
    </row>
    <row r="1093" spans="1:18" ht="16" x14ac:dyDescent="0.2">
      <c r="A1093" s="127" t="s">
        <v>954</v>
      </c>
      <c r="B1093" t="s">
        <v>557</v>
      </c>
      <c r="C1093" t="s">
        <v>3011</v>
      </c>
      <c r="D1093" t="s">
        <v>3012</v>
      </c>
      <c r="E1093" t="s">
        <v>3013</v>
      </c>
      <c r="F1093">
        <v>11</v>
      </c>
      <c r="G1093">
        <v>3</v>
      </c>
      <c r="H1093">
        <v>11.1277305588037</v>
      </c>
      <c r="I1093" t="s">
        <v>957</v>
      </c>
      <c r="J1093" t="s">
        <v>3014</v>
      </c>
      <c r="K1093">
        <v>7.8571428571428598E-2</v>
      </c>
      <c r="L1093" t="s">
        <v>959</v>
      </c>
      <c r="M1093">
        <v>0.76335877862595403</v>
      </c>
      <c r="N1093" t="s">
        <v>960</v>
      </c>
      <c r="O1093">
        <v>0</v>
      </c>
      <c r="P1093">
        <v>0</v>
      </c>
      <c r="Q1093">
        <v>0</v>
      </c>
      <c r="R1093">
        <v>0</v>
      </c>
    </row>
    <row r="1094" spans="1:18" ht="16" x14ac:dyDescent="0.2">
      <c r="A1094" s="127" t="s">
        <v>954</v>
      </c>
      <c r="B1094" t="s">
        <v>557</v>
      </c>
      <c r="C1094" t="s">
        <v>997</v>
      </c>
      <c r="D1094" t="s">
        <v>998</v>
      </c>
      <c r="E1094">
        <v>10</v>
      </c>
      <c r="F1094">
        <v>10</v>
      </c>
      <c r="G1094">
        <v>1</v>
      </c>
      <c r="H1094">
        <v>5.8975510574565897</v>
      </c>
      <c r="I1094" t="s">
        <v>957</v>
      </c>
      <c r="J1094" t="s">
        <v>999</v>
      </c>
      <c r="K1094">
        <v>7.8571428571428598E-2</v>
      </c>
      <c r="L1094" t="s">
        <v>959</v>
      </c>
      <c r="M1094">
        <v>1.5267175572519101</v>
      </c>
      <c r="N1094" t="s">
        <v>960</v>
      </c>
      <c r="O1094">
        <v>0</v>
      </c>
      <c r="P1094">
        <v>0</v>
      </c>
      <c r="Q1094">
        <v>0</v>
      </c>
      <c r="R1094">
        <v>0</v>
      </c>
    </row>
    <row r="1095" spans="1:18" ht="16" x14ac:dyDescent="0.2">
      <c r="A1095" s="127" t="s">
        <v>954</v>
      </c>
      <c r="B1095" t="s">
        <v>557</v>
      </c>
      <c r="C1095" t="s">
        <v>1960</v>
      </c>
      <c r="D1095" t="s">
        <v>1961</v>
      </c>
      <c r="E1095">
        <v>8</v>
      </c>
      <c r="F1095">
        <v>8</v>
      </c>
      <c r="G1095">
        <v>1</v>
      </c>
      <c r="H1095">
        <v>6.8778449291228796</v>
      </c>
      <c r="I1095" t="s">
        <v>957</v>
      </c>
      <c r="J1095" t="s">
        <v>2252</v>
      </c>
      <c r="K1095">
        <v>8.5714285714285701E-2</v>
      </c>
      <c r="L1095" t="s">
        <v>959</v>
      </c>
      <c r="M1095">
        <v>2.2900763358778602</v>
      </c>
      <c r="N1095" t="s">
        <v>960</v>
      </c>
      <c r="O1095">
        <v>0</v>
      </c>
      <c r="P1095">
        <v>0</v>
      </c>
      <c r="Q1095">
        <v>0</v>
      </c>
      <c r="R1095">
        <v>0</v>
      </c>
    </row>
    <row r="1096" spans="1:18" ht="16" x14ac:dyDescent="0.2">
      <c r="A1096" s="127" t="s">
        <v>954</v>
      </c>
      <c r="B1096" t="s">
        <v>557</v>
      </c>
      <c r="C1096" t="s">
        <v>3433</v>
      </c>
      <c r="D1096" t="s">
        <v>3434</v>
      </c>
      <c r="E1096">
        <v>5</v>
      </c>
      <c r="F1096">
        <v>5</v>
      </c>
      <c r="G1096">
        <v>1</v>
      </c>
      <c r="H1096">
        <v>7.3084064308804502</v>
      </c>
      <c r="I1096" t="s">
        <v>957</v>
      </c>
      <c r="J1096" t="s">
        <v>3435</v>
      </c>
      <c r="K1096">
        <v>9.2857142857142902E-2</v>
      </c>
      <c r="L1096" t="s">
        <v>959</v>
      </c>
      <c r="M1096">
        <v>0.76335877862595403</v>
      </c>
      <c r="N1096" t="s">
        <v>960</v>
      </c>
      <c r="O1096">
        <v>0</v>
      </c>
      <c r="P1096">
        <v>0</v>
      </c>
      <c r="Q1096">
        <v>0</v>
      </c>
      <c r="R1096">
        <v>0</v>
      </c>
    </row>
    <row r="1097" spans="1:18" ht="16" x14ac:dyDescent="0.2">
      <c r="A1097" s="127" t="s">
        <v>954</v>
      </c>
      <c r="B1097" t="s">
        <v>557</v>
      </c>
      <c r="C1097" t="s">
        <v>1947</v>
      </c>
      <c r="D1097" t="s">
        <v>1948</v>
      </c>
      <c r="E1097">
        <v>4</v>
      </c>
      <c r="F1097">
        <v>4</v>
      </c>
      <c r="G1097">
        <v>1</v>
      </c>
      <c r="H1097">
        <v>10.156555224164901</v>
      </c>
      <c r="I1097" t="s">
        <v>957</v>
      </c>
      <c r="J1097" t="s">
        <v>1949</v>
      </c>
      <c r="K1097">
        <v>2.8571428571428598E-2</v>
      </c>
      <c r="L1097" t="s">
        <v>959</v>
      </c>
      <c r="M1097">
        <v>0.76335877862595403</v>
      </c>
      <c r="N1097" t="s">
        <v>960</v>
      </c>
      <c r="O1097">
        <v>0</v>
      </c>
      <c r="P1097">
        <v>0</v>
      </c>
      <c r="Q1097">
        <v>0</v>
      </c>
      <c r="R1097">
        <v>0</v>
      </c>
    </row>
    <row r="1098" spans="1:18" ht="16" x14ac:dyDescent="0.2">
      <c r="A1098" s="127" t="s">
        <v>954</v>
      </c>
      <c r="B1098" t="s">
        <v>557</v>
      </c>
      <c r="C1098" t="s">
        <v>2589</v>
      </c>
      <c r="D1098" t="s">
        <v>2590</v>
      </c>
      <c r="E1098">
        <v>12</v>
      </c>
      <c r="F1098">
        <v>12</v>
      </c>
      <c r="G1098">
        <v>1</v>
      </c>
      <c r="H1098">
        <v>6.5594955179688101</v>
      </c>
      <c r="I1098" t="s">
        <v>957</v>
      </c>
      <c r="J1098" t="s">
        <v>2591</v>
      </c>
      <c r="K1098">
        <v>8.5714285714285701E-2</v>
      </c>
      <c r="L1098" t="s">
        <v>959</v>
      </c>
      <c r="M1098">
        <v>2.2900763358778602</v>
      </c>
      <c r="N1098" t="s">
        <v>960</v>
      </c>
      <c r="O1098">
        <v>0</v>
      </c>
      <c r="P1098">
        <v>0</v>
      </c>
      <c r="Q1098">
        <v>0</v>
      </c>
      <c r="R1098">
        <v>0</v>
      </c>
    </row>
    <row r="1099" spans="1:18" ht="16" x14ac:dyDescent="0.2">
      <c r="A1099" s="127" t="s">
        <v>954</v>
      </c>
      <c r="B1099" t="s">
        <v>557</v>
      </c>
      <c r="C1099" t="s">
        <v>3258</v>
      </c>
      <c r="D1099" t="s">
        <v>3259</v>
      </c>
      <c r="E1099">
        <v>3</v>
      </c>
      <c r="F1099">
        <v>3</v>
      </c>
      <c r="G1099">
        <v>1</v>
      </c>
      <c r="H1099">
        <v>8.2185325359161894</v>
      </c>
      <c r="I1099" t="s">
        <v>957</v>
      </c>
      <c r="J1099" t="s">
        <v>3260</v>
      </c>
      <c r="K1099">
        <v>3.5714285714285698E-2</v>
      </c>
      <c r="L1099" t="s">
        <v>959</v>
      </c>
      <c r="M1099">
        <v>0.76335877862595403</v>
      </c>
      <c r="N1099" t="s">
        <v>960</v>
      </c>
      <c r="O1099">
        <v>0</v>
      </c>
      <c r="P1099">
        <v>0</v>
      </c>
      <c r="Q1099">
        <v>0</v>
      </c>
      <c r="R1099">
        <v>0</v>
      </c>
    </row>
    <row r="1100" spans="1:18" ht="16" x14ac:dyDescent="0.2">
      <c r="A1100" s="127" t="s">
        <v>954</v>
      </c>
      <c r="B1100" t="s">
        <v>557</v>
      </c>
      <c r="C1100" t="s">
        <v>1054</v>
      </c>
      <c r="D1100" t="s">
        <v>1055</v>
      </c>
      <c r="E1100" t="s">
        <v>1052</v>
      </c>
      <c r="F1100">
        <v>2</v>
      </c>
      <c r="G1100">
        <v>2</v>
      </c>
      <c r="H1100">
        <v>8.4587011766371791</v>
      </c>
      <c r="I1100" t="s">
        <v>957</v>
      </c>
      <c r="J1100" t="s">
        <v>1056</v>
      </c>
      <c r="K1100">
        <v>3.5714285714285698E-2</v>
      </c>
      <c r="L1100" t="s">
        <v>959</v>
      </c>
      <c r="M1100">
        <v>0.76335877862595403</v>
      </c>
      <c r="N1100" t="s">
        <v>960</v>
      </c>
      <c r="O1100">
        <v>0</v>
      </c>
      <c r="P1100">
        <v>0</v>
      </c>
      <c r="Q1100">
        <v>0</v>
      </c>
      <c r="R1100">
        <v>0</v>
      </c>
    </row>
    <row r="1101" spans="1:18" ht="16" x14ac:dyDescent="0.2">
      <c r="A1101" s="127" t="s">
        <v>954</v>
      </c>
      <c r="B1101" t="s">
        <v>557</v>
      </c>
      <c r="C1101" t="s">
        <v>2216</v>
      </c>
      <c r="D1101" t="s">
        <v>2217</v>
      </c>
      <c r="E1101">
        <v>3</v>
      </c>
      <c r="F1101">
        <v>3</v>
      </c>
      <c r="G1101">
        <v>1</v>
      </c>
      <c r="H1101">
        <v>10.320921222120401</v>
      </c>
      <c r="I1101" t="s">
        <v>957</v>
      </c>
      <c r="J1101" t="s">
        <v>2218</v>
      </c>
      <c r="K1101">
        <v>2.8571428571428598E-2</v>
      </c>
      <c r="L1101" t="s">
        <v>959</v>
      </c>
      <c r="M1101">
        <v>0.76335877862595403</v>
      </c>
      <c r="N1101" t="s">
        <v>960</v>
      </c>
      <c r="O1101">
        <v>0</v>
      </c>
      <c r="P1101">
        <v>0</v>
      </c>
      <c r="Q1101">
        <v>0</v>
      </c>
      <c r="R1101">
        <v>0</v>
      </c>
    </row>
    <row r="1102" spans="1:18" ht="16" x14ac:dyDescent="0.2">
      <c r="A1102" s="127" t="s">
        <v>954</v>
      </c>
      <c r="B1102" t="s">
        <v>557</v>
      </c>
      <c r="C1102" t="s">
        <v>994</v>
      </c>
      <c r="D1102" t="s">
        <v>995</v>
      </c>
      <c r="E1102">
        <v>4</v>
      </c>
      <c r="F1102">
        <v>4</v>
      </c>
      <c r="G1102">
        <v>1</v>
      </c>
      <c r="H1102">
        <v>9.3127307141202191</v>
      </c>
      <c r="I1102" t="s">
        <v>957</v>
      </c>
      <c r="J1102" t="s">
        <v>996</v>
      </c>
      <c r="K1102">
        <v>2.1428571428571401E-2</v>
      </c>
      <c r="L1102" t="s">
        <v>959</v>
      </c>
      <c r="M1102">
        <v>1.5267175572519101</v>
      </c>
      <c r="N1102" t="s">
        <v>960</v>
      </c>
      <c r="O1102">
        <v>0</v>
      </c>
      <c r="P1102">
        <v>0</v>
      </c>
      <c r="Q1102">
        <v>0</v>
      </c>
      <c r="R1102">
        <v>0</v>
      </c>
    </row>
    <row r="1103" spans="1:18" ht="16" x14ac:dyDescent="0.2">
      <c r="A1103" s="127" t="s">
        <v>954</v>
      </c>
      <c r="B1103" t="s">
        <v>557</v>
      </c>
      <c r="C1103" t="s">
        <v>1406</v>
      </c>
      <c r="D1103" t="s">
        <v>1407</v>
      </c>
      <c r="E1103">
        <v>5</v>
      </c>
      <c r="F1103">
        <v>5</v>
      </c>
      <c r="G1103">
        <v>1</v>
      </c>
      <c r="H1103">
        <v>5.44980452396966</v>
      </c>
      <c r="I1103" t="s">
        <v>957</v>
      </c>
      <c r="J1103" t="s">
        <v>2181</v>
      </c>
      <c r="K1103">
        <v>4.2857142857142899E-2</v>
      </c>
      <c r="L1103" t="s">
        <v>959</v>
      </c>
      <c r="M1103">
        <v>2.2900763358778602</v>
      </c>
      <c r="N1103" t="s">
        <v>960</v>
      </c>
      <c r="O1103">
        <v>0</v>
      </c>
      <c r="P1103">
        <v>0</v>
      </c>
      <c r="Q1103">
        <v>0</v>
      </c>
      <c r="R1103">
        <v>0</v>
      </c>
    </row>
    <row r="1104" spans="1:18" ht="16" x14ac:dyDescent="0.2">
      <c r="A1104" s="127" t="s">
        <v>954</v>
      </c>
      <c r="B1104" t="s">
        <v>557</v>
      </c>
      <c r="C1104" t="s">
        <v>1427</v>
      </c>
      <c r="D1104" t="s">
        <v>1428</v>
      </c>
      <c r="E1104">
        <v>5</v>
      </c>
      <c r="F1104">
        <v>5</v>
      </c>
      <c r="G1104">
        <v>1</v>
      </c>
      <c r="H1104">
        <v>9.6410258502395294</v>
      </c>
      <c r="I1104" t="s">
        <v>957</v>
      </c>
      <c r="J1104" t="s">
        <v>2585</v>
      </c>
      <c r="K1104">
        <v>2.1428571428571401E-2</v>
      </c>
      <c r="L1104" t="s">
        <v>959</v>
      </c>
      <c r="M1104">
        <v>1.5267175572519101</v>
      </c>
      <c r="N1104" t="s">
        <v>960</v>
      </c>
      <c r="O1104">
        <v>0</v>
      </c>
      <c r="P1104">
        <v>0</v>
      </c>
      <c r="Q1104">
        <v>0</v>
      </c>
      <c r="R1104">
        <v>0</v>
      </c>
    </row>
    <row r="1105" spans="1:18" ht="16" x14ac:dyDescent="0.2">
      <c r="A1105" s="127" t="s">
        <v>954</v>
      </c>
      <c r="B1105" t="s">
        <v>557</v>
      </c>
      <c r="C1105" t="s">
        <v>1447</v>
      </c>
      <c r="D1105" t="s">
        <v>1448</v>
      </c>
      <c r="E1105">
        <v>3</v>
      </c>
      <c r="F1105">
        <v>3</v>
      </c>
      <c r="G1105">
        <v>1</v>
      </c>
      <c r="H1105">
        <v>6.1141784051574302</v>
      </c>
      <c r="I1105" t="s">
        <v>957</v>
      </c>
      <c r="J1105" t="s">
        <v>3405</v>
      </c>
      <c r="K1105">
        <v>0.1</v>
      </c>
      <c r="L1105" t="s">
        <v>959</v>
      </c>
      <c r="M1105">
        <v>1.5267175572519101</v>
      </c>
      <c r="N1105" t="s">
        <v>960</v>
      </c>
      <c r="O1105">
        <v>0</v>
      </c>
      <c r="P1105">
        <v>0</v>
      </c>
      <c r="Q1105">
        <v>0</v>
      </c>
      <c r="R1105">
        <v>0</v>
      </c>
    </row>
    <row r="1106" spans="1:18" ht="16" x14ac:dyDescent="0.2">
      <c r="A1106" s="127" t="s">
        <v>954</v>
      </c>
      <c r="B1106" t="s">
        <v>557</v>
      </c>
      <c r="C1106" t="s">
        <v>1225</v>
      </c>
      <c r="D1106" t="s">
        <v>1226</v>
      </c>
      <c r="E1106">
        <v>4</v>
      </c>
      <c r="F1106">
        <v>4</v>
      </c>
      <c r="G1106">
        <v>1</v>
      </c>
      <c r="H1106">
        <v>7.77008724155806</v>
      </c>
      <c r="I1106" t="s">
        <v>957</v>
      </c>
      <c r="J1106" t="s">
        <v>1227</v>
      </c>
      <c r="K1106">
        <v>0.05</v>
      </c>
      <c r="L1106" t="s">
        <v>959</v>
      </c>
      <c r="M1106">
        <v>2.2900763358778602</v>
      </c>
      <c r="N1106" t="s">
        <v>960</v>
      </c>
      <c r="O1106">
        <v>0</v>
      </c>
      <c r="P1106">
        <v>0</v>
      </c>
      <c r="Q1106">
        <v>0</v>
      </c>
      <c r="R1106">
        <v>0</v>
      </c>
    </row>
    <row r="1107" spans="1:18" ht="16" x14ac:dyDescent="0.2">
      <c r="A1107" s="127" t="s">
        <v>954</v>
      </c>
      <c r="B1107" t="s">
        <v>557</v>
      </c>
      <c r="C1107" t="s">
        <v>1497</v>
      </c>
      <c r="D1107" t="s">
        <v>1498</v>
      </c>
      <c r="E1107">
        <v>5</v>
      </c>
      <c r="F1107">
        <v>5</v>
      </c>
      <c r="G1107">
        <v>1</v>
      </c>
      <c r="H1107">
        <v>6.6574045004826399</v>
      </c>
      <c r="I1107" t="s">
        <v>957</v>
      </c>
      <c r="J1107" t="s">
        <v>1499</v>
      </c>
      <c r="K1107">
        <v>7.8571428571428598E-2</v>
      </c>
      <c r="L1107" t="s">
        <v>959</v>
      </c>
      <c r="M1107">
        <v>1.5267175572519101</v>
      </c>
      <c r="N1107" t="s">
        <v>960</v>
      </c>
      <c r="O1107">
        <v>0</v>
      </c>
      <c r="P1107">
        <v>0</v>
      </c>
      <c r="Q1107">
        <v>0</v>
      </c>
      <c r="R1107">
        <v>0</v>
      </c>
    </row>
    <row r="1108" spans="1:18" ht="16" x14ac:dyDescent="0.2">
      <c r="A1108" s="127" t="s">
        <v>954</v>
      </c>
      <c r="B1108" t="s">
        <v>557</v>
      </c>
      <c r="C1108" t="s">
        <v>2603</v>
      </c>
      <c r="D1108" t="s">
        <v>2604</v>
      </c>
      <c r="E1108">
        <v>7</v>
      </c>
      <c r="F1108">
        <v>7</v>
      </c>
      <c r="G1108">
        <v>1</v>
      </c>
      <c r="H1108">
        <v>8.3695674234799693</v>
      </c>
      <c r="I1108" t="s">
        <v>957</v>
      </c>
      <c r="J1108" t="s">
        <v>3721</v>
      </c>
      <c r="K1108">
        <v>4.2857142857142899E-2</v>
      </c>
      <c r="L1108" t="s">
        <v>959</v>
      </c>
      <c r="M1108">
        <v>1.5267175572519101</v>
      </c>
      <c r="N1108" t="s">
        <v>960</v>
      </c>
      <c r="O1108">
        <v>0</v>
      </c>
      <c r="P1108">
        <v>0</v>
      </c>
      <c r="Q1108">
        <v>0</v>
      </c>
      <c r="R1108">
        <v>0</v>
      </c>
    </row>
    <row r="1109" spans="1:18" ht="16" x14ac:dyDescent="0.2">
      <c r="A1109" s="127" t="s">
        <v>954</v>
      </c>
      <c r="B1109" t="s">
        <v>561</v>
      </c>
      <c r="C1109" t="s">
        <v>3341</v>
      </c>
      <c r="D1109" t="s">
        <v>3342</v>
      </c>
      <c r="E1109">
        <v>8</v>
      </c>
      <c r="F1109">
        <v>8</v>
      </c>
      <c r="G1109">
        <v>1</v>
      </c>
      <c r="H1109">
        <v>11.8321595661992</v>
      </c>
      <c r="I1109" t="s">
        <v>957</v>
      </c>
      <c r="J1109" t="s">
        <v>3343</v>
      </c>
      <c r="K1109">
        <v>7.14285714285714E-3</v>
      </c>
      <c r="L1109" t="s">
        <v>959</v>
      </c>
      <c r="M1109">
        <v>0.76335877862595403</v>
      </c>
      <c r="N1109" t="s">
        <v>960</v>
      </c>
      <c r="O1109" t="s">
        <v>5017</v>
      </c>
      <c r="P1109">
        <v>0</v>
      </c>
      <c r="Q1109">
        <v>0</v>
      </c>
      <c r="R1109" t="s">
        <v>5019</v>
      </c>
    </row>
    <row r="1110" spans="1:18" ht="16" x14ac:dyDescent="0.2">
      <c r="A1110" s="127" t="s">
        <v>954</v>
      </c>
      <c r="B1110" t="s">
        <v>561</v>
      </c>
      <c r="C1110" t="s">
        <v>2345</v>
      </c>
      <c r="D1110" t="s">
        <v>3106</v>
      </c>
      <c r="E1110">
        <v>7</v>
      </c>
      <c r="F1110">
        <v>7</v>
      </c>
      <c r="G1110">
        <v>1</v>
      </c>
      <c r="H1110">
        <v>10.605878528655399</v>
      </c>
      <c r="I1110" t="s">
        <v>957</v>
      </c>
      <c r="J1110" t="s">
        <v>2347</v>
      </c>
      <c r="K1110">
        <v>1.4285714285714299E-2</v>
      </c>
      <c r="L1110" t="s">
        <v>959</v>
      </c>
      <c r="M1110">
        <v>1.5267175572519101</v>
      </c>
      <c r="N1110" t="s">
        <v>960</v>
      </c>
      <c r="O1110" t="s">
        <v>5017</v>
      </c>
      <c r="P1110">
        <v>0</v>
      </c>
      <c r="Q1110">
        <v>0</v>
      </c>
      <c r="R1110">
        <v>0</v>
      </c>
    </row>
    <row r="1111" spans="1:18" ht="16" x14ac:dyDescent="0.2">
      <c r="A1111" s="127" t="s">
        <v>954</v>
      </c>
      <c r="B1111" t="s">
        <v>561</v>
      </c>
      <c r="C1111" t="s">
        <v>1518</v>
      </c>
      <c r="D1111" t="s">
        <v>2033</v>
      </c>
      <c r="E1111">
        <v>14</v>
      </c>
      <c r="F1111">
        <v>14</v>
      </c>
      <c r="G1111">
        <v>1</v>
      </c>
      <c r="H1111">
        <v>5.8922041391333497</v>
      </c>
      <c r="I1111" t="s">
        <v>957</v>
      </c>
      <c r="J1111" t="s">
        <v>2034</v>
      </c>
      <c r="K1111">
        <v>0.107142857142857</v>
      </c>
      <c r="L1111" t="s">
        <v>959</v>
      </c>
      <c r="M1111">
        <v>3.0534351145038201</v>
      </c>
      <c r="N1111" t="s">
        <v>960</v>
      </c>
      <c r="O1111" t="s">
        <v>5017</v>
      </c>
      <c r="P1111">
        <v>0</v>
      </c>
      <c r="Q1111">
        <v>0</v>
      </c>
      <c r="R1111">
        <v>0</v>
      </c>
    </row>
    <row r="1112" spans="1:18" ht="16" x14ac:dyDescent="0.2">
      <c r="A1112" s="127" t="s">
        <v>954</v>
      </c>
      <c r="B1112" t="s">
        <v>561</v>
      </c>
      <c r="C1112" t="s">
        <v>1368</v>
      </c>
      <c r="D1112" t="s">
        <v>1369</v>
      </c>
      <c r="E1112">
        <v>3</v>
      </c>
      <c r="F1112">
        <v>3</v>
      </c>
      <c r="G1112">
        <v>1</v>
      </c>
      <c r="H1112">
        <v>6.9554454323383199</v>
      </c>
      <c r="I1112" t="s">
        <v>957</v>
      </c>
      <c r="J1112" t="s">
        <v>1370</v>
      </c>
      <c r="K1112">
        <v>4.2857142857142899E-2</v>
      </c>
      <c r="L1112" t="s">
        <v>959</v>
      </c>
      <c r="M1112">
        <v>2.2900763358778602</v>
      </c>
      <c r="N1112" t="s">
        <v>960</v>
      </c>
      <c r="O1112" t="s">
        <v>5017</v>
      </c>
      <c r="P1112">
        <v>0</v>
      </c>
      <c r="Q1112">
        <v>0</v>
      </c>
      <c r="R1112">
        <v>0</v>
      </c>
    </row>
    <row r="1113" spans="1:18" ht="16" x14ac:dyDescent="0.2">
      <c r="A1113" s="127" t="s">
        <v>954</v>
      </c>
      <c r="B1113" t="s">
        <v>561</v>
      </c>
      <c r="C1113" t="s">
        <v>1561</v>
      </c>
      <c r="D1113" t="s">
        <v>1562</v>
      </c>
      <c r="E1113">
        <v>4</v>
      </c>
      <c r="F1113">
        <v>4</v>
      </c>
      <c r="G1113">
        <v>1</v>
      </c>
      <c r="H1113">
        <v>5.5995391515442998</v>
      </c>
      <c r="I1113" t="s">
        <v>957</v>
      </c>
      <c r="J1113" t="s">
        <v>3250</v>
      </c>
      <c r="K1113">
        <v>0.05</v>
      </c>
      <c r="L1113" t="s">
        <v>959</v>
      </c>
      <c r="M1113">
        <v>3.0534351145038201</v>
      </c>
      <c r="N1113" t="s">
        <v>960</v>
      </c>
      <c r="O1113" t="s">
        <v>5017</v>
      </c>
      <c r="P1113">
        <v>0</v>
      </c>
      <c r="Q1113">
        <v>0</v>
      </c>
      <c r="R1113">
        <v>0</v>
      </c>
    </row>
    <row r="1114" spans="1:18" ht="16" x14ac:dyDescent="0.2">
      <c r="A1114" s="127" t="s">
        <v>954</v>
      </c>
      <c r="B1114" t="s">
        <v>561</v>
      </c>
      <c r="C1114" t="s">
        <v>1380</v>
      </c>
      <c r="D1114" t="s">
        <v>1381</v>
      </c>
      <c r="E1114">
        <v>6</v>
      </c>
      <c r="F1114">
        <v>6</v>
      </c>
      <c r="G1114">
        <v>1</v>
      </c>
      <c r="H1114">
        <v>5.4211794611834803</v>
      </c>
      <c r="I1114" t="s">
        <v>957</v>
      </c>
      <c r="J1114" t="s">
        <v>2851</v>
      </c>
      <c r="K1114">
        <v>2.8571428571428598E-2</v>
      </c>
      <c r="L1114" t="s">
        <v>959</v>
      </c>
      <c r="M1114">
        <v>2.2900763358778602</v>
      </c>
      <c r="N1114" t="s">
        <v>987</v>
      </c>
      <c r="O1114" t="s">
        <v>5017</v>
      </c>
      <c r="P1114">
        <v>0</v>
      </c>
      <c r="Q1114">
        <v>0</v>
      </c>
      <c r="R1114" t="s">
        <v>5019</v>
      </c>
    </row>
    <row r="1115" spans="1:18" ht="16" x14ac:dyDescent="0.2">
      <c r="A1115" s="127" t="s">
        <v>954</v>
      </c>
      <c r="B1115" t="s">
        <v>564</v>
      </c>
      <c r="C1115" t="s">
        <v>2345</v>
      </c>
      <c r="D1115" t="s">
        <v>2346</v>
      </c>
      <c r="E1115">
        <v>3</v>
      </c>
      <c r="F1115">
        <v>3</v>
      </c>
      <c r="G1115">
        <v>1</v>
      </c>
      <c r="H1115">
        <v>5.2455067091183896</v>
      </c>
      <c r="I1115" t="s">
        <v>957</v>
      </c>
      <c r="J1115" t="s">
        <v>2347</v>
      </c>
      <c r="K1115">
        <v>1.4285714285714299E-2</v>
      </c>
      <c r="L1115" t="s">
        <v>959</v>
      </c>
      <c r="M1115">
        <v>1.5267175572519101</v>
      </c>
      <c r="N1115" t="s">
        <v>960</v>
      </c>
      <c r="O1115">
        <v>0</v>
      </c>
      <c r="P1115">
        <v>0</v>
      </c>
      <c r="Q1115">
        <v>0</v>
      </c>
      <c r="R1115">
        <v>0</v>
      </c>
    </row>
    <row r="1116" spans="1:18" ht="16" x14ac:dyDescent="0.2">
      <c r="A1116" s="127" t="s">
        <v>954</v>
      </c>
      <c r="B1116" t="s">
        <v>564</v>
      </c>
      <c r="C1116" t="s">
        <v>988</v>
      </c>
      <c r="D1116" t="s">
        <v>989</v>
      </c>
      <c r="E1116">
        <v>4</v>
      </c>
      <c r="F1116">
        <v>4</v>
      </c>
      <c r="G1116">
        <v>1</v>
      </c>
      <c r="H1116">
        <v>8.3666002653407503</v>
      </c>
      <c r="I1116" t="s">
        <v>957</v>
      </c>
      <c r="J1116" t="s">
        <v>990</v>
      </c>
      <c r="K1116">
        <v>1.4285714285714299E-2</v>
      </c>
      <c r="L1116" t="s">
        <v>959</v>
      </c>
      <c r="M1116">
        <v>1.5267175572519101</v>
      </c>
      <c r="N1116" t="s">
        <v>960</v>
      </c>
      <c r="O1116">
        <v>0</v>
      </c>
      <c r="P1116" t="s">
        <v>5017</v>
      </c>
      <c r="Q1116">
        <v>0</v>
      </c>
      <c r="R1116">
        <v>0</v>
      </c>
    </row>
    <row r="1117" spans="1:18" ht="16" x14ac:dyDescent="0.2">
      <c r="A1117" s="127" t="s">
        <v>954</v>
      </c>
      <c r="B1117" t="s">
        <v>564</v>
      </c>
      <c r="C1117" t="s">
        <v>1380</v>
      </c>
      <c r="D1117" t="s">
        <v>1381</v>
      </c>
      <c r="E1117">
        <v>8</v>
      </c>
      <c r="F1117">
        <v>8</v>
      </c>
      <c r="G1117">
        <v>1</v>
      </c>
      <c r="H1117">
        <v>7.8103666319044196</v>
      </c>
      <c r="I1117" t="s">
        <v>957</v>
      </c>
      <c r="J1117" t="s">
        <v>1382</v>
      </c>
      <c r="K1117">
        <v>2.8571428571428598E-2</v>
      </c>
      <c r="L1117" t="s">
        <v>959</v>
      </c>
      <c r="M1117">
        <v>2.2900763358778602</v>
      </c>
      <c r="N1117" t="s">
        <v>960</v>
      </c>
      <c r="O1117">
        <v>0</v>
      </c>
      <c r="P1117">
        <v>0</v>
      </c>
      <c r="Q1117">
        <v>0</v>
      </c>
      <c r="R1117" t="s">
        <v>5019</v>
      </c>
    </row>
    <row r="1118" spans="1:18" ht="16" x14ac:dyDescent="0.2">
      <c r="A1118" s="127" t="s">
        <v>954</v>
      </c>
      <c r="B1118" t="s">
        <v>564</v>
      </c>
      <c r="C1118" t="s">
        <v>3625</v>
      </c>
      <c r="D1118" t="s">
        <v>3626</v>
      </c>
      <c r="E1118">
        <v>17</v>
      </c>
      <c r="F1118">
        <v>17</v>
      </c>
      <c r="G1118">
        <v>1</v>
      </c>
      <c r="H1118">
        <v>11.3597363406107</v>
      </c>
      <c r="I1118" t="s">
        <v>957</v>
      </c>
      <c r="J1118" t="s">
        <v>3627</v>
      </c>
      <c r="K1118">
        <v>2.8571428571428598E-2</v>
      </c>
      <c r="L1118" t="s">
        <v>959</v>
      </c>
      <c r="M1118">
        <v>0.76335877862595403</v>
      </c>
      <c r="N1118" t="s">
        <v>960</v>
      </c>
      <c r="O1118">
        <v>0</v>
      </c>
      <c r="P1118">
        <v>0</v>
      </c>
      <c r="Q1118">
        <v>0</v>
      </c>
      <c r="R1118">
        <v>0</v>
      </c>
    </row>
    <row r="1119" spans="1:18" ht="16" x14ac:dyDescent="0.2">
      <c r="A1119" s="127" t="s">
        <v>954</v>
      </c>
      <c r="B1119" t="s">
        <v>568</v>
      </c>
      <c r="C1119" t="s">
        <v>1744</v>
      </c>
      <c r="D1119" t="s">
        <v>1745</v>
      </c>
      <c r="E1119" t="s">
        <v>2635</v>
      </c>
      <c r="F1119">
        <v>14</v>
      </c>
      <c r="G1119">
        <v>2</v>
      </c>
      <c r="H1119">
        <v>5.3495585091568501</v>
      </c>
      <c r="I1119" t="s">
        <v>957</v>
      </c>
      <c r="J1119" t="s">
        <v>2636</v>
      </c>
      <c r="K1119">
        <v>3.5714285714285698E-2</v>
      </c>
      <c r="L1119" t="s">
        <v>959</v>
      </c>
      <c r="M1119">
        <v>1.5267175572519101</v>
      </c>
      <c r="N1119" t="s">
        <v>960</v>
      </c>
      <c r="O1119" t="s">
        <v>5017</v>
      </c>
      <c r="P1119">
        <v>0</v>
      </c>
      <c r="Q1119">
        <v>0</v>
      </c>
      <c r="R1119">
        <v>0</v>
      </c>
    </row>
    <row r="1120" spans="1:18" ht="16" x14ac:dyDescent="0.2">
      <c r="A1120" s="127" t="s">
        <v>954</v>
      </c>
      <c r="B1120" t="s">
        <v>568</v>
      </c>
      <c r="C1120" t="s">
        <v>1020</v>
      </c>
      <c r="D1120" t="s">
        <v>1021</v>
      </c>
      <c r="E1120" t="s">
        <v>1022</v>
      </c>
      <c r="F1120">
        <v>3</v>
      </c>
      <c r="G1120">
        <v>2</v>
      </c>
      <c r="H1120">
        <v>10.749218810859199</v>
      </c>
      <c r="I1120" t="s">
        <v>957</v>
      </c>
      <c r="J1120" t="s">
        <v>1023</v>
      </c>
      <c r="K1120">
        <v>2.1428571428571401E-2</v>
      </c>
      <c r="L1120" t="s">
        <v>959</v>
      </c>
      <c r="M1120">
        <v>0.76335877862595403</v>
      </c>
      <c r="N1120" t="s">
        <v>960</v>
      </c>
      <c r="O1120" t="s">
        <v>5017</v>
      </c>
      <c r="P1120">
        <v>0</v>
      </c>
      <c r="Q1120">
        <v>0</v>
      </c>
      <c r="R1120">
        <v>0</v>
      </c>
    </row>
    <row r="1121" spans="1:18" ht="16" x14ac:dyDescent="0.2">
      <c r="A1121" s="127" t="s">
        <v>954</v>
      </c>
      <c r="B1121" t="s">
        <v>568</v>
      </c>
      <c r="C1121" t="s">
        <v>2661</v>
      </c>
      <c r="D1121" t="s">
        <v>2662</v>
      </c>
      <c r="E1121" t="s">
        <v>1230</v>
      </c>
      <c r="F1121">
        <v>4</v>
      </c>
      <c r="G1121">
        <v>2</v>
      </c>
      <c r="H1121">
        <v>7.9136434726394</v>
      </c>
      <c r="I1121" t="s">
        <v>957</v>
      </c>
      <c r="J1121" t="s">
        <v>3761</v>
      </c>
      <c r="K1121">
        <v>5.7142857142857099E-2</v>
      </c>
      <c r="L1121" t="s">
        <v>959</v>
      </c>
      <c r="M1121">
        <v>1.5267175572519101</v>
      </c>
      <c r="N1121" t="s">
        <v>960</v>
      </c>
      <c r="O1121" t="s">
        <v>5017</v>
      </c>
      <c r="P1121">
        <v>0</v>
      </c>
      <c r="Q1121">
        <v>0</v>
      </c>
      <c r="R1121">
        <v>0</v>
      </c>
    </row>
    <row r="1122" spans="1:18" ht="16" x14ac:dyDescent="0.2">
      <c r="A1122" s="127" t="s">
        <v>954</v>
      </c>
      <c r="B1122" t="s">
        <v>572</v>
      </c>
      <c r="C1122" t="s">
        <v>2139</v>
      </c>
      <c r="D1122" t="s">
        <v>2140</v>
      </c>
      <c r="E1122" t="s">
        <v>1265</v>
      </c>
      <c r="F1122">
        <v>6</v>
      </c>
      <c r="G1122">
        <v>2</v>
      </c>
      <c r="H1122">
        <v>4.80708449725749</v>
      </c>
      <c r="I1122" t="s">
        <v>957</v>
      </c>
      <c r="J1122" t="s">
        <v>2141</v>
      </c>
      <c r="K1122">
        <v>0.128571428571429</v>
      </c>
      <c r="L1122" t="s">
        <v>959</v>
      </c>
      <c r="M1122">
        <v>2.2900763358778602</v>
      </c>
      <c r="N1122" t="s">
        <v>960</v>
      </c>
      <c r="O1122" t="s">
        <v>5017</v>
      </c>
      <c r="P1122">
        <v>0</v>
      </c>
      <c r="Q1122">
        <v>0</v>
      </c>
      <c r="R1122">
        <v>0</v>
      </c>
    </row>
    <row r="1123" spans="1:18" ht="16" x14ac:dyDescent="0.2">
      <c r="A1123" s="127" t="s">
        <v>954</v>
      </c>
      <c r="B1123" t="s">
        <v>572</v>
      </c>
      <c r="C1123" t="s">
        <v>2356</v>
      </c>
      <c r="D1123" t="s">
        <v>2357</v>
      </c>
      <c r="E1123">
        <v>4</v>
      </c>
      <c r="F1123">
        <v>4</v>
      </c>
      <c r="G1123">
        <v>1</v>
      </c>
      <c r="H1123">
        <v>6.7500891862514001</v>
      </c>
      <c r="I1123" t="s">
        <v>957</v>
      </c>
      <c r="J1123" t="s">
        <v>2358</v>
      </c>
      <c r="K1123">
        <v>0.15</v>
      </c>
      <c r="L1123" t="s">
        <v>959</v>
      </c>
      <c r="M1123">
        <v>0.76335877862595403</v>
      </c>
      <c r="N1123" t="s">
        <v>960</v>
      </c>
      <c r="O1123" t="s">
        <v>5017</v>
      </c>
      <c r="P1123">
        <v>0</v>
      </c>
      <c r="Q1123">
        <v>0</v>
      </c>
      <c r="R1123">
        <v>0</v>
      </c>
    </row>
    <row r="1124" spans="1:18" ht="16" x14ac:dyDescent="0.2">
      <c r="A1124" s="127" t="s">
        <v>954</v>
      </c>
      <c r="B1124" t="s">
        <v>572</v>
      </c>
      <c r="C1124" t="s">
        <v>1866</v>
      </c>
      <c r="D1124" t="s">
        <v>1867</v>
      </c>
      <c r="E1124">
        <v>3</v>
      </c>
      <c r="F1124">
        <v>3</v>
      </c>
      <c r="G1124">
        <v>1</v>
      </c>
      <c r="H1124">
        <v>5.5338345319403297</v>
      </c>
      <c r="I1124" t="s">
        <v>957</v>
      </c>
      <c r="J1124" t="s">
        <v>1868</v>
      </c>
      <c r="K1124">
        <v>4.2857142857142899E-2</v>
      </c>
      <c r="L1124" t="s">
        <v>959</v>
      </c>
      <c r="M1124">
        <v>1.5267175572519101</v>
      </c>
      <c r="N1124" t="s">
        <v>960</v>
      </c>
      <c r="O1124" t="s">
        <v>5017</v>
      </c>
      <c r="P1124">
        <v>0</v>
      </c>
      <c r="Q1124">
        <v>0</v>
      </c>
      <c r="R1124">
        <v>0</v>
      </c>
    </row>
    <row r="1125" spans="1:18" ht="16" x14ac:dyDescent="0.2">
      <c r="A1125" s="127" t="s">
        <v>954</v>
      </c>
      <c r="B1125" t="s">
        <v>572</v>
      </c>
      <c r="C1125" t="s">
        <v>3192</v>
      </c>
      <c r="D1125" t="s">
        <v>3193</v>
      </c>
      <c r="E1125">
        <v>4</v>
      </c>
      <c r="F1125">
        <v>4</v>
      </c>
      <c r="G1125">
        <v>1</v>
      </c>
      <c r="H1125">
        <v>6.0346539411906504</v>
      </c>
      <c r="I1125" t="s">
        <v>957</v>
      </c>
      <c r="J1125" t="s">
        <v>3234</v>
      </c>
      <c r="K1125">
        <v>0.107142857142857</v>
      </c>
      <c r="L1125" t="s">
        <v>959</v>
      </c>
      <c r="M1125">
        <v>1.5267175572519101</v>
      </c>
      <c r="N1125" t="s">
        <v>987</v>
      </c>
      <c r="O1125" t="s">
        <v>5017</v>
      </c>
      <c r="P1125" t="s">
        <v>5018</v>
      </c>
      <c r="Q1125">
        <v>0</v>
      </c>
      <c r="R1125" t="s">
        <v>5019</v>
      </c>
    </row>
    <row r="1126" spans="1:18" ht="16" x14ac:dyDescent="0.2">
      <c r="A1126" s="127" t="s">
        <v>954</v>
      </c>
      <c r="B1126" t="s">
        <v>572</v>
      </c>
      <c r="C1126" t="s">
        <v>1680</v>
      </c>
      <c r="D1126" t="s">
        <v>1681</v>
      </c>
      <c r="E1126">
        <v>3</v>
      </c>
      <c r="F1126">
        <v>3</v>
      </c>
      <c r="G1126">
        <v>1</v>
      </c>
      <c r="H1126">
        <v>5.6601435948655796</v>
      </c>
      <c r="I1126" t="s">
        <v>957</v>
      </c>
      <c r="J1126" t="s">
        <v>1682</v>
      </c>
      <c r="K1126">
        <v>2.8571428571428598E-2</v>
      </c>
      <c r="L1126" t="s">
        <v>959</v>
      </c>
      <c r="M1126">
        <v>1.5267175572519101</v>
      </c>
      <c r="N1126" t="s">
        <v>960</v>
      </c>
      <c r="O1126" t="s">
        <v>5017</v>
      </c>
      <c r="P1126">
        <v>0</v>
      </c>
      <c r="Q1126">
        <v>0</v>
      </c>
      <c r="R1126">
        <v>0</v>
      </c>
    </row>
    <row r="1127" spans="1:18" ht="16" x14ac:dyDescent="0.2">
      <c r="A1127" s="127" t="s">
        <v>954</v>
      </c>
      <c r="B1127" t="s">
        <v>572</v>
      </c>
      <c r="C1127" t="s">
        <v>1420</v>
      </c>
      <c r="D1127" t="s">
        <v>1421</v>
      </c>
      <c r="E1127">
        <v>5</v>
      </c>
      <c r="F1127">
        <v>5</v>
      </c>
      <c r="G1127">
        <v>1</v>
      </c>
      <c r="H1127">
        <v>10.7550615541368</v>
      </c>
      <c r="I1127" t="s">
        <v>957</v>
      </c>
      <c r="J1127" t="s">
        <v>2080</v>
      </c>
      <c r="K1127">
        <v>0.05</v>
      </c>
      <c r="L1127" t="s">
        <v>959</v>
      </c>
      <c r="M1127">
        <v>1.5267175572519101</v>
      </c>
      <c r="N1127" t="s">
        <v>960</v>
      </c>
      <c r="O1127" t="s">
        <v>5017</v>
      </c>
      <c r="P1127">
        <v>0</v>
      </c>
      <c r="Q1127">
        <v>0</v>
      </c>
      <c r="R1127">
        <v>0</v>
      </c>
    </row>
    <row r="1128" spans="1:18" ht="16" x14ac:dyDescent="0.2">
      <c r="A1128" s="127" t="s">
        <v>954</v>
      </c>
      <c r="B1128" t="s">
        <v>572</v>
      </c>
      <c r="C1128" t="s">
        <v>1304</v>
      </c>
      <c r="D1128" t="s">
        <v>1305</v>
      </c>
      <c r="E1128">
        <v>4</v>
      </c>
      <c r="F1128">
        <v>4</v>
      </c>
      <c r="G1128">
        <v>1</v>
      </c>
      <c r="H1128">
        <v>5.2723053322660798</v>
      </c>
      <c r="I1128" t="s">
        <v>957</v>
      </c>
      <c r="J1128" t="s">
        <v>1306</v>
      </c>
      <c r="K1128">
        <v>9.2857142857142902E-2</v>
      </c>
      <c r="L1128" t="s">
        <v>959</v>
      </c>
      <c r="M1128">
        <v>1.5267175572519101</v>
      </c>
      <c r="N1128" t="s">
        <v>987</v>
      </c>
      <c r="O1128" t="s">
        <v>5017</v>
      </c>
      <c r="P1128">
        <v>0</v>
      </c>
      <c r="Q1128">
        <v>0</v>
      </c>
      <c r="R1128">
        <v>0</v>
      </c>
    </row>
    <row r="1129" spans="1:18" ht="16" x14ac:dyDescent="0.2">
      <c r="A1129" s="127" t="s">
        <v>954</v>
      </c>
      <c r="B1129" t="s">
        <v>572</v>
      </c>
      <c r="C1129" t="s">
        <v>1601</v>
      </c>
      <c r="D1129" t="s">
        <v>1602</v>
      </c>
      <c r="E1129">
        <v>3</v>
      </c>
      <c r="F1129">
        <v>3</v>
      </c>
      <c r="G1129">
        <v>1</v>
      </c>
      <c r="H1129">
        <v>9.17420339349081</v>
      </c>
      <c r="I1129" t="s">
        <v>957</v>
      </c>
      <c r="J1129" t="s">
        <v>1603</v>
      </c>
      <c r="K1129">
        <v>7.1428571428571397E-2</v>
      </c>
      <c r="L1129" t="s">
        <v>959</v>
      </c>
      <c r="M1129">
        <v>0.76335877862595403</v>
      </c>
      <c r="N1129" t="s">
        <v>960</v>
      </c>
      <c r="O1129" t="s">
        <v>5017</v>
      </c>
      <c r="P1129">
        <v>0</v>
      </c>
      <c r="Q1129">
        <v>0</v>
      </c>
      <c r="R1129">
        <v>0</v>
      </c>
    </row>
    <row r="1130" spans="1:18" ht="16" x14ac:dyDescent="0.2">
      <c r="A1130" s="127" t="s">
        <v>954</v>
      </c>
      <c r="B1130" t="s">
        <v>572</v>
      </c>
      <c r="C1130" t="s">
        <v>1872</v>
      </c>
      <c r="D1130" t="s">
        <v>1873</v>
      </c>
      <c r="E1130">
        <v>3</v>
      </c>
      <c r="F1130">
        <v>3</v>
      </c>
      <c r="G1130">
        <v>1</v>
      </c>
      <c r="H1130">
        <v>4.6616410085704203</v>
      </c>
      <c r="I1130" t="s">
        <v>957</v>
      </c>
      <c r="J1130" t="s">
        <v>2732</v>
      </c>
      <c r="K1130">
        <v>2.1428571428571401E-2</v>
      </c>
      <c r="L1130" t="s">
        <v>959</v>
      </c>
      <c r="M1130">
        <v>2.2900763358778602</v>
      </c>
      <c r="N1130" t="s">
        <v>960</v>
      </c>
      <c r="O1130" t="s">
        <v>5017</v>
      </c>
      <c r="P1130">
        <v>0</v>
      </c>
      <c r="Q1130">
        <v>0</v>
      </c>
      <c r="R1130">
        <v>0</v>
      </c>
    </row>
    <row r="1131" spans="1:18" ht="16" x14ac:dyDescent="0.2">
      <c r="A1131" s="127" t="s">
        <v>954</v>
      </c>
      <c r="B1131" t="s">
        <v>572</v>
      </c>
      <c r="C1131" t="s">
        <v>1953</v>
      </c>
      <c r="D1131" t="s">
        <v>1954</v>
      </c>
      <c r="E1131">
        <v>4</v>
      </c>
      <c r="F1131">
        <v>4</v>
      </c>
      <c r="G1131">
        <v>1</v>
      </c>
      <c r="H1131">
        <v>6.6063021379366598</v>
      </c>
      <c r="I1131" t="s">
        <v>957</v>
      </c>
      <c r="J1131" t="s">
        <v>1955</v>
      </c>
      <c r="K1131">
        <v>0.05</v>
      </c>
      <c r="L1131" t="s">
        <v>959</v>
      </c>
      <c r="M1131">
        <v>1.5267175572519101</v>
      </c>
      <c r="N1131" t="s">
        <v>960</v>
      </c>
      <c r="O1131" t="s">
        <v>5017</v>
      </c>
      <c r="P1131" t="s">
        <v>5017</v>
      </c>
      <c r="Q1131">
        <v>0</v>
      </c>
      <c r="R1131">
        <v>0</v>
      </c>
    </row>
    <row r="1132" spans="1:18" ht="16" x14ac:dyDescent="0.2">
      <c r="A1132" s="127" t="s">
        <v>954</v>
      </c>
      <c r="B1132" t="s">
        <v>572</v>
      </c>
      <c r="C1132" t="s">
        <v>1459</v>
      </c>
      <c r="D1132" t="s">
        <v>2281</v>
      </c>
      <c r="E1132">
        <v>23</v>
      </c>
      <c r="F1132">
        <v>23</v>
      </c>
      <c r="G1132">
        <v>1</v>
      </c>
      <c r="H1132">
        <v>6.8732855300266502</v>
      </c>
      <c r="I1132" t="s">
        <v>957</v>
      </c>
      <c r="J1132" t="s">
        <v>2282</v>
      </c>
      <c r="K1132">
        <v>7.1428571428571397E-2</v>
      </c>
      <c r="L1132" t="s">
        <v>959</v>
      </c>
      <c r="M1132">
        <v>1.5267175572519101</v>
      </c>
      <c r="N1132" t="s">
        <v>960</v>
      </c>
      <c r="O1132" t="s">
        <v>5017</v>
      </c>
      <c r="P1132" t="s">
        <v>5017</v>
      </c>
      <c r="Q1132">
        <v>0</v>
      </c>
      <c r="R1132" t="s">
        <v>5019</v>
      </c>
    </row>
    <row r="1133" spans="1:18" ht="16" x14ac:dyDescent="0.2">
      <c r="A1133" s="127" t="s">
        <v>954</v>
      </c>
      <c r="B1133" t="s">
        <v>572</v>
      </c>
      <c r="C1133" t="s">
        <v>3044</v>
      </c>
      <c r="D1133" t="s">
        <v>3045</v>
      </c>
      <c r="E1133" t="s">
        <v>1052</v>
      </c>
      <c r="F1133">
        <v>2</v>
      </c>
      <c r="G1133">
        <v>2</v>
      </c>
      <c r="H1133">
        <v>7.7780670270180803</v>
      </c>
      <c r="I1133" t="s">
        <v>957</v>
      </c>
      <c r="J1133" t="s">
        <v>3133</v>
      </c>
      <c r="K1133">
        <v>0.16428571428571401</v>
      </c>
      <c r="L1133" t="s">
        <v>959</v>
      </c>
      <c r="M1133">
        <v>1.5267175572519101</v>
      </c>
      <c r="N1133" t="s">
        <v>960</v>
      </c>
      <c r="O1133" t="s">
        <v>5017</v>
      </c>
      <c r="P1133">
        <v>0</v>
      </c>
      <c r="Q1133">
        <v>0</v>
      </c>
      <c r="R1133">
        <v>0</v>
      </c>
    </row>
    <row r="1134" spans="1:18" ht="16" x14ac:dyDescent="0.2">
      <c r="A1134" s="127" t="s">
        <v>954</v>
      </c>
      <c r="B1134" t="s">
        <v>572</v>
      </c>
      <c r="C1134" t="s">
        <v>1480</v>
      </c>
      <c r="D1134" t="s">
        <v>2208</v>
      </c>
      <c r="E1134">
        <v>9</v>
      </c>
      <c r="F1134">
        <v>9</v>
      </c>
      <c r="G1134">
        <v>1</v>
      </c>
      <c r="H1134">
        <v>5.2289005750744</v>
      </c>
      <c r="I1134" t="s">
        <v>957</v>
      </c>
      <c r="J1134" t="s">
        <v>2209</v>
      </c>
      <c r="K1134">
        <v>0.13571428571428601</v>
      </c>
      <c r="L1134" t="s">
        <v>959</v>
      </c>
      <c r="M1134">
        <v>2.2900763358778602</v>
      </c>
      <c r="N1134" t="s">
        <v>960</v>
      </c>
      <c r="O1134" t="s">
        <v>5017</v>
      </c>
      <c r="P1134">
        <v>0</v>
      </c>
      <c r="Q1134">
        <v>0</v>
      </c>
      <c r="R1134" t="s">
        <v>5019</v>
      </c>
    </row>
    <row r="1135" spans="1:18" ht="16" x14ac:dyDescent="0.2">
      <c r="A1135" s="127" t="s">
        <v>954</v>
      </c>
      <c r="B1135" t="s">
        <v>572</v>
      </c>
      <c r="C1135" t="s">
        <v>2193</v>
      </c>
      <c r="D1135" t="s">
        <v>2194</v>
      </c>
      <c r="E1135" t="s">
        <v>1432</v>
      </c>
      <c r="F1135">
        <v>6</v>
      </c>
      <c r="G1135">
        <v>2</v>
      </c>
      <c r="H1135">
        <v>8.8940980530376805</v>
      </c>
      <c r="I1135" t="s">
        <v>957</v>
      </c>
      <c r="J1135" t="s">
        <v>2195</v>
      </c>
      <c r="K1135">
        <v>8.5714285714285701E-2</v>
      </c>
      <c r="L1135" t="s">
        <v>959</v>
      </c>
      <c r="M1135">
        <v>0.76335877862595403</v>
      </c>
      <c r="N1135" t="s">
        <v>987</v>
      </c>
      <c r="O1135" t="s">
        <v>5017</v>
      </c>
      <c r="P1135">
        <v>0</v>
      </c>
      <c r="Q1135">
        <v>0</v>
      </c>
      <c r="R1135">
        <v>0</v>
      </c>
    </row>
    <row r="1136" spans="1:18" ht="16" x14ac:dyDescent="0.2">
      <c r="A1136" s="127" t="s">
        <v>954</v>
      </c>
      <c r="B1136" t="s">
        <v>572</v>
      </c>
      <c r="C1136" t="s">
        <v>2249</v>
      </c>
      <c r="D1136" t="s">
        <v>2250</v>
      </c>
      <c r="E1136" t="s">
        <v>2253</v>
      </c>
      <c r="F1136">
        <v>4</v>
      </c>
      <c r="G1136">
        <v>3</v>
      </c>
      <c r="H1136">
        <v>6.3176433364839797</v>
      </c>
      <c r="I1136" t="s">
        <v>957</v>
      </c>
      <c r="J1136" t="s">
        <v>2254</v>
      </c>
      <c r="K1136">
        <v>0.17857142857142899</v>
      </c>
      <c r="L1136" t="s">
        <v>959</v>
      </c>
      <c r="M1136">
        <v>1.5267175572519101</v>
      </c>
      <c r="N1136" t="s">
        <v>960</v>
      </c>
      <c r="O1136" t="s">
        <v>5017</v>
      </c>
      <c r="P1136">
        <v>0</v>
      </c>
      <c r="Q1136">
        <v>0</v>
      </c>
      <c r="R1136">
        <v>0</v>
      </c>
    </row>
    <row r="1137" spans="1:18" ht="16" x14ac:dyDescent="0.2">
      <c r="A1137" s="127" t="s">
        <v>954</v>
      </c>
      <c r="B1137" t="s">
        <v>572</v>
      </c>
      <c r="C1137" t="s">
        <v>1110</v>
      </c>
      <c r="D1137" t="s">
        <v>3344</v>
      </c>
      <c r="E1137">
        <v>4</v>
      </c>
      <c r="F1137">
        <v>4</v>
      </c>
      <c r="G1137">
        <v>1</v>
      </c>
      <c r="H1137">
        <v>10.4475461264059</v>
      </c>
      <c r="I1137" t="s">
        <v>957</v>
      </c>
      <c r="J1137" t="s">
        <v>3345</v>
      </c>
      <c r="K1137">
        <v>4.2857142857142899E-2</v>
      </c>
      <c r="L1137" t="s">
        <v>959</v>
      </c>
      <c r="M1137">
        <v>1.5267175572519101</v>
      </c>
      <c r="N1137" t="s">
        <v>960</v>
      </c>
      <c r="O1137" t="s">
        <v>5017</v>
      </c>
      <c r="P1137">
        <v>0</v>
      </c>
      <c r="Q1137">
        <v>0</v>
      </c>
      <c r="R1137">
        <v>0</v>
      </c>
    </row>
    <row r="1138" spans="1:18" ht="16" x14ac:dyDescent="0.2">
      <c r="A1138" s="127" t="s">
        <v>954</v>
      </c>
      <c r="B1138" t="s">
        <v>572</v>
      </c>
      <c r="C1138" t="s">
        <v>2407</v>
      </c>
      <c r="D1138" t="s">
        <v>2408</v>
      </c>
      <c r="E1138" t="s">
        <v>1230</v>
      </c>
      <c r="F1138">
        <v>4</v>
      </c>
      <c r="G1138">
        <v>2</v>
      </c>
      <c r="H1138">
        <v>4.67235991821659</v>
      </c>
      <c r="I1138" t="s">
        <v>957</v>
      </c>
      <c r="J1138" t="s">
        <v>2559</v>
      </c>
      <c r="K1138">
        <v>0.107142857142857</v>
      </c>
      <c r="L1138" t="s">
        <v>959</v>
      </c>
      <c r="M1138">
        <v>3.8167938931297698</v>
      </c>
      <c r="N1138" t="s">
        <v>960</v>
      </c>
      <c r="O1138" t="s">
        <v>5017</v>
      </c>
      <c r="P1138">
        <v>0</v>
      </c>
      <c r="Q1138">
        <v>0</v>
      </c>
      <c r="R1138">
        <v>0</v>
      </c>
    </row>
    <row r="1139" spans="1:18" ht="16" x14ac:dyDescent="0.2">
      <c r="A1139" s="127" t="s">
        <v>954</v>
      </c>
      <c r="B1139" t="s">
        <v>572</v>
      </c>
      <c r="C1139" t="s">
        <v>3087</v>
      </c>
      <c r="D1139" t="s">
        <v>3088</v>
      </c>
      <c r="E1139">
        <v>3</v>
      </c>
      <c r="F1139">
        <v>3</v>
      </c>
      <c r="G1139">
        <v>1</v>
      </c>
      <c r="H1139">
        <v>8.5030038967894903</v>
      </c>
      <c r="I1139" t="s">
        <v>957</v>
      </c>
      <c r="J1139" t="s">
        <v>3089</v>
      </c>
      <c r="K1139">
        <v>0.05</v>
      </c>
      <c r="L1139" t="s">
        <v>959</v>
      </c>
      <c r="M1139">
        <v>0.76335877862595403</v>
      </c>
      <c r="N1139" t="s">
        <v>960</v>
      </c>
      <c r="O1139" t="s">
        <v>5017</v>
      </c>
      <c r="P1139">
        <v>0</v>
      </c>
      <c r="Q1139">
        <v>0</v>
      </c>
      <c r="R1139">
        <v>0</v>
      </c>
    </row>
    <row r="1140" spans="1:18" ht="16" x14ac:dyDescent="0.2">
      <c r="A1140" s="127" t="s">
        <v>954</v>
      </c>
      <c r="B1140" t="s">
        <v>572</v>
      </c>
      <c r="C1140" t="s">
        <v>3399</v>
      </c>
      <c r="D1140" t="s">
        <v>3400</v>
      </c>
      <c r="E1140">
        <v>5</v>
      </c>
      <c r="F1140">
        <v>5</v>
      </c>
      <c r="G1140">
        <v>1</v>
      </c>
      <c r="H1140">
        <v>11.8321595661992</v>
      </c>
      <c r="I1140" t="s">
        <v>957</v>
      </c>
      <c r="J1140" t="s">
        <v>3401</v>
      </c>
      <c r="K1140">
        <v>7.14285714285714E-3</v>
      </c>
      <c r="L1140" t="s">
        <v>959</v>
      </c>
      <c r="M1140">
        <v>0.76335877862595403</v>
      </c>
      <c r="N1140" t="s">
        <v>960</v>
      </c>
      <c r="O1140" t="s">
        <v>5017</v>
      </c>
      <c r="P1140">
        <v>0</v>
      </c>
      <c r="Q1140">
        <v>0</v>
      </c>
      <c r="R1140" t="s">
        <v>5019</v>
      </c>
    </row>
    <row r="1141" spans="1:18" ht="16" x14ac:dyDescent="0.2">
      <c r="A1141" s="127" t="s">
        <v>954</v>
      </c>
      <c r="B1141" t="s">
        <v>572</v>
      </c>
      <c r="C1141" t="s">
        <v>1941</v>
      </c>
      <c r="D1141" t="s">
        <v>1942</v>
      </c>
      <c r="E1141" t="s">
        <v>1085</v>
      </c>
      <c r="F1141">
        <v>5</v>
      </c>
      <c r="G1141">
        <v>2</v>
      </c>
      <c r="H1141">
        <v>4.8336443385670398</v>
      </c>
      <c r="I1141" t="s">
        <v>957</v>
      </c>
      <c r="J1141" t="s">
        <v>2776</v>
      </c>
      <c r="K1141">
        <v>0.121428571428571</v>
      </c>
      <c r="L1141" t="s">
        <v>959</v>
      </c>
      <c r="M1141">
        <v>2.2900763358778602</v>
      </c>
      <c r="N1141" t="s">
        <v>987</v>
      </c>
      <c r="O1141" t="s">
        <v>5017</v>
      </c>
      <c r="P1141">
        <v>0</v>
      </c>
      <c r="Q1141">
        <v>0</v>
      </c>
      <c r="R1141">
        <v>0</v>
      </c>
    </row>
    <row r="1142" spans="1:18" ht="16" x14ac:dyDescent="0.2">
      <c r="A1142" s="127" t="s">
        <v>954</v>
      </c>
      <c r="B1142" t="s">
        <v>575</v>
      </c>
      <c r="C1142" t="s">
        <v>2422</v>
      </c>
      <c r="E1142">
        <v>4</v>
      </c>
      <c r="F1142">
        <v>4</v>
      </c>
      <c r="G1142">
        <v>1</v>
      </c>
      <c r="H1142">
        <v>5.9504170026846204</v>
      </c>
      <c r="I1142" t="s">
        <v>957</v>
      </c>
      <c r="J1142" t="s">
        <v>2423</v>
      </c>
      <c r="K1142">
        <v>2.1428571428571401E-2</v>
      </c>
      <c r="L1142" t="s">
        <v>959</v>
      </c>
      <c r="M1142">
        <v>1.5267175572519101</v>
      </c>
      <c r="N1142" t="s">
        <v>960</v>
      </c>
      <c r="O1142" t="s">
        <v>5017</v>
      </c>
      <c r="P1142">
        <v>0</v>
      </c>
      <c r="Q1142">
        <v>0</v>
      </c>
      <c r="R1142">
        <v>0</v>
      </c>
    </row>
    <row r="1143" spans="1:18" ht="16" x14ac:dyDescent="0.2">
      <c r="A1143" s="127" t="s">
        <v>954</v>
      </c>
      <c r="B1143" t="s">
        <v>575</v>
      </c>
      <c r="C1143" t="s">
        <v>1214</v>
      </c>
      <c r="D1143" t="s">
        <v>1215</v>
      </c>
      <c r="E1143" t="s">
        <v>1102</v>
      </c>
      <c r="F1143">
        <v>4</v>
      </c>
      <c r="G1143">
        <v>2</v>
      </c>
      <c r="H1143">
        <v>4.6169146043585503</v>
      </c>
      <c r="I1143" t="s">
        <v>957</v>
      </c>
      <c r="J1143" t="s">
        <v>3567</v>
      </c>
      <c r="K1143">
        <v>7.8571428571428598E-2</v>
      </c>
      <c r="L1143" t="s">
        <v>959</v>
      </c>
      <c r="M1143">
        <v>2.2900763358778602</v>
      </c>
      <c r="N1143" t="s">
        <v>960</v>
      </c>
      <c r="O1143" t="s">
        <v>5017</v>
      </c>
      <c r="P1143">
        <v>0</v>
      </c>
      <c r="Q1143">
        <v>0</v>
      </c>
      <c r="R1143">
        <v>0</v>
      </c>
    </row>
    <row r="1144" spans="1:18" ht="16" x14ac:dyDescent="0.2">
      <c r="A1144" s="127" t="s">
        <v>954</v>
      </c>
      <c r="B1144" t="s">
        <v>575</v>
      </c>
      <c r="C1144" t="s">
        <v>1069</v>
      </c>
      <c r="D1144" t="s">
        <v>1070</v>
      </c>
      <c r="E1144">
        <v>3</v>
      </c>
      <c r="F1144">
        <v>3</v>
      </c>
      <c r="G1144">
        <v>1</v>
      </c>
      <c r="H1144">
        <v>6.2135956290841898</v>
      </c>
      <c r="I1144" t="s">
        <v>957</v>
      </c>
      <c r="J1144" t="s">
        <v>1071</v>
      </c>
      <c r="K1144">
        <v>0.05</v>
      </c>
      <c r="L1144" t="s">
        <v>959</v>
      </c>
      <c r="M1144">
        <v>1.5267175572519101</v>
      </c>
      <c r="N1144" t="s">
        <v>960</v>
      </c>
      <c r="O1144" t="s">
        <v>5017</v>
      </c>
      <c r="P1144">
        <v>0</v>
      </c>
      <c r="Q1144">
        <v>0</v>
      </c>
      <c r="R1144">
        <v>0</v>
      </c>
    </row>
    <row r="1145" spans="1:18" ht="16" x14ac:dyDescent="0.2">
      <c r="A1145" s="127" t="s">
        <v>954</v>
      </c>
      <c r="B1145" t="s">
        <v>575</v>
      </c>
      <c r="C1145" t="s">
        <v>997</v>
      </c>
      <c r="D1145" t="s">
        <v>998</v>
      </c>
      <c r="E1145">
        <v>11</v>
      </c>
      <c r="F1145">
        <v>11</v>
      </c>
      <c r="G1145">
        <v>1</v>
      </c>
      <c r="H1145">
        <v>7.7405357629117697</v>
      </c>
      <c r="I1145" t="s">
        <v>957</v>
      </c>
      <c r="J1145" t="s">
        <v>999</v>
      </c>
      <c r="K1145">
        <v>7.8571428571428598E-2</v>
      </c>
      <c r="L1145" t="s">
        <v>959</v>
      </c>
      <c r="M1145">
        <v>1.5267175572519101</v>
      </c>
      <c r="N1145" t="s">
        <v>960</v>
      </c>
      <c r="O1145" t="s">
        <v>5017</v>
      </c>
      <c r="P1145">
        <v>0</v>
      </c>
      <c r="Q1145">
        <v>0</v>
      </c>
      <c r="R1145">
        <v>0</v>
      </c>
    </row>
    <row r="1146" spans="1:18" ht="16" x14ac:dyDescent="0.2">
      <c r="A1146" s="127" t="s">
        <v>954</v>
      </c>
      <c r="B1146" t="s">
        <v>575</v>
      </c>
      <c r="C1146" t="s">
        <v>2589</v>
      </c>
      <c r="D1146" t="s">
        <v>2590</v>
      </c>
      <c r="E1146">
        <v>11</v>
      </c>
      <c r="F1146">
        <v>11</v>
      </c>
      <c r="G1146">
        <v>1</v>
      </c>
      <c r="H1146">
        <v>6.0736069610822296</v>
      </c>
      <c r="I1146" t="s">
        <v>957</v>
      </c>
      <c r="J1146" t="s">
        <v>3053</v>
      </c>
      <c r="K1146">
        <v>8.5714285714285701E-2</v>
      </c>
      <c r="L1146" t="s">
        <v>959</v>
      </c>
      <c r="M1146">
        <v>2.2900763358778602</v>
      </c>
      <c r="N1146" t="s">
        <v>960</v>
      </c>
      <c r="O1146" t="s">
        <v>5017</v>
      </c>
      <c r="P1146">
        <v>0</v>
      </c>
      <c r="Q1146">
        <v>0</v>
      </c>
      <c r="R1146">
        <v>0</v>
      </c>
    </row>
    <row r="1147" spans="1:18" ht="16" x14ac:dyDescent="0.2">
      <c r="A1147" s="127" t="s">
        <v>954</v>
      </c>
      <c r="B1147" t="s">
        <v>575</v>
      </c>
      <c r="C1147" t="s">
        <v>2203</v>
      </c>
      <c r="D1147" t="s">
        <v>2204</v>
      </c>
      <c r="E1147">
        <v>4</v>
      </c>
      <c r="F1147">
        <v>4</v>
      </c>
      <c r="G1147">
        <v>1</v>
      </c>
      <c r="H1147">
        <v>11.419035608486499</v>
      </c>
      <c r="I1147" t="s">
        <v>957</v>
      </c>
      <c r="J1147" t="s">
        <v>2205</v>
      </c>
      <c r="K1147">
        <v>2.1428571428571401E-2</v>
      </c>
      <c r="L1147" t="s">
        <v>959</v>
      </c>
      <c r="M1147">
        <v>0.76335877862595403</v>
      </c>
      <c r="N1147" t="s">
        <v>960</v>
      </c>
      <c r="O1147" t="s">
        <v>5017</v>
      </c>
      <c r="P1147">
        <v>0</v>
      </c>
      <c r="Q1147">
        <v>0</v>
      </c>
      <c r="R1147">
        <v>0</v>
      </c>
    </row>
    <row r="1148" spans="1:18" ht="16" x14ac:dyDescent="0.2">
      <c r="A1148" s="127" t="s">
        <v>954</v>
      </c>
      <c r="B1148" t="s">
        <v>575</v>
      </c>
      <c r="C1148" t="s">
        <v>1518</v>
      </c>
      <c r="D1148" t="s">
        <v>1519</v>
      </c>
      <c r="E1148">
        <v>11</v>
      </c>
      <c r="F1148">
        <v>11</v>
      </c>
      <c r="G1148">
        <v>1</v>
      </c>
      <c r="H1148">
        <v>5.5061917013801098</v>
      </c>
      <c r="I1148" t="s">
        <v>957</v>
      </c>
      <c r="J1148" t="s">
        <v>3450</v>
      </c>
      <c r="K1148">
        <v>0.107142857142857</v>
      </c>
      <c r="L1148" t="s">
        <v>959</v>
      </c>
      <c r="M1148">
        <v>3.0534351145038201</v>
      </c>
      <c r="N1148" t="s">
        <v>960</v>
      </c>
      <c r="O1148" t="s">
        <v>5017</v>
      </c>
      <c r="P1148">
        <v>0</v>
      </c>
      <c r="Q1148">
        <v>0</v>
      </c>
      <c r="R1148">
        <v>0</v>
      </c>
    </row>
    <row r="1149" spans="1:18" ht="16" x14ac:dyDescent="0.2">
      <c r="A1149" s="127" t="s">
        <v>954</v>
      </c>
      <c r="B1149" t="s">
        <v>575</v>
      </c>
      <c r="C1149" t="s">
        <v>1584</v>
      </c>
      <c r="D1149" t="s">
        <v>1585</v>
      </c>
      <c r="E1149">
        <v>4</v>
      </c>
      <c r="F1149">
        <v>4</v>
      </c>
      <c r="G1149">
        <v>1</v>
      </c>
      <c r="H1149">
        <v>7.6841619377135304</v>
      </c>
      <c r="I1149" t="s">
        <v>957</v>
      </c>
      <c r="J1149" t="s">
        <v>1586</v>
      </c>
      <c r="K1149">
        <v>7.1428571428571397E-2</v>
      </c>
      <c r="L1149" t="s">
        <v>959</v>
      </c>
      <c r="M1149">
        <v>0.76335877862595403</v>
      </c>
      <c r="N1149" t="s">
        <v>960</v>
      </c>
      <c r="O1149" t="s">
        <v>5017</v>
      </c>
      <c r="P1149">
        <v>0</v>
      </c>
      <c r="Q1149">
        <v>0</v>
      </c>
      <c r="R1149">
        <v>0</v>
      </c>
    </row>
    <row r="1150" spans="1:18" ht="16" x14ac:dyDescent="0.2">
      <c r="A1150" s="127" t="s">
        <v>954</v>
      </c>
      <c r="B1150" t="s">
        <v>575</v>
      </c>
      <c r="C1150" t="s">
        <v>2990</v>
      </c>
      <c r="D1150" t="s">
        <v>2991</v>
      </c>
      <c r="E1150">
        <v>3</v>
      </c>
      <c r="F1150">
        <v>3</v>
      </c>
      <c r="G1150">
        <v>1</v>
      </c>
      <c r="H1150">
        <v>9.2271210246703408</v>
      </c>
      <c r="I1150" t="s">
        <v>957</v>
      </c>
      <c r="J1150" t="s">
        <v>2992</v>
      </c>
      <c r="K1150">
        <v>2.8571428571428598E-2</v>
      </c>
      <c r="L1150" t="s">
        <v>959</v>
      </c>
      <c r="M1150">
        <v>0.76335877862595403</v>
      </c>
      <c r="N1150" t="s">
        <v>960</v>
      </c>
      <c r="O1150" t="s">
        <v>5017</v>
      </c>
      <c r="P1150">
        <v>0</v>
      </c>
      <c r="Q1150">
        <v>0</v>
      </c>
      <c r="R1150">
        <v>0</v>
      </c>
    </row>
    <row r="1151" spans="1:18" ht="16" x14ac:dyDescent="0.2">
      <c r="A1151" s="127" t="s">
        <v>954</v>
      </c>
      <c r="B1151" t="s">
        <v>575</v>
      </c>
      <c r="C1151" t="s">
        <v>3688</v>
      </c>
      <c r="D1151" t="s">
        <v>3689</v>
      </c>
      <c r="E1151">
        <v>3</v>
      </c>
      <c r="F1151">
        <v>3</v>
      </c>
      <c r="G1151">
        <v>1</v>
      </c>
      <c r="H1151">
        <v>7.8653118964909696</v>
      </c>
      <c r="I1151" t="s">
        <v>957</v>
      </c>
      <c r="J1151" t="s">
        <v>3690</v>
      </c>
      <c r="K1151">
        <v>0.05</v>
      </c>
      <c r="L1151" t="s">
        <v>959</v>
      </c>
      <c r="M1151">
        <v>0.76335877862595403</v>
      </c>
      <c r="N1151" t="s">
        <v>960</v>
      </c>
      <c r="O1151" t="s">
        <v>5017</v>
      </c>
      <c r="P1151">
        <v>0</v>
      </c>
      <c r="Q1151">
        <v>0</v>
      </c>
      <c r="R1151">
        <v>0</v>
      </c>
    </row>
    <row r="1152" spans="1:18" ht="16" x14ac:dyDescent="0.2">
      <c r="A1152" s="127" t="s">
        <v>954</v>
      </c>
      <c r="B1152" t="s">
        <v>575</v>
      </c>
      <c r="C1152" t="s">
        <v>1362</v>
      </c>
      <c r="D1152" t="s">
        <v>1363</v>
      </c>
      <c r="E1152">
        <v>3</v>
      </c>
      <c r="F1152">
        <v>3</v>
      </c>
      <c r="G1152">
        <v>1</v>
      </c>
      <c r="H1152">
        <v>7.3526046413289103</v>
      </c>
      <c r="I1152" t="s">
        <v>957</v>
      </c>
      <c r="J1152" t="s">
        <v>1364</v>
      </c>
      <c r="K1152">
        <v>0.05</v>
      </c>
      <c r="L1152" t="s">
        <v>959</v>
      </c>
      <c r="M1152">
        <v>0.76335877862595403</v>
      </c>
      <c r="N1152" t="s">
        <v>960</v>
      </c>
      <c r="O1152" t="s">
        <v>5017</v>
      </c>
      <c r="P1152">
        <v>0</v>
      </c>
      <c r="Q1152">
        <v>0</v>
      </c>
      <c r="R1152">
        <v>0</v>
      </c>
    </row>
    <row r="1153" spans="1:18" ht="16" x14ac:dyDescent="0.2">
      <c r="A1153" s="127" t="s">
        <v>954</v>
      </c>
      <c r="B1153" t="s">
        <v>575</v>
      </c>
      <c r="C1153" t="s">
        <v>1453</v>
      </c>
      <c r="D1153" t="s">
        <v>1454</v>
      </c>
      <c r="E1153" t="s">
        <v>1059</v>
      </c>
      <c r="F1153">
        <v>4</v>
      </c>
      <c r="G1153">
        <v>2</v>
      </c>
      <c r="H1153">
        <v>7.7212644037873304</v>
      </c>
      <c r="I1153" t="s">
        <v>957</v>
      </c>
      <c r="J1153" t="s">
        <v>2797</v>
      </c>
      <c r="K1153">
        <v>3.5714285714285698E-2</v>
      </c>
      <c r="L1153" t="s">
        <v>959</v>
      </c>
      <c r="M1153">
        <v>1.5267175572519101</v>
      </c>
      <c r="N1153" t="s">
        <v>960</v>
      </c>
      <c r="O1153" t="s">
        <v>5017</v>
      </c>
      <c r="P1153">
        <v>0</v>
      </c>
      <c r="Q1153">
        <v>0</v>
      </c>
      <c r="R1153">
        <v>0</v>
      </c>
    </row>
    <row r="1154" spans="1:18" ht="16" x14ac:dyDescent="0.2">
      <c r="A1154" s="127" t="s">
        <v>954</v>
      </c>
      <c r="B1154" t="s">
        <v>575</v>
      </c>
      <c r="C1154" t="s">
        <v>1792</v>
      </c>
      <c r="D1154" t="s">
        <v>1793</v>
      </c>
      <c r="E1154">
        <v>7</v>
      </c>
      <c r="F1154">
        <v>7</v>
      </c>
      <c r="G1154">
        <v>1</v>
      </c>
      <c r="H1154">
        <v>5.2171796584315802</v>
      </c>
      <c r="I1154" t="s">
        <v>957</v>
      </c>
      <c r="J1154" t="s">
        <v>1794</v>
      </c>
      <c r="K1154">
        <v>0.16428571428571401</v>
      </c>
      <c r="L1154" t="s">
        <v>959</v>
      </c>
      <c r="M1154">
        <v>1.5267175572519101</v>
      </c>
      <c r="N1154" t="s">
        <v>960</v>
      </c>
      <c r="O1154" t="s">
        <v>5017</v>
      </c>
      <c r="P1154">
        <v>0</v>
      </c>
      <c r="Q1154">
        <v>0</v>
      </c>
      <c r="R1154">
        <v>0</v>
      </c>
    </row>
    <row r="1155" spans="1:18" ht="16" x14ac:dyDescent="0.2">
      <c r="A1155" s="127" t="s">
        <v>954</v>
      </c>
      <c r="B1155" t="s">
        <v>575</v>
      </c>
      <c r="C1155" t="s">
        <v>1138</v>
      </c>
      <c r="D1155" t="s">
        <v>1139</v>
      </c>
      <c r="E1155">
        <v>3</v>
      </c>
      <c r="F1155">
        <v>3</v>
      </c>
      <c r="G1155">
        <v>1</v>
      </c>
      <c r="H1155">
        <v>4.7988576051362504</v>
      </c>
      <c r="I1155" t="s">
        <v>957</v>
      </c>
      <c r="J1155" t="s">
        <v>1140</v>
      </c>
      <c r="K1155">
        <v>0.14285714285714299</v>
      </c>
      <c r="L1155" t="s">
        <v>959</v>
      </c>
      <c r="M1155">
        <v>2.2900763358778602</v>
      </c>
      <c r="N1155" t="s">
        <v>960</v>
      </c>
      <c r="O1155" t="s">
        <v>5017</v>
      </c>
      <c r="P1155">
        <v>0</v>
      </c>
      <c r="Q1155">
        <v>0</v>
      </c>
      <c r="R1155">
        <v>0</v>
      </c>
    </row>
    <row r="1156" spans="1:18" ht="16" x14ac:dyDescent="0.2">
      <c r="A1156" s="127" t="s">
        <v>954</v>
      </c>
      <c r="B1156" t="s">
        <v>575</v>
      </c>
      <c r="C1156" t="s">
        <v>1869</v>
      </c>
      <c r="D1156" t="s">
        <v>1870</v>
      </c>
      <c r="E1156">
        <v>4</v>
      </c>
      <c r="F1156">
        <v>4</v>
      </c>
      <c r="G1156">
        <v>1</v>
      </c>
      <c r="H1156">
        <v>4.9097791671520898</v>
      </c>
      <c r="I1156" t="s">
        <v>957</v>
      </c>
      <c r="J1156" t="s">
        <v>1871</v>
      </c>
      <c r="K1156">
        <v>0.13571428571428601</v>
      </c>
      <c r="L1156" t="s">
        <v>959</v>
      </c>
      <c r="M1156">
        <v>2.2900763358778602</v>
      </c>
      <c r="N1156" t="s">
        <v>960</v>
      </c>
      <c r="O1156" t="s">
        <v>5017</v>
      </c>
      <c r="P1156">
        <v>0</v>
      </c>
      <c r="Q1156">
        <v>0</v>
      </c>
      <c r="R1156">
        <v>0</v>
      </c>
    </row>
    <row r="1157" spans="1:18" ht="16" x14ac:dyDescent="0.2">
      <c r="A1157" s="127" t="s">
        <v>954</v>
      </c>
      <c r="B1157" t="s">
        <v>575</v>
      </c>
      <c r="C1157" t="s">
        <v>1247</v>
      </c>
      <c r="D1157" t="s">
        <v>1248</v>
      </c>
      <c r="E1157" t="s">
        <v>1249</v>
      </c>
      <c r="F1157">
        <v>13</v>
      </c>
      <c r="G1157">
        <v>2</v>
      </c>
      <c r="H1157">
        <v>9.8215469376914992</v>
      </c>
      <c r="I1157" t="s">
        <v>957</v>
      </c>
      <c r="J1157" t="s">
        <v>1250</v>
      </c>
      <c r="K1157">
        <v>8.5714285714285701E-2</v>
      </c>
      <c r="L1157" t="s">
        <v>959</v>
      </c>
      <c r="M1157">
        <v>0.76335877862595403</v>
      </c>
      <c r="N1157" t="s">
        <v>960</v>
      </c>
      <c r="O1157" t="s">
        <v>5017</v>
      </c>
      <c r="P1157">
        <v>0</v>
      </c>
      <c r="Q1157">
        <v>0</v>
      </c>
      <c r="R1157">
        <v>0</v>
      </c>
    </row>
    <row r="1158" spans="1:18" ht="16" x14ac:dyDescent="0.2">
      <c r="A1158" s="127" t="s">
        <v>954</v>
      </c>
      <c r="B1158" t="s">
        <v>575</v>
      </c>
      <c r="C1158" t="s">
        <v>1225</v>
      </c>
      <c r="D1158" t="s">
        <v>1226</v>
      </c>
      <c r="E1158">
        <v>3</v>
      </c>
      <c r="F1158">
        <v>3</v>
      </c>
      <c r="G1158">
        <v>1</v>
      </c>
      <c r="H1158">
        <v>5.7777571796201004</v>
      </c>
      <c r="I1158" t="s">
        <v>957</v>
      </c>
      <c r="J1158" t="s">
        <v>2583</v>
      </c>
      <c r="K1158">
        <v>0.05</v>
      </c>
      <c r="L1158" t="s">
        <v>959</v>
      </c>
      <c r="M1158">
        <v>2.2900763358778602</v>
      </c>
      <c r="N1158" t="s">
        <v>960</v>
      </c>
      <c r="O1158" t="s">
        <v>5017</v>
      </c>
      <c r="P1158">
        <v>0</v>
      </c>
      <c r="Q1158">
        <v>0</v>
      </c>
      <c r="R1158">
        <v>0</v>
      </c>
    </row>
    <row r="1159" spans="1:18" ht="16" x14ac:dyDescent="0.2">
      <c r="A1159" s="127" t="s">
        <v>954</v>
      </c>
      <c r="B1159" t="s">
        <v>575</v>
      </c>
      <c r="C1159" t="s">
        <v>1555</v>
      </c>
      <c r="D1159" t="s">
        <v>1556</v>
      </c>
      <c r="E1159">
        <v>3</v>
      </c>
      <c r="F1159">
        <v>3</v>
      </c>
      <c r="G1159">
        <v>1</v>
      </c>
      <c r="H1159">
        <v>5.3965133023145198</v>
      </c>
      <c r="I1159" t="s">
        <v>957</v>
      </c>
      <c r="J1159" t="s">
        <v>1557</v>
      </c>
      <c r="K1159">
        <v>3.5714285714285698E-2</v>
      </c>
      <c r="L1159" t="s">
        <v>959</v>
      </c>
      <c r="M1159">
        <v>1.5267175572519101</v>
      </c>
      <c r="N1159" t="s">
        <v>960</v>
      </c>
      <c r="O1159" t="s">
        <v>5017</v>
      </c>
      <c r="P1159">
        <v>0</v>
      </c>
      <c r="Q1159">
        <v>0</v>
      </c>
      <c r="R1159">
        <v>0</v>
      </c>
    </row>
    <row r="1160" spans="1:18" ht="16" x14ac:dyDescent="0.2">
      <c r="A1160" s="127" t="s">
        <v>954</v>
      </c>
      <c r="B1160" t="s">
        <v>575</v>
      </c>
      <c r="C1160" t="s">
        <v>1972</v>
      </c>
      <c r="D1160" t="s">
        <v>1973</v>
      </c>
      <c r="E1160">
        <v>4</v>
      </c>
      <c r="F1160">
        <v>4</v>
      </c>
      <c r="G1160">
        <v>1</v>
      </c>
      <c r="H1160">
        <v>7.9469557305265903</v>
      </c>
      <c r="I1160" t="s">
        <v>957</v>
      </c>
      <c r="J1160" t="s">
        <v>3373</v>
      </c>
      <c r="K1160">
        <v>8.5714285714285701E-2</v>
      </c>
      <c r="L1160" t="s">
        <v>959</v>
      </c>
      <c r="M1160">
        <v>1.5267175572519101</v>
      </c>
      <c r="N1160" t="s">
        <v>960</v>
      </c>
      <c r="O1160" t="s">
        <v>5017</v>
      </c>
      <c r="P1160">
        <v>0</v>
      </c>
      <c r="Q1160">
        <v>0</v>
      </c>
      <c r="R1160">
        <v>0</v>
      </c>
    </row>
    <row r="1161" spans="1:18" ht="16" x14ac:dyDescent="0.2">
      <c r="A1161" s="127" t="s">
        <v>954</v>
      </c>
      <c r="B1161" t="s">
        <v>575</v>
      </c>
      <c r="C1161" t="s">
        <v>1509</v>
      </c>
      <c r="D1161" t="s">
        <v>1510</v>
      </c>
      <c r="E1161">
        <v>4</v>
      </c>
      <c r="F1161">
        <v>4</v>
      </c>
      <c r="G1161">
        <v>1</v>
      </c>
      <c r="H1161">
        <v>9.0260032601454903</v>
      </c>
      <c r="I1161" t="s">
        <v>957</v>
      </c>
      <c r="J1161" t="s">
        <v>1511</v>
      </c>
      <c r="K1161">
        <v>4.2857142857142899E-2</v>
      </c>
      <c r="L1161" t="s">
        <v>959</v>
      </c>
      <c r="M1161">
        <v>1.5267175572519101</v>
      </c>
      <c r="N1161" t="s">
        <v>960</v>
      </c>
      <c r="O1161" t="s">
        <v>5017</v>
      </c>
      <c r="P1161">
        <v>0</v>
      </c>
      <c r="Q1161">
        <v>0</v>
      </c>
      <c r="R1161">
        <v>0</v>
      </c>
    </row>
    <row r="1162" spans="1:18" ht="16" x14ac:dyDescent="0.2">
      <c r="A1162" s="127" t="s">
        <v>954</v>
      </c>
      <c r="B1162" t="s">
        <v>575</v>
      </c>
      <c r="C1162" t="s">
        <v>2661</v>
      </c>
      <c r="D1162" t="s">
        <v>2662</v>
      </c>
      <c r="E1162" t="s">
        <v>1022</v>
      </c>
      <c r="F1162">
        <v>3</v>
      </c>
      <c r="G1162">
        <v>2</v>
      </c>
      <c r="H1162">
        <v>5.8807809292090996</v>
      </c>
      <c r="I1162" t="s">
        <v>957</v>
      </c>
      <c r="J1162" t="s">
        <v>2663</v>
      </c>
      <c r="K1162">
        <v>5.7142857142857099E-2</v>
      </c>
      <c r="L1162" t="s">
        <v>959</v>
      </c>
      <c r="M1162">
        <v>1.5267175572519101</v>
      </c>
      <c r="N1162" t="s">
        <v>960</v>
      </c>
      <c r="O1162" t="s">
        <v>5017</v>
      </c>
      <c r="P1162">
        <v>0</v>
      </c>
      <c r="Q1162">
        <v>0</v>
      </c>
      <c r="R1162">
        <v>0</v>
      </c>
    </row>
    <row r="1163" spans="1:18" ht="16" x14ac:dyDescent="0.2">
      <c r="A1163" s="127" t="s">
        <v>954</v>
      </c>
      <c r="B1163" t="s">
        <v>575</v>
      </c>
      <c r="C1163" t="s">
        <v>1497</v>
      </c>
      <c r="D1163" t="s">
        <v>1498</v>
      </c>
      <c r="E1163">
        <v>4</v>
      </c>
      <c r="F1163">
        <v>4</v>
      </c>
      <c r="G1163">
        <v>1</v>
      </c>
      <c r="H1163">
        <v>5.2725060902782301</v>
      </c>
      <c r="I1163" t="s">
        <v>957</v>
      </c>
      <c r="J1163" t="s">
        <v>1499</v>
      </c>
      <c r="K1163">
        <v>7.8571428571428598E-2</v>
      </c>
      <c r="L1163" t="s">
        <v>959</v>
      </c>
      <c r="M1163">
        <v>1.5267175572519101</v>
      </c>
      <c r="N1163" t="s">
        <v>960</v>
      </c>
      <c r="O1163" t="s">
        <v>5017</v>
      </c>
      <c r="P1163">
        <v>0</v>
      </c>
      <c r="Q1163">
        <v>0</v>
      </c>
      <c r="R1163">
        <v>0</v>
      </c>
    </row>
    <row r="1164" spans="1:18" ht="16" x14ac:dyDescent="0.2">
      <c r="A1164" s="127" t="s">
        <v>954</v>
      </c>
      <c r="B1164" t="s">
        <v>575</v>
      </c>
      <c r="C1164" t="s">
        <v>1130</v>
      </c>
      <c r="D1164" t="s">
        <v>1131</v>
      </c>
      <c r="E1164">
        <v>3</v>
      </c>
      <c r="F1164">
        <v>3</v>
      </c>
      <c r="G1164">
        <v>1</v>
      </c>
      <c r="H1164">
        <v>7.9524191963900703</v>
      </c>
      <c r="I1164" t="s">
        <v>957</v>
      </c>
      <c r="J1164" t="s">
        <v>1132</v>
      </c>
      <c r="K1164">
        <v>8.5714285714285701E-2</v>
      </c>
      <c r="L1164" t="s">
        <v>959</v>
      </c>
      <c r="M1164">
        <v>1.5267175572519101</v>
      </c>
      <c r="N1164" t="s">
        <v>960</v>
      </c>
      <c r="O1164" t="s">
        <v>5017</v>
      </c>
      <c r="P1164">
        <v>0</v>
      </c>
      <c r="Q1164">
        <v>0</v>
      </c>
      <c r="R1164">
        <v>0</v>
      </c>
    </row>
    <row r="1165" spans="1:18" ht="16" x14ac:dyDescent="0.2">
      <c r="A1165" s="127" t="s">
        <v>954</v>
      </c>
      <c r="B1165" t="s">
        <v>578</v>
      </c>
      <c r="C1165" t="s">
        <v>2828</v>
      </c>
      <c r="D1165" t="s">
        <v>2829</v>
      </c>
      <c r="E1165">
        <v>3</v>
      </c>
      <c r="F1165">
        <v>3</v>
      </c>
      <c r="G1165">
        <v>1</v>
      </c>
      <c r="H1165">
        <v>3.9738950519529501</v>
      </c>
      <c r="I1165" t="s">
        <v>957</v>
      </c>
      <c r="J1165" t="s">
        <v>3565</v>
      </c>
      <c r="K1165">
        <v>0.11764705882352899</v>
      </c>
      <c r="L1165" t="s">
        <v>1099</v>
      </c>
      <c r="M1165">
        <v>1.5267175572519101</v>
      </c>
      <c r="N1165" t="s">
        <v>973</v>
      </c>
      <c r="O1165" t="s">
        <v>5017</v>
      </c>
      <c r="P1165">
        <v>0</v>
      </c>
      <c r="Q1165">
        <v>0</v>
      </c>
      <c r="R1165">
        <v>0</v>
      </c>
    </row>
    <row r="1166" spans="1:18" ht="16" x14ac:dyDescent="0.2">
      <c r="A1166" s="127" t="s">
        <v>954</v>
      </c>
      <c r="B1166" t="s">
        <v>578</v>
      </c>
      <c r="C1166" t="s">
        <v>1518</v>
      </c>
      <c r="D1166" t="s">
        <v>1519</v>
      </c>
      <c r="E1166">
        <v>7</v>
      </c>
      <c r="F1166">
        <v>7</v>
      </c>
      <c r="G1166">
        <v>1</v>
      </c>
      <c r="H1166">
        <v>4.1231056256176597</v>
      </c>
      <c r="I1166" t="s">
        <v>957</v>
      </c>
      <c r="J1166" t="s">
        <v>1520</v>
      </c>
      <c r="K1166">
        <v>5.8823529411764698E-2</v>
      </c>
      <c r="L1166" t="s">
        <v>1099</v>
      </c>
      <c r="M1166">
        <v>3.0534351145038201</v>
      </c>
      <c r="N1166" t="s">
        <v>973</v>
      </c>
      <c r="O1166" t="s">
        <v>5017</v>
      </c>
      <c r="P1166">
        <v>0</v>
      </c>
      <c r="Q1166">
        <v>0</v>
      </c>
      <c r="R1166">
        <v>0</v>
      </c>
    </row>
    <row r="1167" spans="1:18" ht="16" x14ac:dyDescent="0.2">
      <c r="A1167" s="127" t="s">
        <v>954</v>
      </c>
      <c r="B1167" t="s">
        <v>578</v>
      </c>
      <c r="C1167" t="s">
        <v>1163</v>
      </c>
      <c r="D1167" t="s">
        <v>1164</v>
      </c>
      <c r="E1167">
        <v>3</v>
      </c>
      <c r="F1167">
        <v>3</v>
      </c>
      <c r="G1167">
        <v>1</v>
      </c>
      <c r="H1167">
        <v>4.1231056256176597</v>
      </c>
      <c r="I1167" t="s">
        <v>957</v>
      </c>
      <c r="J1167" t="s">
        <v>3599</v>
      </c>
      <c r="K1167">
        <v>5.8823529411764698E-2</v>
      </c>
      <c r="L1167" t="s">
        <v>1099</v>
      </c>
      <c r="M1167">
        <v>2.2900763358778602</v>
      </c>
      <c r="N1167" t="s">
        <v>973</v>
      </c>
      <c r="O1167" t="s">
        <v>5017</v>
      </c>
      <c r="P1167">
        <v>0</v>
      </c>
      <c r="Q1167">
        <v>0</v>
      </c>
      <c r="R1167">
        <v>0</v>
      </c>
    </row>
    <row r="1168" spans="1:18" ht="16" x14ac:dyDescent="0.2">
      <c r="A1168" s="127" t="s">
        <v>954</v>
      </c>
      <c r="B1168" t="s">
        <v>578</v>
      </c>
      <c r="C1168" t="s">
        <v>1842</v>
      </c>
      <c r="D1168" t="s">
        <v>1843</v>
      </c>
      <c r="E1168" t="s">
        <v>1022</v>
      </c>
      <c r="F1168">
        <v>3</v>
      </c>
      <c r="G1168">
        <v>2</v>
      </c>
      <c r="H1168">
        <v>8.96015202573731</v>
      </c>
      <c r="I1168" t="s">
        <v>957</v>
      </c>
      <c r="J1168" t="s">
        <v>3560</v>
      </c>
      <c r="K1168">
        <v>3.5714285714285698E-2</v>
      </c>
      <c r="L1168" t="s">
        <v>959</v>
      </c>
      <c r="M1168">
        <v>1.5267175572519101</v>
      </c>
      <c r="N1168" t="s">
        <v>960</v>
      </c>
      <c r="O1168" t="s">
        <v>5017</v>
      </c>
      <c r="P1168">
        <v>0</v>
      </c>
      <c r="Q1168">
        <v>0</v>
      </c>
      <c r="R1168">
        <v>0</v>
      </c>
    </row>
    <row r="1169" spans="1:18" ht="16" x14ac:dyDescent="0.2">
      <c r="A1169" s="127" t="s">
        <v>954</v>
      </c>
      <c r="B1169" t="s">
        <v>578</v>
      </c>
      <c r="C1169" t="s">
        <v>1838</v>
      </c>
      <c r="D1169" t="s">
        <v>1839</v>
      </c>
      <c r="E1169" t="s">
        <v>1102</v>
      </c>
      <c r="F1169">
        <v>4</v>
      </c>
      <c r="G1169">
        <v>2</v>
      </c>
      <c r="H1169">
        <v>6.6937238281501301</v>
      </c>
      <c r="I1169" t="s">
        <v>957</v>
      </c>
      <c r="J1169" t="s">
        <v>1841</v>
      </c>
      <c r="K1169">
        <v>6.4285714285714293E-2</v>
      </c>
      <c r="L1169" t="s">
        <v>959</v>
      </c>
      <c r="M1169">
        <v>1.5267175572519101</v>
      </c>
      <c r="N1169" t="s">
        <v>960</v>
      </c>
      <c r="O1169" t="s">
        <v>5017</v>
      </c>
      <c r="P1169">
        <v>0</v>
      </c>
      <c r="Q1169">
        <v>0</v>
      </c>
      <c r="R1169">
        <v>0</v>
      </c>
    </row>
    <row r="1170" spans="1:18" ht="16" x14ac:dyDescent="0.2">
      <c r="A1170" s="127" t="s">
        <v>954</v>
      </c>
      <c r="B1170" t="s">
        <v>578</v>
      </c>
      <c r="C1170" t="s">
        <v>1274</v>
      </c>
      <c r="D1170" t="s">
        <v>1275</v>
      </c>
      <c r="E1170">
        <v>3</v>
      </c>
      <c r="F1170">
        <v>3</v>
      </c>
      <c r="G1170">
        <v>1</v>
      </c>
      <c r="H1170">
        <v>5.77857642913568</v>
      </c>
      <c r="I1170" t="s">
        <v>957</v>
      </c>
      <c r="J1170" t="s">
        <v>3644</v>
      </c>
      <c r="K1170">
        <v>4.2857142857142899E-2</v>
      </c>
      <c r="L1170" t="s">
        <v>959</v>
      </c>
      <c r="M1170">
        <v>1.5267175572519101</v>
      </c>
      <c r="N1170" t="s">
        <v>960</v>
      </c>
      <c r="O1170" t="s">
        <v>5017</v>
      </c>
      <c r="P1170">
        <v>0</v>
      </c>
      <c r="Q1170">
        <v>0</v>
      </c>
      <c r="R1170">
        <v>0</v>
      </c>
    </row>
    <row r="1171" spans="1:18" ht="16" x14ac:dyDescent="0.2">
      <c r="A1171" s="129" t="s">
        <v>3764</v>
      </c>
      <c r="B1171" t="s">
        <v>41</v>
      </c>
      <c r="C1171" t="s">
        <v>2589</v>
      </c>
      <c r="D1171" t="s">
        <v>2590</v>
      </c>
      <c r="E1171">
        <v>9</v>
      </c>
      <c r="F1171">
        <v>9</v>
      </c>
      <c r="G1171">
        <v>1</v>
      </c>
      <c r="H1171">
        <v>4.1300527335359201</v>
      </c>
      <c r="I1171" t="s">
        <v>957</v>
      </c>
      <c r="J1171" t="s">
        <v>3876</v>
      </c>
      <c r="K1171">
        <v>8.5714285714285701E-2</v>
      </c>
      <c r="L1171" t="s">
        <v>959</v>
      </c>
      <c r="M1171">
        <v>3.0303030303030298</v>
      </c>
      <c r="N1171" t="s">
        <v>960</v>
      </c>
      <c r="O1171">
        <v>0</v>
      </c>
      <c r="P1171">
        <v>0</v>
      </c>
      <c r="Q1171">
        <v>0</v>
      </c>
      <c r="R1171">
        <v>0</v>
      </c>
    </row>
    <row r="1172" spans="1:18" ht="16" x14ac:dyDescent="0.2">
      <c r="A1172" s="129" t="s">
        <v>3764</v>
      </c>
      <c r="B1172" t="s">
        <v>70</v>
      </c>
      <c r="C1172" t="s">
        <v>1324</v>
      </c>
      <c r="E1172" t="s">
        <v>2857</v>
      </c>
      <c r="F1172">
        <v>6</v>
      </c>
      <c r="G1172">
        <v>2</v>
      </c>
      <c r="H1172">
        <v>4.2611897713548803</v>
      </c>
      <c r="I1172" t="s">
        <v>957</v>
      </c>
      <c r="J1172" t="s">
        <v>3813</v>
      </c>
      <c r="K1172">
        <v>0.121428571428571</v>
      </c>
      <c r="L1172" t="s">
        <v>959</v>
      </c>
      <c r="M1172">
        <v>3.7878787878787898</v>
      </c>
      <c r="N1172" t="s">
        <v>960</v>
      </c>
      <c r="O1172">
        <v>0</v>
      </c>
      <c r="P1172">
        <v>0</v>
      </c>
      <c r="Q1172">
        <v>0</v>
      </c>
      <c r="R1172" t="s">
        <v>5019</v>
      </c>
    </row>
    <row r="1173" spans="1:18" ht="16" x14ac:dyDescent="0.2">
      <c r="A1173" s="129" t="s">
        <v>3764</v>
      </c>
      <c r="B1173" t="s">
        <v>70</v>
      </c>
      <c r="C1173" t="s">
        <v>3790</v>
      </c>
      <c r="D1173" t="s">
        <v>3791</v>
      </c>
      <c r="E1173" t="s">
        <v>1052</v>
      </c>
      <c r="F1173">
        <v>2</v>
      </c>
      <c r="G1173">
        <v>2</v>
      </c>
      <c r="H1173">
        <v>4.20971291751545</v>
      </c>
      <c r="I1173" t="s">
        <v>957</v>
      </c>
      <c r="J1173" t="s">
        <v>3817</v>
      </c>
      <c r="K1173">
        <v>0.107142857142857</v>
      </c>
      <c r="L1173" t="s">
        <v>959</v>
      </c>
      <c r="M1173">
        <v>1.51515151515152</v>
      </c>
      <c r="N1173" t="s">
        <v>960</v>
      </c>
      <c r="O1173">
        <v>0</v>
      </c>
      <c r="P1173">
        <v>0</v>
      </c>
      <c r="Q1173">
        <v>0</v>
      </c>
      <c r="R1173">
        <v>0</v>
      </c>
    </row>
    <row r="1174" spans="1:18" ht="16" x14ac:dyDescent="0.2">
      <c r="A1174" s="129" t="s">
        <v>3764</v>
      </c>
      <c r="B1174" t="s">
        <v>74</v>
      </c>
      <c r="C1174" t="s">
        <v>2242</v>
      </c>
      <c r="D1174" t="s">
        <v>2243</v>
      </c>
      <c r="E1174">
        <v>4</v>
      </c>
      <c r="F1174">
        <v>4</v>
      </c>
      <c r="G1174">
        <v>1</v>
      </c>
      <c r="H1174">
        <v>4.2077487099823401</v>
      </c>
      <c r="I1174" t="s">
        <v>957</v>
      </c>
      <c r="J1174" t="s">
        <v>3778</v>
      </c>
      <c r="K1174">
        <v>9.2857142857142902E-2</v>
      </c>
      <c r="L1174" t="s">
        <v>959</v>
      </c>
      <c r="M1174">
        <v>3.7878787878787898</v>
      </c>
      <c r="N1174" t="s">
        <v>960</v>
      </c>
      <c r="O1174">
        <v>0</v>
      </c>
      <c r="P1174">
        <v>0</v>
      </c>
      <c r="Q1174">
        <v>0</v>
      </c>
      <c r="R1174">
        <v>0</v>
      </c>
    </row>
    <row r="1175" spans="1:18" ht="16" x14ac:dyDescent="0.2">
      <c r="A1175" s="129" t="s">
        <v>3764</v>
      </c>
      <c r="B1175" t="s">
        <v>74</v>
      </c>
      <c r="C1175" t="s">
        <v>2105</v>
      </c>
      <c r="D1175" t="s">
        <v>2106</v>
      </c>
      <c r="E1175">
        <v>4</v>
      </c>
      <c r="F1175">
        <v>4</v>
      </c>
      <c r="G1175">
        <v>1</v>
      </c>
      <c r="H1175">
        <v>4.15390236587732</v>
      </c>
      <c r="I1175" t="s">
        <v>957</v>
      </c>
      <c r="J1175" t="s">
        <v>3793</v>
      </c>
      <c r="K1175">
        <v>0.13571428571428601</v>
      </c>
      <c r="L1175" t="s">
        <v>959</v>
      </c>
      <c r="M1175">
        <v>3.7878787878787898</v>
      </c>
      <c r="N1175" t="s">
        <v>960</v>
      </c>
      <c r="O1175">
        <v>0</v>
      </c>
      <c r="P1175">
        <v>0</v>
      </c>
      <c r="Q1175">
        <v>0</v>
      </c>
      <c r="R1175">
        <v>0</v>
      </c>
    </row>
    <row r="1176" spans="1:18" ht="16" x14ac:dyDescent="0.2">
      <c r="A1176" s="129" t="s">
        <v>3764</v>
      </c>
      <c r="B1176" t="s">
        <v>90</v>
      </c>
      <c r="C1176" t="s">
        <v>2427</v>
      </c>
      <c r="D1176" t="s">
        <v>2428</v>
      </c>
      <c r="E1176">
        <v>4</v>
      </c>
      <c r="F1176">
        <v>4</v>
      </c>
      <c r="G1176">
        <v>1</v>
      </c>
      <c r="H1176">
        <v>4.2021563920980203</v>
      </c>
      <c r="I1176" t="s">
        <v>957</v>
      </c>
      <c r="J1176" t="s">
        <v>3845</v>
      </c>
      <c r="K1176">
        <v>0.128571428571429</v>
      </c>
      <c r="L1176" t="s">
        <v>959</v>
      </c>
      <c r="M1176">
        <v>3.0303030303030298</v>
      </c>
      <c r="N1176" t="s">
        <v>960</v>
      </c>
      <c r="O1176">
        <v>0</v>
      </c>
      <c r="P1176">
        <v>0</v>
      </c>
      <c r="Q1176">
        <v>0</v>
      </c>
      <c r="R1176">
        <v>0</v>
      </c>
    </row>
    <row r="1177" spans="1:18" ht="16" x14ac:dyDescent="0.2">
      <c r="A1177" s="129" t="s">
        <v>3764</v>
      </c>
      <c r="B1177" t="s">
        <v>98</v>
      </c>
      <c r="C1177" t="s">
        <v>2322</v>
      </c>
      <c r="D1177" t="s">
        <v>2323</v>
      </c>
      <c r="E1177" t="s">
        <v>1609</v>
      </c>
      <c r="F1177">
        <v>5</v>
      </c>
      <c r="G1177">
        <v>3</v>
      </c>
      <c r="H1177">
        <v>4.2558717937932897</v>
      </c>
      <c r="I1177" t="s">
        <v>957</v>
      </c>
      <c r="J1177" t="s">
        <v>3908</v>
      </c>
      <c r="K1177">
        <v>0.192857142857143</v>
      </c>
      <c r="L1177" t="s">
        <v>959</v>
      </c>
      <c r="M1177">
        <v>3.0303030303030298</v>
      </c>
      <c r="N1177" t="s">
        <v>960</v>
      </c>
      <c r="O1177">
        <v>0</v>
      </c>
      <c r="P1177">
        <v>0</v>
      </c>
      <c r="Q1177">
        <v>0</v>
      </c>
      <c r="R1177">
        <v>0</v>
      </c>
    </row>
    <row r="1178" spans="1:18" ht="16" x14ac:dyDescent="0.2">
      <c r="A1178" s="129" t="s">
        <v>3764</v>
      </c>
      <c r="B1178" t="s">
        <v>98</v>
      </c>
      <c r="C1178" t="s">
        <v>3857</v>
      </c>
      <c r="D1178" t="s">
        <v>3858</v>
      </c>
      <c r="E1178" t="s">
        <v>1052</v>
      </c>
      <c r="F1178">
        <v>2</v>
      </c>
      <c r="G1178">
        <v>2</v>
      </c>
      <c r="H1178">
        <v>4.4377722038371799</v>
      </c>
      <c r="I1178" t="s">
        <v>957</v>
      </c>
      <c r="J1178" t="s">
        <v>3903</v>
      </c>
      <c r="K1178">
        <v>0.13571428571428601</v>
      </c>
      <c r="L1178" t="s">
        <v>959</v>
      </c>
      <c r="M1178">
        <v>2.2727272727272698</v>
      </c>
      <c r="N1178" t="s">
        <v>960</v>
      </c>
      <c r="O1178">
        <v>0</v>
      </c>
      <c r="P1178">
        <v>0</v>
      </c>
      <c r="Q1178">
        <v>0</v>
      </c>
      <c r="R1178">
        <v>0</v>
      </c>
    </row>
    <row r="1179" spans="1:18" ht="16" x14ac:dyDescent="0.2">
      <c r="A1179" s="129" t="s">
        <v>3764</v>
      </c>
      <c r="B1179" t="s">
        <v>98</v>
      </c>
      <c r="C1179" t="s">
        <v>2770</v>
      </c>
      <c r="D1179" t="s">
        <v>2771</v>
      </c>
      <c r="E1179">
        <v>3</v>
      </c>
      <c r="F1179">
        <v>3</v>
      </c>
      <c r="G1179">
        <v>1</v>
      </c>
      <c r="H1179">
        <v>4.4712513469491899</v>
      </c>
      <c r="I1179" t="s">
        <v>957</v>
      </c>
      <c r="J1179" t="s">
        <v>3869</v>
      </c>
      <c r="K1179">
        <v>5.7142857142857099E-2</v>
      </c>
      <c r="L1179" t="s">
        <v>959</v>
      </c>
      <c r="M1179">
        <v>2.2727272727272698</v>
      </c>
      <c r="N1179" t="s">
        <v>960</v>
      </c>
      <c r="O1179">
        <v>0</v>
      </c>
      <c r="P1179">
        <v>0</v>
      </c>
      <c r="Q1179">
        <v>0</v>
      </c>
      <c r="R1179">
        <v>0</v>
      </c>
    </row>
    <row r="1180" spans="1:18" ht="16" x14ac:dyDescent="0.2">
      <c r="A1180" s="129" t="s">
        <v>3764</v>
      </c>
      <c r="B1180" t="s">
        <v>106</v>
      </c>
      <c r="C1180" t="s">
        <v>3765</v>
      </c>
      <c r="D1180" t="s">
        <v>3766</v>
      </c>
      <c r="E1180" t="s">
        <v>1974</v>
      </c>
      <c r="F1180">
        <v>5</v>
      </c>
      <c r="G1180">
        <v>2</v>
      </c>
      <c r="H1180">
        <v>4.5105731175823101</v>
      </c>
      <c r="I1180" t="s">
        <v>957</v>
      </c>
      <c r="J1180" t="s">
        <v>3767</v>
      </c>
      <c r="K1180">
        <v>0.2</v>
      </c>
      <c r="L1180" t="s">
        <v>959</v>
      </c>
      <c r="M1180">
        <v>0.75757575757575801</v>
      </c>
      <c r="N1180" t="s">
        <v>960</v>
      </c>
      <c r="O1180">
        <v>0</v>
      </c>
      <c r="P1180">
        <v>0</v>
      </c>
      <c r="Q1180">
        <v>0</v>
      </c>
      <c r="R1180">
        <v>0</v>
      </c>
    </row>
    <row r="1181" spans="1:18" ht="16" x14ac:dyDescent="0.2">
      <c r="A1181" s="129" t="s">
        <v>3764</v>
      </c>
      <c r="B1181" t="s">
        <v>106</v>
      </c>
      <c r="C1181" t="s">
        <v>1197</v>
      </c>
      <c r="D1181" t="s">
        <v>1198</v>
      </c>
      <c r="E1181">
        <v>3</v>
      </c>
      <c r="F1181">
        <v>3</v>
      </c>
      <c r="G1181">
        <v>1</v>
      </c>
      <c r="H1181">
        <v>4.32920465851873</v>
      </c>
      <c r="I1181" t="s">
        <v>957</v>
      </c>
      <c r="J1181" t="s">
        <v>3855</v>
      </c>
      <c r="K1181">
        <v>0.17142857142857101</v>
      </c>
      <c r="L1181" t="s">
        <v>959</v>
      </c>
      <c r="M1181">
        <v>2.2727272727272698</v>
      </c>
      <c r="N1181" t="s">
        <v>960</v>
      </c>
      <c r="O1181">
        <v>0</v>
      </c>
      <c r="P1181">
        <v>0</v>
      </c>
      <c r="Q1181">
        <v>0</v>
      </c>
      <c r="R1181">
        <v>0</v>
      </c>
    </row>
    <row r="1182" spans="1:18" ht="16" x14ac:dyDescent="0.2">
      <c r="A1182" s="129" t="s">
        <v>3764</v>
      </c>
      <c r="B1182" t="s">
        <v>106</v>
      </c>
      <c r="C1182" t="s">
        <v>3374</v>
      </c>
      <c r="D1182" t="s">
        <v>3375</v>
      </c>
      <c r="E1182">
        <v>5</v>
      </c>
      <c r="F1182">
        <v>5</v>
      </c>
      <c r="G1182">
        <v>1</v>
      </c>
      <c r="H1182">
        <v>4.4961175062052101</v>
      </c>
      <c r="I1182" t="s">
        <v>957</v>
      </c>
      <c r="J1182" t="s">
        <v>3828</v>
      </c>
      <c r="K1182">
        <v>3.5714285714285698E-2</v>
      </c>
      <c r="L1182" t="s">
        <v>959</v>
      </c>
      <c r="M1182">
        <v>2.2727272727272698</v>
      </c>
      <c r="N1182" t="s">
        <v>960</v>
      </c>
      <c r="O1182">
        <v>0</v>
      </c>
      <c r="P1182">
        <v>0</v>
      </c>
      <c r="Q1182">
        <v>0</v>
      </c>
      <c r="R1182">
        <v>0</v>
      </c>
    </row>
    <row r="1183" spans="1:18" ht="16" x14ac:dyDescent="0.2">
      <c r="A1183" s="129" t="s">
        <v>3764</v>
      </c>
      <c r="B1183" t="s">
        <v>110</v>
      </c>
      <c r="C1183" t="s">
        <v>1660</v>
      </c>
      <c r="D1183" t="s">
        <v>1661</v>
      </c>
      <c r="E1183" t="s">
        <v>1230</v>
      </c>
      <c r="F1183">
        <v>4</v>
      </c>
      <c r="G1183">
        <v>2</v>
      </c>
      <c r="H1183">
        <v>4.2811751747670996</v>
      </c>
      <c r="I1183" t="s">
        <v>957</v>
      </c>
      <c r="J1183" t="s">
        <v>3797</v>
      </c>
      <c r="K1183">
        <v>0.17857142857142899</v>
      </c>
      <c r="L1183" t="s">
        <v>959</v>
      </c>
      <c r="M1183">
        <v>3.0303030303030298</v>
      </c>
      <c r="N1183" t="s">
        <v>960</v>
      </c>
      <c r="O1183">
        <v>0</v>
      </c>
      <c r="P1183">
        <v>0</v>
      </c>
      <c r="Q1183">
        <v>0</v>
      </c>
      <c r="R1183">
        <v>0</v>
      </c>
    </row>
    <row r="1184" spans="1:18" ht="16" x14ac:dyDescent="0.2">
      <c r="A1184" s="129" t="s">
        <v>3764</v>
      </c>
      <c r="B1184" t="s">
        <v>110</v>
      </c>
      <c r="C1184" t="s">
        <v>2488</v>
      </c>
      <c r="D1184" t="s">
        <v>2489</v>
      </c>
      <c r="E1184" t="s">
        <v>1059</v>
      </c>
      <c r="F1184">
        <v>4</v>
      </c>
      <c r="G1184">
        <v>2</v>
      </c>
      <c r="H1184">
        <v>4.2365362102586204</v>
      </c>
      <c r="I1184" t="s">
        <v>957</v>
      </c>
      <c r="J1184" t="s">
        <v>3895</v>
      </c>
      <c r="K1184">
        <v>0.114285714285714</v>
      </c>
      <c r="L1184" t="s">
        <v>959</v>
      </c>
      <c r="M1184">
        <v>3.0303030303030298</v>
      </c>
      <c r="N1184" t="s">
        <v>960</v>
      </c>
      <c r="O1184">
        <v>0</v>
      </c>
      <c r="P1184">
        <v>0</v>
      </c>
      <c r="Q1184">
        <v>0</v>
      </c>
      <c r="R1184">
        <v>0</v>
      </c>
    </row>
    <row r="1185" spans="1:18" ht="16" x14ac:dyDescent="0.2">
      <c r="A1185" s="129" t="s">
        <v>3764</v>
      </c>
      <c r="B1185" t="s">
        <v>122</v>
      </c>
      <c r="C1185" t="s">
        <v>2200</v>
      </c>
      <c r="D1185" t="s">
        <v>2201</v>
      </c>
      <c r="E1185">
        <v>3</v>
      </c>
      <c r="F1185">
        <v>3</v>
      </c>
      <c r="G1185">
        <v>1</v>
      </c>
      <c r="H1185">
        <v>4.3579404926324496</v>
      </c>
      <c r="I1185" t="s">
        <v>957</v>
      </c>
      <c r="J1185" t="s">
        <v>3404</v>
      </c>
      <c r="K1185">
        <v>7.8571428571428598E-2</v>
      </c>
      <c r="L1185" t="s">
        <v>959</v>
      </c>
      <c r="M1185">
        <v>2.2727272727272698</v>
      </c>
      <c r="N1185" t="s">
        <v>960</v>
      </c>
      <c r="O1185" t="s">
        <v>5018</v>
      </c>
      <c r="P1185">
        <v>0</v>
      </c>
      <c r="Q1185">
        <v>0</v>
      </c>
      <c r="R1185">
        <v>0</v>
      </c>
    </row>
    <row r="1186" spans="1:18" ht="16" x14ac:dyDescent="0.2">
      <c r="A1186" s="129" t="s">
        <v>3764</v>
      </c>
      <c r="B1186" t="s">
        <v>122</v>
      </c>
      <c r="C1186" t="s">
        <v>1100</v>
      </c>
      <c r="D1186" t="s">
        <v>1101</v>
      </c>
      <c r="E1186" t="s">
        <v>1102</v>
      </c>
      <c r="F1186">
        <v>4</v>
      </c>
      <c r="G1186">
        <v>2</v>
      </c>
      <c r="H1186">
        <v>4.3837242474287397</v>
      </c>
      <c r="I1186" t="s">
        <v>957</v>
      </c>
      <c r="J1186" t="s">
        <v>1348</v>
      </c>
      <c r="K1186">
        <v>0.13571428571428601</v>
      </c>
      <c r="L1186" t="s">
        <v>959</v>
      </c>
      <c r="M1186">
        <v>2.2727272727272698</v>
      </c>
      <c r="N1186" t="s">
        <v>960</v>
      </c>
      <c r="O1186" t="s">
        <v>5018</v>
      </c>
      <c r="P1186">
        <v>0</v>
      </c>
      <c r="Q1186">
        <v>0</v>
      </c>
      <c r="R1186">
        <v>0</v>
      </c>
    </row>
    <row r="1187" spans="1:18" ht="16" x14ac:dyDescent="0.2">
      <c r="A1187" s="129" t="s">
        <v>3764</v>
      </c>
      <c r="B1187" t="s">
        <v>126</v>
      </c>
      <c r="C1187" t="s">
        <v>3044</v>
      </c>
      <c r="D1187" t="s">
        <v>3045</v>
      </c>
      <c r="E1187" t="s">
        <v>1400</v>
      </c>
      <c r="F1187">
        <v>4</v>
      </c>
      <c r="G1187">
        <v>4</v>
      </c>
      <c r="H1187">
        <v>4.2419370180187297</v>
      </c>
      <c r="I1187" t="s">
        <v>957</v>
      </c>
      <c r="J1187" t="s">
        <v>3879</v>
      </c>
      <c r="K1187">
        <v>0.16428571428571401</v>
      </c>
      <c r="L1187" t="s">
        <v>959</v>
      </c>
      <c r="M1187">
        <v>2.2727272727272698</v>
      </c>
      <c r="N1187" t="s">
        <v>960</v>
      </c>
      <c r="O1187">
        <v>0</v>
      </c>
      <c r="P1187">
        <v>0</v>
      </c>
      <c r="Q1187">
        <v>0</v>
      </c>
      <c r="R1187">
        <v>0</v>
      </c>
    </row>
    <row r="1188" spans="1:18" ht="16" x14ac:dyDescent="0.2">
      <c r="A1188" s="129" t="s">
        <v>3764</v>
      </c>
      <c r="B1188" t="s">
        <v>126</v>
      </c>
      <c r="C1188" t="s">
        <v>2433</v>
      </c>
      <c r="D1188" t="s">
        <v>2434</v>
      </c>
      <c r="E1188" t="s">
        <v>1432</v>
      </c>
      <c r="F1188">
        <v>6</v>
      </c>
      <c r="G1188">
        <v>2</v>
      </c>
      <c r="H1188">
        <v>4.3514030439610298</v>
      </c>
      <c r="I1188" t="s">
        <v>957</v>
      </c>
      <c r="J1188" t="s">
        <v>3779</v>
      </c>
      <c r="K1188">
        <v>0.114285714285714</v>
      </c>
      <c r="L1188" t="s">
        <v>959</v>
      </c>
      <c r="M1188">
        <v>3.0303030303030298</v>
      </c>
      <c r="N1188" t="s">
        <v>960</v>
      </c>
      <c r="O1188">
        <v>0</v>
      </c>
      <c r="P1188">
        <v>0</v>
      </c>
      <c r="Q1188">
        <v>0</v>
      </c>
      <c r="R1188">
        <v>0</v>
      </c>
    </row>
    <row r="1189" spans="1:18" ht="16" x14ac:dyDescent="0.2">
      <c r="A1189" s="129" t="s">
        <v>3764</v>
      </c>
      <c r="B1189" t="s">
        <v>134</v>
      </c>
      <c r="C1189" t="s">
        <v>3880</v>
      </c>
      <c r="D1189" t="s">
        <v>3881</v>
      </c>
      <c r="E1189" t="s">
        <v>1052</v>
      </c>
      <c r="F1189">
        <v>2</v>
      </c>
      <c r="G1189">
        <v>2</v>
      </c>
      <c r="H1189">
        <v>4.4425250122132898</v>
      </c>
      <c r="I1189" t="s">
        <v>957</v>
      </c>
      <c r="J1189" t="s">
        <v>3882</v>
      </c>
      <c r="K1189">
        <v>7.8571428571428598E-2</v>
      </c>
      <c r="L1189" t="s">
        <v>959</v>
      </c>
      <c r="M1189">
        <v>0.75757575757575801</v>
      </c>
      <c r="N1189" t="s">
        <v>960</v>
      </c>
      <c r="O1189">
        <v>0</v>
      </c>
      <c r="P1189">
        <v>0</v>
      </c>
      <c r="Q1189">
        <v>0</v>
      </c>
      <c r="R1189">
        <v>0</v>
      </c>
    </row>
    <row r="1190" spans="1:18" ht="16" x14ac:dyDescent="0.2">
      <c r="A1190" s="129" t="s">
        <v>3764</v>
      </c>
      <c r="B1190" t="s">
        <v>134</v>
      </c>
      <c r="C1190" t="s">
        <v>2077</v>
      </c>
      <c r="D1190" t="s">
        <v>2078</v>
      </c>
      <c r="E1190">
        <v>3</v>
      </c>
      <c r="F1190">
        <v>3</v>
      </c>
      <c r="G1190">
        <v>1</v>
      </c>
      <c r="H1190">
        <v>4.4674175324106304</v>
      </c>
      <c r="I1190" t="s">
        <v>957</v>
      </c>
      <c r="J1190" t="s">
        <v>3842</v>
      </c>
      <c r="K1190">
        <v>8.5714285714285701E-2</v>
      </c>
      <c r="L1190" t="s">
        <v>959</v>
      </c>
      <c r="M1190">
        <v>3.0303030303030298</v>
      </c>
      <c r="N1190" t="s">
        <v>960</v>
      </c>
      <c r="O1190">
        <v>0</v>
      </c>
      <c r="P1190">
        <v>0</v>
      </c>
      <c r="Q1190">
        <v>0</v>
      </c>
      <c r="R1190">
        <v>0</v>
      </c>
    </row>
    <row r="1191" spans="1:18" ht="16" x14ac:dyDescent="0.2">
      <c r="A1191" s="129" t="s">
        <v>3764</v>
      </c>
      <c r="B1191" t="s">
        <v>134</v>
      </c>
      <c r="C1191" t="s">
        <v>1960</v>
      </c>
      <c r="D1191" t="s">
        <v>1961</v>
      </c>
      <c r="E1191">
        <v>4</v>
      </c>
      <c r="F1191">
        <v>4</v>
      </c>
      <c r="G1191">
        <v>1</v>
      </c>
      <c r="H1191">
        <v>4.20312745668621</v>
      </c>
      <c r="I1191" t="s">
        <v>957</v>
      </c>
      <c r="J1191" t="s">
        <v>3864</v>
      </c>
      <c r="K1191">
        <v>8.5714285714285701E-2</v>
      </c>
      <c r="L1191" t="s">
        <v>959</v>
      </c>
      <c r="M1191">
        <v>3.0303030303030298</v>
      </c>
      <c r="N1191" t="s">
        <v>960</v>
      </c>
      <c r="O1191">
        <v>0</v>
      </c>
      <c r="P1191">
        <v>0</v>
      </c>
      <c r="Q1191">
        <v>0</v>
      </c>
      <c r="R1191">
        <v>0</v>
      </c>
    </row>
    <row r="1192" spans="1:18" ht="16" x14ac:dyDescent="0.2">
      <c r="A1192" s="129" t="s">
        <v>3764</v>
      </c>
      <c r="B1192" t="s">
        <v>134</v>
      </c>
      <c r="C1192" t="s">
        <v>3768</v>
      </c>
      <c r="D1192" t="s">
        <v>3769</v>
      </c>
      <c r="E1192" t="s">
        <v>1052</v>
      </c>
      <c r="F1192">
        <v>2</v>
      </c>
      <c r="G1192">
        <v>2</v>
      </c>
      <c r="H1192">
        <v>4.3726549980353502</v>
      </c>
      <c r="I1192" t="s">
        <v>957</v>
      </c>
      <c r="J1192" t="s">
        <v>3770</v>
      </c>
      <c r="K1192">
        <v>0.114285714285714</v>
      </c>
      <c r="L1192" t="s">
        <v>959</v>
      </c>
      <c r="M1192">
        <v>0.75757575757575801</v>
      </c>
      <c r="N1192" t="s">
        <v>960</v>
      </c>
      <c r="O1192">
        <v>0</v>
      </c>
      <c r="P1192">
        <v>0</v>
      </c>
      <c r="Q1192">
        <v>0</v>
      </c>
      <c r="R1192">
        <v>0</v>
      </c>
    </row>
    <row r="1193" spans="1:18" ht="16" x14ac:dyDescent="0.2">
      <c r="A1193" s="129" t="s">
        <v>3764</v>
      </c>
      <c r="B1193" t="s">
        <v>138</v>
      </c>
      <c r="C1193" t="s">
        <v>2273</v>
      </c>
      <c r="D1193" t="s">
        <v>2274</v>
      </c>
      <c r="E1193" t="s">
        <v>1052</v>
      </c>
      <c r="F1193">
        <v>2</v>
      </c>
      <c r="G1193">
        <v>2</v>
      </c>
      <c r="H1193">
        <v>4.2814716959624404</v>
      </c>
      <c r="I1193" t="s">
        <v>957</v>
      </c>
      <c r="J1193" t="s">
        <v>3823</v>
      </c>
      <c r="K1193">
        <v>4.2857142857142899E-2</v>
      </c>
      <c r="L1193" t="s">
        <v>959</v>
      </c>
      <c r="M1193">
        <v>1.51515151515152</v>
      </c>
      <c r="N1193" t="s">
        <v>960</v>
      </c>
      <c r="O1193">
        <v>0</v>
      </c>
      <c r="P1193">
        <v>0</v>
      </c>
      <c r="Q1193">
        <v>0</v>
      </c>
      <c r="R1193">
        <v>0</v>
      </c>
    </row>
    <row r="1194" spans="1:18" ht="16" x14ac:dyDescent="0.2">
      <c r="A1194" s="129" t="s">
        <v>3764</v>
      </c>
      <c r="B1194" t="s">
        <v>138</v>
      </c>
      <c r="C1194" t="s">
        <v>1611</v>
      </c>
      <c r="D1194" t="s">
        <v>1612</v>
      </c>
      <c r="E1194" t="s">
        <v>1840</v>
      </c>
      <c r="F1194">
        <v>5</v>
      </c>
      <c r="G1194">
        <v>3</v>
      </c>
      <c r="H1194">
        <v>4.5023964925581801</v>
      </c>
      <c r="I1194" t="s">
        <v>957</v>
      </c>
      <c r="J1194" t="s">
        <v>3838</v>
      </c>
      <c r="K1194">
        <v>0.114285714285714</v>
      </c>
      <c r="L1194" t="s">
        <v>959</v>
      </c>
      <c r="M1194">
        <v>2.2727272727272698</v>
      </c>
      <c r="N1194" t="s">
        <v>960</v>
      </c>
      <c r="O1194">
        <v>0</v>
      </c>
      <c r="P1194">
        <v>0</v>
      </c>
      <c r="Q1194">
        <v>0</v>
      </c>
      <c r="R1194">
        <v>0</v>
      </c>
    </row>
    <row r="1195" spans="1:18" ht="16" x14ac:dyDescent="0.2">
      <c r="A1195" s="129" t="s">
        <v>3764</v>
      </c>
      <c r="B1195" t="s">
        <v>142</v>
      </c>
      <c r="C1195" t="s">
        <v>2267</v>
      </c>
      <c r="D1195" t="s">
        <v>2268</v>
      </c>
      <c r="E1195" t="s">
        <v>1022</v>
      </c>
      <c r="F1195">
        <v>3</v>
      </c>
      <c r="G1195">
        <v>2</v>
      </c>
      <c r="H1195">
        <v>4.2819316770383899</v>
      </c>
      <c r="I1195" t="s">
        <v>957</v>
      </c>
      <c r="J1195" t="s">
        <v>3863</v>
      </c>
      <c r="K1195">
        <v>0.114285714285714</v>
      </c>
      <c r="L1195" t="s">
        <v>959</v>
      </c>
      <c r="M1195">
        <v>3.0303030303030298</v>
      </c>
      <c r="N1195" t="s">
        <v>960</v>
      </c>
      <c r="O1195">
        <v>0</v>
      </c>
      <c r="P1195" t="s">
        <v>5017</v>
      </c>
      <c r="Q1195">
        <v>0</v>
      </c>
      <c r="R1195">
        <v>0</v>
      </c>
    </row>
    <row r="1196" spans="1:18" ht="16" x14ac:dyDescent="0.2">
      <c r="A1196" s="129" t="s">
        <v>3764</v>
      </c>
      <c r="B1196" t="s">
        <v>142</v>
      </c>
      <c r="C1196" t="s">
        <v>1673</v>
      </c>
      <c r="D1196" t="s">
        <v>1674</v>
      </c>
      <c r="E1196" t="s">
        <v>3860</v>
      </c>
      <c r="F1196">
        <v>15</v>
      </c>
      <c r="G1196">
        <v>4</v>
      </c>
      <c r="H1196">
        <v>4.1510670680101596</v>
      </c>
      <c r="I1196" t="s">
        <v>957</v>
      </c>
      <c r="J1196" t="s">
        <v>3861</v>
      </c>
      <c r="K1196">
        <v>2.1428571428571401E-2</v>
      </c>
      <c r="L1196" t="s">
        <v>959</v>
      </c>
      <c r="M1196">
        <v>1.51515151515152</v>
      </c>
      <c r="N1196" t="s">
        <v>960</v>
      </c>
      <c r="O1196">
        <v>0</v>
      </c>
      <c r="P1196">
        <v>0</v>
      </c>
      <c r="Q1196">
        <v>0</v>
      </c>
      <c r="R1196">
        <v>0</v>
      </c>
    </row>
    <row r="1197" spans="1:18" ht="16" x14ac:dyDescent="0.2">
      <c r="A1197" s="129" t="s">
        <v>3764</v>
      </c>
      <c r="B1197" t="s">
        <v>142</v>
      </c>
      <c r="C1197" t="s">
        <v>1601</v>
      </c>
      <c r="D1197" t="s">
        <v>1602</v>
      </c>
      <c r="E1197" t="s">
        <v>1052</v>
      </c>
      <c r="F1197">
        <v>2</v>
      </c>
      <c r="G1197">
        <v>2</v>
      </c>
      <c r="H1197">
        <v>4.46948370452116</v>
      </c>
      <c r="I1197" t="s">
        <v>957</v>
      </c>
      <c r="J1197" t="s">
        <v>3826</v>
      </c>
      <c r="K1197">
        <v>7.1428571428571397E-2</v>
      </c>
      <c r="L1197" t="s">
        <v>959</v>
      </c>
      <c r="M1197">
        <v>1.51515151515152</v>
      </c>
      <c r="N1197" t="s">
        <v>960</v>
      </c>
      <c r="O1197">
        <v>0</v>
      </c>
      <c r="P1197">
        <v>0</v>
      </c>
      <c r="Q1197">
        <v>0</v>
      </c>
      <c r="R1197">
        <v>0</v>
      </c>
    </row>
    <row r="1198" spans="1:18" ht="16" x14ac:dyDescent="0.2">
      <c r="A1198" s="129" t="s">
        <v>3764</v>
      </c>
      <c r="B1198" t="s">
        <v>142</v>
      </c>
      <c r="C1198" t="s">
        <v>2699</v>
      </c>
      <c r="D1198" t="s">
        <v>2700</v>
      </c>
      <c r="E1198">
        <v>4</v>
      </c>
      <c r="F1198">
        <v>4</v>
      </c>
      <c r="G1198">
        <v>1</v>
      </c>
      <c r="H1198">
        <v>4.1509690401855197</v>
      </c>
      <c r="I1198" t="s">
        <v>957</v>
      </c>
      <c r="J1198" t="s">
        <v>3834</v>
      </c>
      <c r="K1198">
        <v>0.157142857142857</v>
      </c>
      <c r="L1198" t="s">
        <v>959</v>
      </c>
      <c r="M1198">
        <v>1.51515151515152</v>
      </c>
      <c r="N1198" t="s">
        <v>960</v>
      </c>
      <c r="O1198">
        <v>0</v>
      </c>
      <c r="P1198">
        <v>0</v>
      </c>
      <c r="Q1198">
        <v>0</v>
      </c>
      <c r="R1198">
        <v>0</v>
      </c>
    </row>
    <row r="1199" spans="1:18" ht="16" x14ac:dyDescent="0.2">
      <c r="A1199" s="129" t="s">
        <v>3764</v>
      </c>
      <c r="B1199" t="s">
        <v>142</v>
      </c>
      <c r="C1199" t="s">
        <v>2852</v>
      </c>
      <c r="D1199" t="s">
        <v>2853</v>
      </c>
      <c r="E1199">
        <v>3</v>
      </c>
      <c r="F1199">
        <v>3</v>
      </c>
      <c r="G1199">
        <v>1</v>
      </c>
      <c r="H1199">
        <v>4.3909949162392499</v>
      </c>
      <c r="I1199" t="s">
        <v>957</v>
      </c>
      <c r="J1199" t="s">
        <v>3867</v>
      </c>
      <c r="K1199">
        <v>7.8571428571428598E-2</v>
      </c>
      <c r="L1199" t="s">
        <v>959</v>
      </c>
      <c r="M1199">
        <v>2.2727272727272698</v>
      </c>
      <c r="N1199" t="s">
        <v>960</v>
      </c>
      <c r="O1199">
        <v>0</v>
      </c>
      <c r="P1199">
        <v>0</v>
      </c>
      <c r="Q1199">
        <v>0</v>
      </c>
      <c r="R1199">
        <v>0</v>
      </c>
    </row>
    <row r="1200" spans="1:18" ht="16" x14ac:dyDescent="0.2">
      <c r="A1200" s="129" t="s">
        <v>3764</v>
      </c>
      <c r="B1200" t="s">
        <v>146</v>
      </c>
      <c r="C1200" t="s">
        <v>3857</v>
      </c>
      <c r="D1200" t="s">
        <v>3858</v>
      </c>
      <c r="E1200" t="s">
        <v>1052</v>
      </c>
      <c r="F1200">
        <v>2</v>
      </c>
      <c r="G1200">
        <v>2</v>
      </c>
      <c r="H1200">
        <v>4.4377722038371799</v>
      </c>
      <c r="I1200" t="s">
        <v>957</v>
      </c>
      <c r="J1200" t="s">
        <v>3898</v>
      </c>
      <c r="K1200">
        <v>0.13571428571428601</v>
      </c>
      <c r="L1200" t="s">
        <v>959</v>
      </c>
      <c r="M1200">
        <v>2.2727272727272698</v>
      </c>
      <c r="N1200" t="s">
        <v>960</v>
      </c>
      <c r="O1200" t="s">
        <v>5017</v>
      </c>
      <c r="P1200">
        <v>0</v>
      </c>
      <c r="Q1200">
        <v>0</v>
      </c>
      <c r="R1200">
        <v>0</v>
      </c>
    </row>
    <row r="1201" spans="1:18" ht="16" x14ac:dyDescent="0.2">
      <c r="A1201" s="129" t="s">
        <v>3764</v>
      </c>
      <c r="B1201" t="s">
        <v>150</v>
      </c>
      <c r="C1201" t="s">
        <v>2609</v>
      </c>
      <c r="D1201" t="s">
        <v>2610</v>
      </c>
      <c r="E1201">
        <v>3</v>
      </c>
      <c r="F1201">
        <v>3</v>
      </c>
      <c r="G1201">
        <v>1</v>
      </c>
      <c r="H1201">
        <v>4.3949800325925397</v>
      </c>
      <c r="I1201" t="s">
        <v>957</v>
      </c>
      <c r="J1201" t="s">
        <v>3839</v>
      </c>
      <c r="K1201">
        <v>0.15</v>
      </c>
      <c r="L1201" t="s">
        <v>959</v>
      </c>
      <c r="M1201">
        <v>1.51515151515152</v>
      </c>
      <c r="N1201" t="s">
        <v>960</v>
      </c>
      <c r="O1201">
        <v>0</v>
      </c>
      <c r="P1201">
        <v>0</v>
      </c>
      <c r="Q1201">
        <v>0</v>
      </c>
      <c r="R1201">
        <v>0</v>
      </c>
    </row>
    <row r="1202" spans="1:18" ht="16" x14ac:dyDescent="0.2">
      <c r="A1202" s="129" t="s">
        <v>3764</v>
      </c>
      <c r="B1202" t="s">
        <v>154</v>
      </c>
      <c r="C1202" t="s">
        <v>2427</v>
      </c>
      <c r="D1202" t="s">
        <v>2428</v>
      </c>
      <c r="E1202">
        <v>4</v>
      </c>
      <c r="F1202">
        <v>4</v>
      </c>
      <c r="G1202">
        <v>1</v>
      </c>
      <c r="H1202">
        <v>4.2021563920980203</v>
      </c>
      <c r="I1202" t="s">
        <v>957</v>
      </c>
      <c r="J1202" t="s">
        <v>3824</v>
      </c>
      <c r="K1202">
        <v>0.128571428571429</v>
      </c>
      <c r="L1202" t="s">
        <v>959</v>
      </c>
      <c r="M1202">
        <v>3.0303030303030298</v>
      </c>
      <c r="N1202" t="s">
        <v>960</v>
      </c>
      <c r="O1202" t="s">
        <v>5018</v>
      </c>
      <c r="P1202">
        <v>0</v>
      </c>
      <c r="Q1202">
        <v>0</v>
      </c>
      <c r="R1202">
        <v>0</v>
      </c>
    </row>
    <row r="1203" spans="1:18" ht="16" x14ac:dyDescent="0.2">
      <c r="A1203" s="129" t="s">
        <v>3764</v>
      </c>
      <c r="B1203" t="s">
        <v>154</v>
      </c>
      <c r="C1203" t="s">
        <v>2424</v>
      </c>
      <c r="D1203" t="s">
        <v>2425</v>
      </c>
      <c r="E1203">
        <v>4</v>
      </c>
      <c r="F1203">
        <v>4</v>
      </c>
      <c r="G1203">
        <v>1</v>
      </c>
      <c r="H1203">
        <v>4.3117132943200502</v>
      </c>
      <c r="I1203" t="s">
        <v>957</v>
      </c>
      <c r="J1203" t="s">
        <v>3900</v>
      </c>
      <c r="K1203">
        <v>0.16428571428571401</v>
      </c>
      <c r="L1203" t="s">
        <v>959</v>
      </c>
      <c r="M1203">
        <v>3.7878787878787898</v>
      </c>
      <c r="N1203" t="s">
        <v>960</v>
      </c>
      <c r="O1203" t="s">
        <v>5018</v>
      </c>
      <c r="P1203">
        <v>0</v>
      </c>
      <c r="Q1203">
        <v>0</v>
      </c>
      <c r="R1203">
        <v>0</v>
      </c>
    </row>
    <row r="1204" spans="1:18" ht="16" x14ac:dyDescent="0.2">
      <c r="A1204" s="129" t="s">
        <v>3764</v>
      </c>
      <c r="B1204" t="s">
        <v>158</v>
      </c>
      <c r="C1204" t="s">
        <v>2322</v>
      </c>
      <c r="D1204" t="s">
        <v>2323</v>
      </c>
      <c r="E1204" t="s">
        <v>1692</v>
      </c>
      <c r="F1204">
        <v>5</v>
      </c>
      <c r="G1204">
        <v>2</v>
      </c>
      <c r="H1204">
        <v>4.2558717937932897</v>
      </c>
      <c r="I1204" t="s">
        <v>957</v>
      </c>
      <c r="J1204" t="s">
        <v>2324</v>
      </c>
      <c r="K1204">
        <v>0.192857142857143</v>
      </c>
      <c r="L1204" t="s">
        <v>959</v>
      </c>
      <c r="M1204">
        <v>3.0303030303030298</v>
      </c>
      <c r="N1204" t="s">
        <v>960</v>
      </c>
      <c r="O1204">
        <v>0</v>
      </c>
      <c r="P1204">
        <v>0</v>
      </c>
      <c r="Q1204">
        <v>0</v>
      </c>
      <c r="R1204">
        <v>0</v>
      </c>
    </row>
    <row r="1205" spans="1:18" ht="16" x14ac:dyDescent="0.2">
      <c r="A1205" s="129" t="s">
        <v>3764</v>
      </c>
      <c r="B1205" t="s">
        <v>158</v>
      </c>
      <c r="C1205" t="s">
        <v>1402</v>
      </c>
      <c r="D1205" t="s">
        <v>1403</v>
      </c>
      <c r="E1205" t="s">
        <v>1074</v>
      </c>
      <c r="F1205">
        <v>6</v>
      </c>
      <c r="G1205">
        <v>2</v>
      </c>
      <c r="H1205">
        <v>4.3363991009985803</v>
      </c>
      <c r="I1205" t="s">
        <v>957</v>
      </c>
      <c r="J1205" t="s">
        <v>3822</v>
      </c>
      <c r="K1205">
        <v>0.185714285714286</v>
      </c>
      <c r="L1205" t="s">
        <v>959</v>
      </c>
      <c r="M1205">
        <v>1.51515151515152</v>
      </c>
      <c r="N1205" t="s">
        <v>960</v>
      </c>
      <c r="O1205">
        <v>0</v>
      </c>
      <c r="P1205">
        <v>0</v>
      </c>
      <c r="Q1205">
        <v>0</v>
      </c>
      <c r="R1205">
        <v>0</v>
      </c>
    </row>
    <row r="1206" spans="1:18" ht="16" x14ac:dyDescent="0.2">
      <c r="A1206" s="129" t="s">
        <v>3764</v>
      </c>
      <c r="B1206" t="s">
        <v>158</v>
      </c>
      <c r="C1206" t="s">
        <v>2449</v>
      </c>
      <c r="D1206" t="s">
        <v>2450</v>
      </c>
      <c r="E1206">
        <v>3</v>
      </c>
      <c r="F1206">
        <v>3</v>
      </c>
      <c r="G1206">
        <v>1</v>
      </c>
      <c r="H1206">
        <v>4.4494920831461</v>
      </c>
      <c r="I1206" t="s">
        <v>957</v>
      </c>
      <c r="J1206" t="s">
        <v>3777</v>
      </c>
      <c r="K1206">
        <v>0.114285714285714</v>
      </c>
      <c r="L1206" t="s">
        <v>959</v>
      </c>
      <c r="M1206">
        <v>1.51515151515152</v>
      </c>
      <c r="N1206" t="s">
        <v>960</v>
      </c>
      <c r="O1206">
        <v>0</v>
      </c>
      <c r="P1206">
        <v>0</v>
      </c>
      <c r="Q1206">
        <v>0</v>
      </c>
      <c r="R1206">
        <v>0</v>
      </c>
    </row>
    <row r="1207" spans="1:18" ht="16" x14ac:dyDescent="0.2">
      <c r="A1207" s="129" t="s">
        <v>3764</v>
      </c>
      <c r="B1207" t="s">
        <v>158</v>
      </c>
      <c r="C1207" t="s">
        <v>2105</v>
      </c>
      <c r="D1207" t="s">
        <v>2106</v>
      </c>
      <c r="E1207">
        <v>3</v>
      </c>
      <c r="F1207">
        <v>3</v>
      </c>
      <c r="G1207">
        <v>1</v>
      </c>
      <c r="H1207">
        <v>4.15390236587732</v>
      </c>
      <c r="I1207" t="s">
        <v>957</v>
      </c>
      <c r="J1207" t="s">
        <v>3793</v>
      </c>
      <c r="K1207">
        <v>0.13571428571428601</v>
      </c>
      <c r="L1207" t="s">
        <v>959</v>
      </c>
      <c r="M1207">
        <v>3.7878787878787898</v>
      </c>
      <c r="N1207" t="s">
        <v>960</v>
      </c>
      <c r="O1207">
        <v>0</v>
      </c>
      <c r="P1207">
        <v>0</v>
      </c>
      <c r="Q1207">
        <v>0</v>
      </c>
      <c r="R1207">
        <v>0</v>
      </c>
    </row>
    <row r="1208" spans="1:18" ht="16" x14ac:dyDescent="0.2">
      <c r="A1208" s="129" t="s">
        <v>3764</v>
      </c>
      <c r="B1208" t="s">
        <v>158</v>
      </c>
      <c r="C1208" t="s">
        <v>2397</v>
      </c>
      <c r="D1208" t="s">
        <v>2398</v>
      </c>
      <c r="E1208" t="s">
        <v>1052</v>
      </c>
      <c r="F1208">
        <v>2</v>
      </c>
      <c r="G1208">
        <v>2</v>
      </c>
      <c r="H1208">
        <v>4.2750343493125103</v>
      </c>
      <c r="I1208" t="s">
        <v>957</v>
      </c>
      <c r="J1208" t="s">
        <v>3899</v>
      </c>
      <c r="K1208">
        <v>7.8571428571428598E-2</v>
      </c>
      <c r="L1208" t="s">
        <v>959</v>
      </c>
      <c r="M1208">
        <v>1.51515151515152</v>
      </c>
      <c r="N1208" t="s">
        <v>960</v>
      </c>
      <c r="O1208">
        <v>0</v>
      </c>
      <c r="P1208">
        <v>0</v>
      </c>
      <c r="Q1208">
        <v>0</v>
      </c>
      <c r="R1208">
        <v>0</v>
      </c>
    </row>
    <row r="1209" spans="1:18" ht="16" x14ac:dyDescent="0.2">
      <c r="A1209" s="129" t="s">
        <v>3764</v>
      </c>
      <c r="B1209" t="s">
        <v>53</v>
      </c>
      <c r="C1209" t="s">
        <v>2904</v>
      </c>
      <c r="D1209" t="s">
        <v>2905</v>
      </c>
      <c r="E1209" t="s">
        <v>1022</v>
      </c>
      <c r="F1209">
        <v>3</v>
      </c>
      <c r="G1209">
        <v>2</v>
      </c>
      <c r="H1209">
        <v>4.2710118676784203</v>
      </c>
      <c r="I1209" t="s">
        <v>957</v>
      </c>
      <c r="J1209" t="s">
        <v>2906</v>
      </c>
      <c r="K1209">
        <v>0.17142857142857101</v>
      </c>
      <c r="L1209" t="s">
        <v>959</v>
      </c>
      <c r="M1209">
        <v>2.2727272727272698</v>
      </c>
      <c r="N1209" t="s">
        <v>960</v>
      </c>
      <c r="O1209">
        <v>0</v>
      </c>
      <c r="P1209">
        <v>0</v>
      </c>
      <c r="Q1209">
        <v>0</v>
      </c>
      <c r="R1209">
        <v>0</v>
      </c>
    </row>
    <row r="1210" spans="1:18" ht="16" x14ac:dyDescent="0.2">
      <c r="A1210" s="129" t="s">
        <v>3764</v>
      </c>
      <c r="B1210" t="s">
        <v>53</v>
      </c>
      <c r="C1210" t="s">
        <v>2672</v>
      </c>
      <c r="D1210" t="s">
        <v>2673</v>
      </c>
      <c r="E1210" t="s">
        <v>1039</v>
      </c>
      <c r="F1210">
        <v>3</v>
      </c>
      <c r="G1210">
        <v>2</v>
      </c>
      <c r="H1210">
        <v>4.3354163427979797</v>
      </c>
      <c r="I1210" t="s">
        <v>957</v>
      </c>
      <c r="J1210" t="s">
        <v>3862</v>
      </c>
      <c r="K1210">
        <v>9.2857142857142902E-2</v>
      </c>
      <c r="L1210" t="s">
        <v>959</v>
      </c>
      <c r="M1210">
        <v>1.51515151515152</v>
      </c>
      <c r="N1210" t="s">
        <v>960</v>
      </c>
      <c r="O1210">
        <v>0</v>
      </c>
      <c r="P1210">
        <v>0</v>
      </c>
      <c r="Q1210">
        <v>0</v>
      </c>
      <c r="R1210">
        <v>0</v>
      </c>
    </row>
    <row r="1211" spans="1:18" ht="16" x14ac:dyDescent="0.2">
      <c r="A1211" s="129" t="s">
        <v>3764</v>
      </c>
      <c r="B1211" t="s">
        <v>61</v>
      </c>
      <c r="C1211" t="s">
        <v>3781</v>
      </c>
      <c r="D1211" t="s">
        <v>3782</v>
      </c>
      <c r="E1211" t="s">
        <v>1840</v>
      </c>
      <c r="F1211">
        <v>5</v>
      </c>
      <c r="G1211">
        <v>3</v>
      </c>
      <c r="H1211">
        <v>4.27988912034417</v>
      </c>
      <c r="I1211" t="s">
        <v>957</v>
      </c>
      <c r="J1211" t="s">
        <v>3788</v>
      </c>
      <c r="K1211">
        <v>0.221428571428571</v>
      </c>
      <c r="L1211" t="s">
        <v>959</v>
      </c>
      <c r="M1211">
        <v>3.0303030303030298</v>
      </c>
      <c r="N1211" t="s">
        <v>960</v>
      </c>
      <c r="O1211">
        <v>0</v>
      </c>
      <c r="P1211">
        <v>0</v>
      </c>
      <c r="Q1211">
        <v>0</v>
      </c>
      <c r="R1211">
        <v>0</v>
      </c>
    </row>
    <row r="1212" spans="1:18" ht="16" x14ac:dyDescent="0.2">
      <c r="A1212" s="129" t="s">
        <v>3764</v>
      </c>
      <c r="B1212" t="s">
        <v>231</v>
      </c>
      <c r="C1212" t="s">
        <v>1660</v>
      </c>
      <c r="D1212" t="s">
        <v>1661</v>
      </c>
      <c r="E1212">
        <v>4</v>
      </c>
      <c r="F1212">
        <v>4</v>
      </c>
      <c r="G1212">
        <v>1</v>
      </c>
      <c r="H1212">
        <v>4.2811751747670996</v>
      </c>
      <c r="I1212" t="s">
        <v>957</v>
      </c>
      <c r="J1212" t="s">
        <v>3896</v>
      </c>
      <c r="K1212">
        <v>0.17857142857142899</v>
      </c>
      <c r="L1212" t="s">
        <v>959</v>
      </c>
      <c r="M1212">
        <v>3.0303030303030298</v>
      </c>
      <c r="N1212" t="s">
        <v>960</v>
      </c>
      <c r="O1212">
        <v>0</v>
      </c>
      <c r="P1212">
        <v>0</v>
      </c>
      <c r="Q1212">
        <v>0</v>
      </c>
      <c r="R1212">
        <v>0</v>
      </c>
    </row>
    <row r="1213" spans="1:18" ht="16" x14ac:dyDescent="0.2">
      <c r="A1213" s="129" t="s">
        <v>3764</v>
      </c>
      <c r="B1213" t="s">
        <v>231</v>
      </c>
      <c r="C1213" t="s">
        <v>2641</v>
      </c>
      <c r="D1213" t="s">
        <v>3874</v>
      </c>
      <c r="E1213" t="s">
        <v>985</v>
      </c>
      <c r="F1213">
        <v>7</v>
      </c>
      <c r="G1213">
        <v>2</v>
      </c>
      <c r="H1213">
        <v>4.4577495155591702</v>
      </c>
      <c r="I1213" t="s">
        <v>957</v>
      </c>
      <c r="J1213" t="s">
        <v>3875</v>
      </c>
      <c r="K1213">
        <v>0.17857142857142899</v>
      </c>
      <c r="L1213" t="s">
        <v>959</v>
      </c>
      <c r="M1213">
        <v>2.2727272727272698</v>
      </c>
      <c r="N1213" t="s">
        <v>960</v>
      </c>
      <c r="O1213">
        <v>0</v>
      </c>
      <c r="P1213">
        <v>0</v>
      </c>
      <c r="Q1213">
        <v>0</v>
      </c>
      <c r="R1213">
        <v>0</v>
      </c>
    </row>
    <row r="1214" spans="1:18" ht="16" x14ac:dyDescent="0.2">
      <c r="A1214" s="129" t="s">
        <v>3764</v>
      </c>
      <c r="B1214" t="s">
        <v>231</v>
      </c>
      <c r="C1214" t="s">
        <v>1283</v>
      </c>
      <c r="D1214" t="s">
        <v>1284</v>
      </c>
      <c r="E1214" t="s">
        <v>1052</v>
      </c>
      <c r="F1214">
        <v>2</v>
      </c>
      <c r="G1214">
        <v>2</v>
      </c>
      <c r="H1214">
        <v>4.3176784216449002</v>
      </c>
      <c r="I1214" t="s">
        <v>957</v>
      </c>
      <c r="J1214" t="s">
        <v>3870</v>
      </c>
      <c r="K1214">
        <v>0.1</v>
      </c>
      <c r="L1214" t="s">
        <v>959</v>
      </c>
      <c r="M1214">
        <v>1.51515151515152</v>
      </c>
      <c r="N1214" t="s">
        <v>960</v>
      </c>
      <c r="O1214">
        <v>0</v>
      </c>
      <c r="P1214">
        <v>0</v>
      </c>
      <c r="Q1214">
        <v>0</v>
      </c>
      <c r="R1214">
        <v>0</v>
      </c>
    </row>
    <row r="1215" spans="1:18" ht="16" x14ac:dyDescent="0.2">
      <c r="A1215" s="129" t="s">
        <v>3764</v>
      </c>
      <c r="B1215" t="s">
        <v>231</v>
      </c>
      <c r="C1215" t="s">
        <v>3301</v>
      </c>
      <c r="D1215" t="s">
        <v>3302</v>
      </c>
      <c r="E1215" t="s">
        <v>1216</v>
      </c>
      <c r="F1215">
        <v>7</v>
      </c>
      <c r="G1215">
        <v>2</v>
      </c>
      <c r="H1215">
        <v>4.3615290323648201</v>
      </c>
      <c r="I1215" t="s">
        <v>957</v>
      </c>
      <c r="J1215" t="s">
        <v>3795</v>
      </c>
      <c r="K1215">
        <v>0.128571428571429</v>
      </c>
      <c r="L1215" t="s">
        <v>959</v>
      </c>
      <c r="M1215">
        <v>2.2727272727272698</v>
      </c>
      <c r="N1215" t="s">
        <v>960</v>
      </c>
      <c r="O1215">
        <v>0</v>
      </c>
      <c r="P1215">
        <v>0</v>
      </c>
      <c r="Q1215">
        <v>0</v>
      </c>
      <c r="R1215">
        <v>0</v>
      </c>
    </row>
    <row r="1216" spans="1:18" ht="16" x14ac:dyDescent="0.2">
      <c r="A1216" s="129" t="s">
        <v>3764</v>
      </c>
      <c r="B1216" t="s">
        <v>231</v>
      </c>
      <c r="C1216" t="s">
        <v>2433</v>
      </c>
      <c r="D1216" t="s">
        <v>2434</v>
      </c>
      <c r="E1216" t="s">
        <v>1074</v>
      </c>
      <c r="F1216">
        <v>6</v>
      </c>
      <c r="G1216">
        <v>2</v>
      </c>
      <c r="H1216">
        <v>4.3514030439610298</v>
      </c>
      <c r="I1216" t="s">
        <v>957</v>
      </c>
      <c r="J1216" t="s">
        <v>3868</v>
      </c>
      <c r="K1216">
        <v>0.114285714285714</v>
      </c>
      <c r="L1216" t="s">
        <v>959</v>
      </c>
      <c r="M1216">
        <v>3.0303030303030298</v>
      </c>
      <c r="N1216" t="s">
        <v>960</v>
      </c>
      <c r="O1216">
        <v>0</v>
      </c>
      <c r="P1216">
        <v>0</v>
      </c>
      <c r="Q1216">
        <v>0</v>
      </c>
      <c r="R1216">
        <v>0</v>
      </c>
    </row>
    <row r="1217" spans="1:18" ht="16" x14ac:dyDescent="0.2">
      <c r="A1217" s="129" t="s">
        <v>3764</v>
      </c>
      <c r="B1217" t="s">
        <v>247</v>
      </c>
      <c r="C1217" t="s">
        <v>1459</v>
      </c>
      <c r="D1217" t="s">
        <v>1460</v>
      </c>
      <c r="E1217">
        <v>14</v>
      </c>
      <c r="F1217">
        <v>14</v>
      </c>
      <c r="G1217">
        <v>1</v>
      </c>
      <c r="H1217">
        <v>4.3988143652468903</v>
      </c>
      <c r="I1217" t="s">
        <v>957</v>
      </c>
      <c r="J1217" t="s">
        <v>3812</v>
      </c>
      <c r="K1217">
        <v>7.1428571428571397E-2</v>
      </c>
      <c r="L1217" t="s">
        <v>959</v>
      </c>
      <c r="M1217">
        <v>2.2727272727272698</v>
      </c>
      <c r="N1217" t="s">
        <v>960</v>
      </c>
      <c r="O1217">
        <v>0</v>
      </c>
      <c r="P1217" t="s">
        <v>5017</v>
      </c>
      <c r="Q1217">
        <v>0</v>
      </c>
      <c r="R1217" t="s">
        <v>5019</v>
      </c>
    </row>
    <row r="1218" spans="1:18" ht="16" x14ac:dyDescent="0.2">
      <c r="A1218" s="129" t="s">
        <v>3764</v>
      </c>
      <c r="B1218" t="s">
        <v>252</v>
      </c>
      <c r="C1218" t="s">
        <v>1163</v>
      </c>
      <c r="D1218" t="s">
        <v>1164</v>
      </c>
      <c r="E1218">
        <v>3</v>
      </c>
      <c r="F1218">
        <v>3</v>
      </c>
      <c r="G1218">
        <v>1</v>
      </c>
      <c r="H1218">
        <v>4.4810178404752996</v>
      </c>
      <c r="I1218" t="s">
        <v>957</v>
      </c>
      <c r="J1218" t="s">
        <v>1165</v>
      </c>
      <c r="K1218">
        <v>0.05</v>
      </c>
      <c r="L1218" t="s">
        <v>959</v>
      </c>
      <c r="M1218">
        <v>3.7878787878787898</v>
      </c>
      <c r="N1218" t="s">
        <v>960</v>
      </c>
      <c r="O1218">
        <v>0</v>
      </c>
      <c r="P1218">
        <v>0</v>
      </c>
      <c r="Q1218">
        <v>0</v>
      </c>
      <c r="R1218">
        <v>0</v>
      </c>
    </row>
    <row r="1219" spans="1:18" ht="16" x14ac:dyDescent="0.2">
      <c r="A1219" s="129" t="s">
        <v>3764</v>
      </c>
      <c r="B1219" t="s">
        <v>260</v>
      </c>
      <c r="C1219" t="s">
        <v>1751</v>
      </c>
      <c r="D1219" t="s">
        <v>1752</v>
      </c>
      <c r="E1219">
        <v>3</v>
      </c>
      <c r="F1219">
        <v>3</v>
      </c>
      <c r="G1219">
        <v>1</v>
      </c>
      <c r="H1219">
        <v>4.4166255989063004</v>
      </c>
      <c r="I1219" t="s">
        <v>957</v>
      </c>
      <c r="J1219" t="s">
        <v>3806</v>
      </c>
      <c r="K1219">
        <v>7.1428571428571397E-2</v>
      </c>
      <c r="L1219" t="s">
        <v>959</v>
      </c>
      <c r="M1219">
        <v>2.2727272727272698</v>
      </c>
      <c r="N1219" t="s">
        <v>960</v>
      </c>
      <c r="O1219">
        <v>0</v>
      </c>
      <c r="P1219">
        <v>0</v>
      </c>
      <c r="Q1219">
        <v>0</v>
      </c>
      <c r="R1219">
        <v>0</v>
      </c>
    </row>
    <row r="1220" spans="1:18" ht="16" x14ac:dyDescent="0.2">
      <c r="A1220" s="129" t="s">
        <v>3764</v>
      </c>
      <c r="B1220" t="s">
        <v>260</v>
      </c>
      <c r="C1220" t="s">
        <v>2030</v>
      </c>
      <c r="D1220" t="s">
        <v>2031</v>
      </c>
      <c r="E1220">
        <v>4</v>
      </c>
      <c r="F1220">
        <v>4</v>
      </c>
      <c r="G1220">
        <v>1</v>
      </c>
      <c r="H1220">
        <v>4.1940251049916002</v>
      </c>
      <c r="I1220" t="s">
        <v>957</v>
      </c>
      <c r="J1220" t="s">
        <v>3902</v>
      </c>
      <c r="K1220">
        <v>0.128571428571429</v>
      </c>
      <c r="L1220" t="s">
        <v>959</v>
      </c>
      <c r="M1220">
        <v>2.2727272727272698</v>
      </c>
      <c r="N1220" t="s">
        <v>960</v>
      </c>
      <c r="O1220">
        <v>0</v>
      </c>
      <c r="P1220">
        <v>0</v>
      </c>
      <c r="Q1220">
        <v>0</v>
      </c>
      <c r="R1220">
        <v>0</v>
      </c>
    </row>
    <row r="1221" spans="1:18" ht="16" x14ac:dyDescent="0.2">
      <c r="A1221" s="129" t="s">
        <v>3764</v>
      </c>
      <c r="B1221" t="s">
        <v>260</v>
      </c>
      <c r="C1221" t="s">
        <v>3374</v>
      </c>
      <c r="D1221" t="s">
        <v>3375</v>
      </c>
      <c r="E1221" t="s">
        <v>1085</v>
      </c>
      <c r="F1221">
        <v>5</v>
      </c>
      <c r="G1221">
        <v>2</v>
      </c>
      <c r="H1221">
        <v>4.4961175062052101</v>
      </c>
      <c r="I1221" t="s">
        <v>957</v>
      </c>
      <c r="J1221" t="s">
        <v>3873</v>
      </c>
      <c r="K1221">
        <v>3.5714285714285698E-2</v>
      </c>
      <c r="L1221" t="s">
        <v>959</v>
      </c>
      <c r="M1221">
        <v>2.2727272727272698</v>
      </c>
      <c r="N1221" t="s">
        <v>960</v>
      </c>
      <c r="O1221">
        <v>0</v>
      </c>
      <c r="P1221">
        <v>0</v>
      </c>
      <c r="Q1221">
        <v>0</v>
      </c>
      <c r="R1221">
        <v>0</v>
      </c>
    </row>
    <row r="1222" spans="1:18" ht="16" x14ac:dyDescent="0.2">
      <c r="A1222" s="129" t="s">
        <v>3764</v>
      </c>
      <c r="B1222" t="s">
        <v>260</v>
      </c>
      <c r="C1222" t="s">
        <v>3781</v>
      </c>
      <c r="D1222" t="s">
        <v>3782</v>
      </c>
      <c r="E1222" t="s">
        <v>2253</v>
      </c>
      <c r="F1222">
        <v>4</v>
      </c>
      <c r="G1222">
        <v>3</v>
      </c>
      <c r="H1222">
        <v>4.27988912034417</v>
      </c>
      <c r="I1222" t="s">
        <v>957</v>
      </c>
      <c r="J1222" t="s">
        <v>3837</v>
      </c>
      <c r="K1222">
        <v>0.221428571428571</v>
      </c>
      <c r="L1222" t="s">
        <v>959</v>
      </c>
      <c r="M1222">
        <v>3.0303030303030298</v>
      </c>
      <c r="N1222" t="s">
        <v>960</v>
      </c>
      <c r="O1222">
        <v>0</v>
      </c>
      <c r="P1222">
        <v>0</v>
      </c>
      <c r="Q1222">
        <v>0</v>
      </c>
      <c r="R1222">
        <v>0</v>
      </c>
    </row>
    <row r="1223" spans="1:18" ht="16" x14ac:dyDescent="0.2">
      <c r="A1223" s="129" t="s">
        <v>3764</v>
      </c>
      <c r="B1223" t="s">
        <v>264</v>
      </c>
      <c r="C1223" t="s">
        <v>1724</v>
      </c>
      <c r="D1223" t="s">
        <v>1725</v>
      </c>
      <c r="E1223">
        <v>4</v>
      </c>
      <c r="F1223">
        <v>4</v>
      </c>
      <c r="G1223">
        <v>1</v>
      </c>
      <c r="H1223">
        <v>4.2333618598218603</v>
      </c>
      <c r="I1223" t="s">
        <v>957</v>
      </c>
      <c r="J1223" t="s">
        <v>3827</v>
      </c>
      <c r="K1223">
        <v>0.128571428571429</v>
      </c>
      <c r="L1223" t="s">
        <v>959</v>
      </c>
      <c r="M1223">
        <v>3.0303030303030298</v>
      </c>
      <c r="N1223" t="s">
        <v>960</v>
      </c>
      <c r="O1223">
        <v>0</v>
      </c>
      <c r="P1223">
        <v>0</v>
      </c>
      <c r="Q1223">
        <v>0</v>
      </c>
      <c r="R1223">
        <v>0</v>
      </c>
    </row>
    <row r="1224" spans="1:18" ht="16" x14ac:dyDescent="0.2">
      <c r="A1224" s="129" t="s">
        <v>3764</v>
      </c>
      <c r="B1224" t="s">
        <v>264</v>
      </c>
      <c r="C1224" t="s">
        <v>2749</v>
      </c>
      <c r="D1224" t="s">
        <v>2750</v>
      </c>
      <c r="E1224">
        <v>5</v>
      </c>
      <c r="F1224">
        <v>5</v>
      </c>
      <c r="G1224">
        <v>1</v>
      </c>
      <c r="H1224">
        <v>4.20215639209803</v>
      </c>
      <c r="I1224" t="s">
        <v>957</v>
      </c>
      <c r="J1224" t="s">
        <v>3907</v>
      </c>
      <c r="K1224">
        <v>0.128571428571429</v>
      </c>
      <c r="L1224" t="s">
        <v>959</v>
      </c>
      <c r="M1224">
        <v>2.2727272727272698</v>
      </c>
      <c r="N1224" t="s">
        <v>960</v>
      </c>
      <c r="O1224">
        <v>0</v>
      </c>
      <c r="P1224">
        <v>0</v>
      </c>
      <c r="Q1224">
        <v>0</v>
      </c>
      <c r="R1224">
        <v>0</v>
      </c>
    </row>
    <row r="1225" spans="1:18" ht="16" x14ac:dyDescent="0.2">
      <c r="A1225" s="129" t="s">
        <v>3764</v>
      </c>
      <c r="B1225" t="s">
        <v>195</v>
      </c>
      <c r="C1225" t="s">
        <v>2724</v>
      </c>
      <c r="D1225" t="s">
        <v>2725</v>
      </c>
      <c r="E1225">
        <v>3</v>
      </c>
      <c r="F1225">
        <v>3</v>
      </c>
      <c r="G1225">
        <v>1</v>
      </c>
      <c r="H1225">
        <v>4.2070152658520703</v>
      </c>
      <c r="I1225" t="s">
        <v>957</v>
      </c>
      <c r="J1225" t="s">
        <v>3843</v>
      </c>
      <c r="K1225">
        <v>0.128571428571429</v>
      </c>
      <c r="L1225" t="s">
        <v>959</v>
      </c>
      <c r="M1225">
        <v>2.2727272727272698</v>
      </c>
      <c r="N1225" t="s">
        <v>960</v>
      </c>
      <c r="O1225">
        <v>0</v>
      </c>
      <c r="P1225">
        <v>0</v>
      </c>
      <c r="Q1225">
        <v>0</v>
      </c>
      <c r="R1225">
        <v>0</v>
      </c>
    </row>
    <row r="1226" spans="1:18" ht="16" x14ac:dyDescent="0.2">
      <c r="A1226" s="129" t="s">
        <v>3764</v>
      </c>
      <c r="B1226" t="s">
        <v>199</v>
      </c>
      <c r="C1226" t="s">
        <v>2233</v>
      </c>
      <c r="D1226" t="s">
        <v>2234</v>
      </c>
      <c r="E1226">
        <v>6</v>
      </c>
      <c r="F1226">
        <v>6</v>
      </c>
      <c r="G1226">
        <v>1</v>
      </c>
      <c r="H1226">
        <v>4.40520045028945</v>
      </c>
      <c r="I1226" t="s">
        <v>957</v>
      </c>
      <c r="J1226" t="s">
        <v>3836</v>
      </c>
      <c r="K1226">
        <v>0.16428571428571401</v>
      </c>
      <c r="L1226" t="s">
        <v>959</v>
      </c>
      <c r="M1226">
        <v>2.2727272727272698</v>
      </c>
      <c r="N1226" t="s">
        <v>960</v>
      </c>
      <c r="O1226" t="s">
        <v>5018</v>
      </c>
      <c r="P1226">
        <v>0</v>
      </c>
      <c r="Q1226">
        <v>0</v>
      </c>
      <c r="R1226">
        <v>0</v>
      </c>
    </row>
    <row r="1227" spans="1:18" ht="16" x14ac:dyDescent="0.2">
      <c r="A1227" s="129" t="s">
        <v>3764</v>
      </c>
      <c r="B1227" t="s">
        <v>203</v>
      </c>
      <c r="C1227" t="s">
        <v>3019</v>
      </c>
      <c r="D1227" t="s">
        <v>3020</v>
      </c>
      <c r="E1227" t="s">
        <v>3784</v>
      </c>
      <c r="F1227">
        <v>13</v>
      </c>
      <c r="G1227">
        <v>3</v>
      </c>
      <c r="H1227">
        <v>4.5182307348289603</v>
      </c>
      <c r="I1227" t="s">
        <v>957</v>
      </c>
      <c r="J1227" t="s">
        <v>3785</v>
      </c>
      <c r="K1227">
        <v>2.1428571428571401E-2</v>
      </c>
      <c r="L1227" t="s">
        <v>959</v>
      </c>
      <c r="M1227">
        <v>1.51515151515152</v>
      </c>
      <c r="N1227" t="s">
        <v>960</v>
      </c>
      <c r="O1227" t="s">
        <v>5018</v>
      </c>
      <c r="P1227" t="s">
        <v>5018</v>
      </c>
      <c r="Q1227">
        <v>0</v>
      </c>
      <c r="R1227">
        <v>0</v>
      </c>
    </row>
    <row r="1228" spans="1:18" ht="16" x14ac:dyDescent="0.2">
      <c r="A1228" s="129" t="s">
        <v>3764</v>
      </c>
      <c r="B1228" t="s">
        <v>203</v>
      </c>
      <c r="C1228" t="s">
        <v>3790</v>
      </c>
      <c r="D1228" t="s">
        <v>3791</v>
      </c>
      <c r="E1228" t="s">
        <v>1052</v>
      </c>
      <c r="F1228">
        <v>2</v>
      </c>
      <c r="G1228">
        <v>2</v>
      </c>
      <c r="H1228">
        <v>4.20971291751545</v>
      </c>
      <c r="I1228" t="s">
        <v>957</v>
      </c>
      <c r="J1228" t="s">
        <v>3792</v>
      </c>
      <c r="K1228">
        <v>0.107142857142857</v>
      </c>
      <c r="L1228" t="s">
        <v>959</v>
      </c>
      <c r="M1228">
        <v>1.51515151515152</v>
      </c>
      <c r="N1228" t="s">
        <v>960</v>
      </c>
      <c r="O1228" t="s">
        <v>5018</v>
      </c>
      <c r="P1228">
        <v>0</v>
      </c>
      <c r="Q1228">
        <v>0</v>
      </c>
      <c r="R1228">
        <v>0</v>
      </c>
    </row>
    <row r="1229" spans="1:18" ht="16" x14ac:dyDescent="0.2">
      <c r="A1229" s="129" t="s">
        <v>3764</v>
      </c>
      <c r="B1229" t="s">
        <v>203</v>
      </c>
      <c r="C1229" t="s">
        <v>3781</v>
      </c>
      <c r="D1229" t="s">
        <v>3782</v>
      </c>
      <c r="E1229" t="s">
        <v>2253</v>
      </c>
      <c r="F1229">
        <v>4</v>
      </c>
      <c r="G1229">
        <v>3</v>
      </c>
      <c r="H1229">
        <v>4.27988912034417</v>
      </c>
      <c r="I1229" t="s">
        <v>957</v>
      </c>
      <c r="J1229" t="s">
        <v>3877</v>
      </c>
      <c r="K1229">
        <v>0.221428571428571</v>
      </c>
      <c r="L1229" t="s">
        <v>959</v>
      </c>
      <c r="M1229">
        <v>3.0303030303030298</v>
      </c>
      <c r="N1229" t="s">
        <v>960</v>
      </c>
      <c r="O1229" t="s">
        <v>5018</v>
      </c>
      <c r="P1229">
        <v>0</v>
      </c>
      <c r="Q1229">
        <v>0</v>
      </c>
      <c r="R1229">
        <v>0</v>
      </c>
    </row>
    <row r="1230" spans="1:18" ht="16" x14ac:dyDescent="0.2">
      <c r="A1230" s="129" t="s">
        <v>3764</v>
      </c>
      <c r="B1230" t="s">
        <v>306</v>
      </c>
      <c r="C1230" t="s">
        <v>2688</v>
      </c>
      <c r="D1230" t="s">
        <v>2689</v>
      </c>
      <c r="E1230" t="s">
        <v>1052</v>
      </c>
      <c r="F1230">
        <v>2</v>
      </c>
      <c r="G1230">
        <v>2</v>
      </c>
      <c r="H1230">
        <v>4.1917486402563604</v>
      </c>
      <c r="I1230" t="s">
        <v>957</v>
      </c>
      <c r="J1230" t="s">
        <v>3901</v>
      </c>
      <c r="K1230">
        <v>0.107142857142857</v>
      </c>
      <c r="L1230" t="s">
        <v>959</v>
      </c>
      <c r="M1230">
        <v>1.51515151515152</v>
      </c>
      <c r="N1230" t="s">
        <v>987</v>
      </c>
      <c r="O1230">
        <v>0</v>
      </c>
      <c r="P1230">
        <v>0</v>
      </c>
      <c r="Q1230">
        <v>0</v>
      </c>
      <c r="R1230">
        <v>0</v>
      </c>
    </row>
    <row r="1231" spans="1:18" ht="16" x14ac:dyDescent="0.2">
      <c r="A1231" s="129" t="s">
        <v>3764</v>
      </c>
      <c r="B1231" t="s">
        <v>306</v>
      </c>
      <c r="C1231" t="s">
        <v>3885</v>
      </c>
      <c r="D1231" t="s">
        <v>3886</v>
      </c>
      <c r="E1231" t="s">
        <v>1052</v>
      </c>
      <c r="F1231">
        <v>2</v>
      </c>
      <c r="G1231">
        <v>2</v>
      </c>
      <c r="H1231">
        <v>4.2628679325956904</v>
      </c>
      <c r="I1231" t="s">
        <v>957</v>
      </c>
      <c r="J1231" t="s">
        <v>3887</v>
      </c>
      <c r="K1231">
        <v>0.1</v>
      </c>
      <c r="L1231" t="s">
        <v>959</v>
      </c>
      <c r="M1231">
        <v>0.75757575757575801</v>
      </c>
      <c r="N1231" t="s">
        <v>960</v>
      </c>
      <c r="O1231">
        <v>0</v>
      </c>
      <c r="P1231">
        <v>0</v>
      </c>
      <c r="Q1231">
        <v>0</v>
      </c>
      <c r="R1231">
        <v>0</v>
      </c>
    </row>
    <row r="1232" spans="1:18" ht="16" x14ac:dyDescent="0.2">
      <c r="A1232" s="129" t="s">
        <v>3764</v>
      </c>
      <c r="B1232" t="s">
        <v>318</v>
      </c>
      <c r="C1232" t="s">
        <v>3748</v>
      </c>
      <c r="D1232" t="s">
        <v>3749</v>
      </c>
      <c r="E1232" t="s">
        <v>1052</v>
      </c>
      <c r="F1232">
        <v>2</v>
      </c>
      <c r="G1232">
        <v>2</v>
      </c>
      <c r="H1232">
        <v>4.5101619749953299</v>
      </c>
      <c r="I1232" t="s">
        <v>957</v>
      </c>
      <c r="J1232" t="s">
        <v>3850</v>
      </c>
      <c r="K1232">
        <v>7.1428571428571397E-2</v>
      </c>
      <c r="L1232" t="s">
        <v>959</v>
      </c>
      <c r="M1232">
        <v>1.51515151515152</v>
      </c>
      <c r="N1232" t="s">
        <v>960</v>
      </c>
      <c r="O1232">
        <v>0</v>
      </c>
      <c r="P1232">
        <v>0</v>
      </c>
      <c r="Q1232">
        <v>0</v>
      </c>
      <c r="R1232">
        <v>0</v>
      </c>
    </row>
    <row r="1233" spans="1:18" ht="16" x14ac:dyDescent="0.2">
      <c r="A1233" s="129" t="s">
        <v>3764</v>
      </c>
      <c r="B1233" t="s">
        <v>322</v>
      </c>
      <c r="C1233" t="s">
        <v>2242</v>
      </c>
      <c r="D1233" t="s">
        <v>2243</v>
      </c>
      <c r="E1233">
        <v>4</v>
      </c>
      <c r="F1233">
        <v>4</v>
      </c>
      <c r="G1233">
        <v>1</v>
      </c>
      <c r="H1233">
        <v>4.2077487099823401</v>
      </c>
      <c r="I1233" t="s">
        <v>957</v>
      </c>
      <c r="J1233" t="s">
        <v>3818</v>
      </c>
      <c r="K1233">
        <v>9.2857142857142902E-2</v>
      </c>
      <c r="L1233" t="s">
        <v>959</v>
      </c>
      <c r="M1233">
        <v>3.7878787878787898</v>
      </c>
      <c r="N1233" t="s">
        <v>960</v>
      </c>
      <c r="O1233">
        <v>0</v>
      </c>
      <c r="P1233">
        <v>0</v>
      </c>
      <c r="Q1233">
        <v>0</v>
      </c>
      <c r="R1233">
        <v>0</v>
      </c>
    </row>
    <row r="1234" spans="1:18" ht="16" x14ac:dyDescent="0.2">
      <c r="A1234" s="129" t="s">
        <v>3764</v>
      </c>
      <c r="B1234" t="s">
        <v>325</v>
      </c>
      <c r="C1234" t="s">
        <v>1724</v>
      </c>
      <c r="D1234" t="s">
        <v>1725</v>
      </c>
      <c r="E1234">
        <v>4</v>
      </c>
      <c r="F1234">
        <v>4</v>
      </c>
      <c r="G1234">
        <v>1</v>
      </c>
      <c r="H1234">
        <v>4.2333618598218603</v>
      </c>
      <c r="I1234" t="s">
        <v>957</v>
      </c>
      <c r="J1234" t="s">
        <v>3789</v>
      </c>
      <c r="K1234">
        <v>0.128571428571429</v>
      </c>
      <c r="L1234" t="s">
        <v>959</v>
      </c>
      <c r="M1234">
        <v>3.0303030303030298</v>
      </c>
      <c r="N1234" t="s">
        <v>960</v>
      </c>
      <c r="O1234">
        <v>0</v>
      </c>
      <c r="P1234">
        <v>0</v>
      </c>
      <c r="Q1234">
        <v>0</v>
      </c>
      <c r="R1234">
        <v>0</v>
      </c>
    </row>
    <row r="1235" spans="1:18" ht="16" x14ac:dyDescent="0.2">
      <c r="A1235" s="129" t="s">
        <v>3764</v>
      </c>
      <c r="B1235" t="s">
        <v>325</v>
      </c>
      <c r="C1235" t="s">
        <v>1251</v>
      </c>
      <c r="D1235" t="s">
        <v>1252</v>
      </c>
      <c r="E1235" t="s">
        <v>1085</v>
      </c>
      <c r="F1235">
        <v>5</v>
      </c>
      <c r="G1235">
        <v>2</v>
      </c>
      <c r="H1235">
        <v>4.2370138228795602</v>
      </c>
      <c r="I1235" t="s">
        <v>957</v>
      </c>
      <c r="J1235" t="s">
        <v>3829</v>
      </c>
      <c r="K1235">
        <v>0.13571428571428601</v>
      </c>
      <c r="L1235" t="s">
        <v>959</v>
      </c>
      <c r="M1235">
        <v>3.7878787878787898</v>
      </c>
      <c r="N1235" t="s">
        <v>960</v>
      </c>
      <c r="O1235">
        <v>0</v>
      </c>
      <c r="P1235">
        <v>0</v>
      </c>
      <c r="Q1235">
        <v>0</v>
      </c>
      <c r="R1235">
        <v>0</v>
      </c>
    </row>
    <row r="1236" spans="1:18" ht="16" x14ac:dyDescent="0.2">
      <c r="A1236" s="129" t="s">
        <v>3764</v>
      </c>
      <c r="B1236" t="s">
        <v>325</v>
      </c>
      <c r="C1236" t="s">
        <v>1010</v>
      </c>
      <c r="D1236" t="s">
        <v>1011</v>
      </c>
      <c r="E1236">
        <v>4</v>
      </c>
      <c r="F1236">
        <v>4</v>
      </c>
      <c r="G1236">
        <v>1</v>
      </c>
      <c r="H1236">
        <v>4.41213797449812</v>
      </c>
      <c r="I1236" t="s">
        <v>957</v>
      </c>
      <c r="J1236" t="s">
        <v>3847</v>
      </c>
      <c r="K1236">
        <v>7.8571428571428598E-2</v>
      </c>
      <c r="L1236" t="s">
        <v>959</v>
      </c>
      <c r="M1236">
        <v>1.51515151515152</v>
      </c>
      <c r="N1236" t="s">
        <v>960</v>
      </c>
      <c r="O1236">
        <v>0</v>
      </c>
      <c r="P1236">
        <v>0</v>
      </c>
      <c r="Q1236">
        <v>0</v>
      </c>
      <c r="R1236">
        <v>0</v>
      </c>
    </row>
    <row r="1237" spans="1:18" ht="16" x14ac:dyDescent="0.2">
      <c r="A1237" s="129" t="s">
        <v>3764</v>
      </c>
      <c r="B1237" t="s">
        <v>325</v>
      </c>
      <c r="C1237" t="s">
        <v>1163</v>
      </c>
      <c r="D1237" t="s">
        <v>1164</v>
      </c>
      <c r="E1237">
        <v>3</v>
      </c>
      <c r="F1237">
        <v>3</v>
      </c>
      <c r="G1237">
        <v>1</v>
      </c>
      <c r="H1237">
        <v>4.4810178404752996</v>
      </c>
      <c r="I1237" t="s">
        <v>957</v>
      </c>
      <c r="J1237" t="s">
        <v>3894</v>
      </c>
      <c r="K1237">
        <v>0.05</v>
      </c>
      <c r="L1237" t="s">
        <v>959</v>
      </c>
      <c r="M1237">
        <v>3.7878787878787898</v>
      </c>
      <c r="N1237" t="s">
        <v>960</v>
      </c>
      <c r="O1237">
        <v>0</v>
      </c>
      <c r="P1237">
        <v>0</v>
      </c>
      <c r="Q1237">
        <v>0</v>
      </c>
      <c r="R1237">
        <v>0</v>
      </c>
    </row>
    <row r="1238" spans="1:18" ht="16" x14ac:dyDescent="0.2">
      <c r="A1238" s="129" t="s">
        <v>3764</v>
      </c>
      <c r="B1238" t="s">
        <v>325</v>
      </c>
      <c r="C1238" t="s">
        <v>2424</v>
      </c>
      <c r="D1238" t="s">
        <v>2425</v>
      </c>
      <c r="E1238">
        <v>5</v>
      </c>
      <c r="F1238">
        <v>5</v>
      </c>
      <c r="G1238">
        <v>1</v>
      </c>
      <c r="H1238">
        <v>4.3117132943200502</v>
      </c>
      <c r="I1238" t="s">
        <v>957</v>
      </c>
      <c r="J1238" t="s">
        <v>3780</v>
      </c>
      <c r="K1238">
        <v>0.16428571428571401</v>
      </c>
      <c r="L1238" t="s">
        <v>959</v>
      </c>
      <c r="M1238">
        <v>3.7878787878787898</v>
      </c>
      <c r="N1238" t="s">
        <v>960</v>
      </c>
      <c r="O1238">
        <v>0</v>
      </c>
      <c r="P1238">
        <v>0</v>
      </c>
      <c r="Q1238">
        <v>0</v>
      </c>
      <c r="R1238">
        <v>0</v>
      </c>
    </row>
    <row r="1239" spans="1:18" ht="16" x14ac:dyDescent="0.2">
      <c r="A1239" s="129" t="s">
        <v>3764</v>
      </c>
      <c r="B1239" t="s">
        <v>325</v>
      </c>
      <c r="C1239" t="s">
        <v>2105</v>
      </c>
      <c r="D1239" t="s">
        <v>2106</v>
      </c>
      <c r="E1239">
        <v>4</v>
      </c>
      <c r="F1239">
        <v>4</v>
      </c>
      <c r="G1239">
        <v>1</v>
      </c>
      <c r="H1239">
        <v>4.15390236587732</v>
      </c>
      <c r="I1239" t="s">
        <v>957</v>
      </c>
      <c r="J1239" t="s">
        <v>3833</v>
      </c>
      <c r="K1239">
        <v>0.13571428571428601</v>
      </c>
      <c r="L1239" t="s">
        <v>959</v>
      </c>
      <c r="M1239">
        <v>3.7878787878787898</v>
      </c>
      <c r="N1239" t="s">
        <v>960</v>
      </c>
      <c r="O1239">
        <v>0</v>
      </c>
      <c r="P1239">
        <v>0</v>
      </c>
      <c r="Q1239">
        <v>0</v>
      </c>
      <c r="R1239">
        <v>0</v>
      </c>
    </row>
    <row r="1240" spans="1:18" ht="16" x14ac:dyDescent="0.2">
      <c r="A1240" s="129" t="s">
        <v>3764</v>
      </c>
      <c r="B1240" t="s">
        <v>325</v>
      </c>
      <c r="C1240" t="s">
        <v>2476</v>
      </c>
      <c r="D1240" t="s">
        <v>2477</v>
      </c>
      <c r="E1240" t="s">
        <v>1442</v>
      </c>
      <c r="F1240">
        <v>5</v>
      </c>
      <c r="G1240">
        <v>2</v>
      </c>
      <c r="H1240">
        <v>4.3208310988210803</v>
      </c>
      <c r="I1240" t="s">
        <v>957</v>
      </c>
      <c r="J1240" t="s">
        <v>3814</v>
      </c>
      <c r="K1240">
        <v>0.14285714285714299</v>
      </c>
      <c r="L1240" t="s">
        <v>959</v>
      </c>
      <c r="M1240">
        <v>2.2727272727272698</v>
      </c>
      <c r="N1240" t="s">
        <v>960</v>
      </c>
      <c r="O1240">
        <v>0</v>
      </c>
      <c r="P1240">
        <v>0</v>
      </c>
      <c r="Q1240">
        <v>0</v>
      </c>
      <c r="R1240">
        <v>0</v>
      </c>
    </row>
    <row r="1241" spans="1:18" ht="16" x14ac:dyDescent="0.2">
      <c r="A1241" s="129" t="s">
        <v>3764</v>
      </c>
      <c r="B1241" t="s">
        <v>354</v>
      </c>
      <c r="C1241" t="s">
        <v>3857</v>
      </c>
      <c r="D1241" t="s">
        <v>3858</v>
      </c>
      <c r="E1241" t="s">
        <v>1052</v>
      </c>
      <c r="F1241">
        <v>2</v>
      </c>
      <c r="G1241">
        <v>2</v>
      </c>
      <c r="H1241">
        <v>4.4377722038371799</v>
      </c>
      <c r="I1241" t="s">
        <v>957</v>
      </c>
      <c r="J1241" t="s">
        <v>3859</v>
      </c>
      <c r="K1241">
        <v>0.13571428571428601</v>
      </c>
      <c r="L1241" t="s">
        <v>959</v>
      </c>
      <c r="M1241">
        <v>2.2727272727272698</v>
      </c>
      <c r="N1241" t="s">
        <v>960</v>
      </c>
      <c r="O1241">
        <v>0</v>
      </c>
      <c r="P1241">
        <v>0</v>
      </c>
      <c r="Q1241">
        <v>0</v>
      </c>
      <c r="R1241">
        <v>0</v>
      </c>
    </row>
    <row r="1242" spans="1:18" ht="16" x14ac:dyDescent="0.2">
      <c r="A1242" s="129" t="s">
        <v>3764</v>
      </c>
      <c r="B1242" t="s">
        <v>358</v>
      </c>
      <c r="C1242" t="s">
        <v>1047</v>
      </c>
      <c r="D1242" t="s">
        <v>1048</v>
      </c>
      <c r="E1242" t="s">
        <v>1052</v>
      </c>
      <c r="F1242">
        <v>2</v>
      </c>
      <c r="G1242">
        <v>2</v>
      </c>
      <c r="H1242">
        <v>4.4292859241279796</v>
      </c>
      <c r="I1242" t="s">
        <v>957</v>
      </c>
      <c r="J1242" t="s">
        <v>3811</v>
      </c>
      <c r="K1242">
        <v>0.114285714285714</v>
      </c>
      <c r="L1242" t="s">
        <v>959</v>
      </c>
      <c r="M1242">
        <v>1.51515151515152</v>
      </c>
      <c r="N1242" t="s">
        <v>960</v>
      </c>
      <c r="O1242">
        <v>0</v>
      </c>
      <c r="P1242">
        <v>0</v>
      </c>
      <c r="Q1242">
        <v>0</v>
      </c>
      <c r="R1242">
        <v>0</v>
      </c>
    </row>
    <row r="1243" spans="1:18" ht="16" x14ac:dyDescent="0.2">
      <c r="A1243" s="129" t="s">
        <v>3764</v>
      </c>
      <c r="B1243" t="s">
        <v>362</v>
      </c>
      <c r="C1243" t="s">
        <v>3803</v>
      </c>
      <c r="D1243" t="s">
        <v>3804</v>
      </c>
      <c r="E1243" t="s">
        <v>1052</v>
      </c>
      <c r="F1243">
        <v>2</v>
      </c>
      <c r="G1243">
        <v>2</v>
      </c>
      <c r="H1243">
        <v>4.2655884937222499</v>
      </c>
      <c r="I1243" t="s">
        <v>957</v>
      </c>
      <c r="J1243" t="s">
        <v>3805</v>
      </c>
      <c r="K1243">
        <v>0.128571428571429</v>
      </c>
      <c r="L1243" t="s">
        <v>959</v>
      </c>
      <c r="M1243">
        <v>0.75757575757575801</v>
      </c>
      <c r="N1243" t="s">
        <v>960</v>
      </c>
      <c r="O1243">
        <v>0</v>
      </c>
      <c r="P1243">
        <v>0</v>
      </c>
      <c r="Q1243">
        <v>0</v>
      </c>
      <c r="R1243">
        <v>0</v>
      </c>
    </row>
    <row r="1244" spans="1:18" ht="16" x14ac:dyDescent="0.2">
      <c r="A1244" s="129" t="s">
        <v>3764</v>
      </c>
      <c r="B1244" t="s">
        <v>362</v>
      </c>
      <c r="C1244" t="s">
        <v>3217</v>
      </c>
      <c r="D1244" t="s">
        <v>3218</v>
      </c>
      <c r="E1244" t="s">
        <v>1059</v>
      </c>
      <c r="F1244">
        <v>4</v>
      </c>
      <c r="G1244">
        <v>2</v>
      </c>
      <c r="H1244">
        <v>4.2545312459025899</v>
      </c>
      <c r="I1244" t="s">
        <v>957</v>
      </c>
      <c r="J1244" t="s">
        <v>3796</v>
      </c>
      <c r="K1244">
        <v>0.16428571428571401</v>
      </c>
      <c r="L1244" t="s">
        <v>959</v>
      </c>
      <c r="M1244">
        <v>3.0303030303030298</v>
      </c>
      <c r="N1244" t="s">
        <v>960</v>
      </c>
      <c r="O1244">
        <v>0</v>
      </c>
      <c r="P1244">
        <v>0</v>
      </c>
      <c r="Q1244">
        <v>0</v>
      </c>
      <c r="R1244">
        <v>0</v>
      </c>
    </row>
    <row r="1245" spans="1:18" ht="16" x14ac:dyDescent="0.2">
      <c r="A1245" s="129" t="s">
        <v>3764</v>
      </c>
      <c r="B1245" t="s">
        <v>366</v>
      </c>
      <c r="C1245" t="s">
        <v>3151</v>
      </c>
      <c r="D1245" t="s">
        <v>3152</v>
      </c>
      <c r="E1245" t="s">
        <v>1022</v>
      </c>
      <c r="F1245">
        <v>3</v>
      </c>
      <c r="G1245">
        <v>2</v>
      </c>
      <c r="H1245">
        <v>4.2579652651511504</v>
      </c>
      <c r="I1245" t="s">
        <v>957</v>
      </c>
      <c r="J1245" t="s">
        <v>3787</v>
      </c>
      <c r="K1245">
        <v>0.121428571428571</v>
      </c>
      <c r="L1245" t="s">
        <v>959</v>
      </c>
      <c r="M1245">
        <v>2.2727272727272698</v>
      </c>
      <c r="N1245" t="s">
        <v>960</v>
      </c>
      <c r="O1245">
        <v>0</v>
      </c>
      <c r="P1245">
        <v>0</v>
      </c>
      <c r="Q1245">
        <v>0</v>
      </c>
      <c r="R1245">
        <v>0</v>
      </c>
    </row>
    <row r="1246" spans="1:18" ht="16" x14ac:dyDescent="0.2">
      <c r="A1246" s="129" t="s">
        <v>3764</v>
      </c>
      <c r="B1246" t="s">
        <v>366</v>
      </c>
      <c r="C1246" t="s">
        <v>1197</v>
      </c>
      <c r="D1246" t="s">
        <v>1198</v>
      </c>
      <c r="E1246" t="s">
        <v>1102</v>
      </c>
      <c r="F1246">
        <v>4</v>
      </c>
      <c r="G1246">
        <v>2</v>
      </c>
      <c r="H1246">
        <v>4.32920465851873</v>
      </c>
      <c r="I1246" t="s">
        <v>957</v>
      </c>
      <c r="J1246" t="s">
        <v>3809</v>
      </c>
      <c r="K1246">
        <v>0.17142857142857101</v>
      </c>
      <c r="L1246" t="s">
        <v>959</v>
      </c>
      <c r="M1246">
        <v>2.2727272727272698</v>
      </c>
      <c r="N1246" t="s">
        <v>960</v>
      </c>
      <c r="O1246">
        <v>0</v>
      </c>
      <c r="P1246">
        <v>0</v>
      </c>
      <c r="Q1246">
        <v>0</v>
      </c>
      <c r="R1246">
        <v>0</v>
      </c>
    </row>
    <row r="1247" spans="1:18" ht="16" x14ac:dyDescent="0.2">
      <c r="A1247" s="129" t="s">
        <v>3764</v>
      </c>
      <c r="B1247" t="s">
        <v>366</v>
      </c>
      <c r="C1247" t="s">
        <v>3904</v>
      </c>
      <c r="D1247" t="s">
        <v>3905</v>
      </c>
      <c r="E1247" t="s">
        <v>1022</v>
      </c>
      <c r="F1247">
        <v>3</v>
      </c>
      <c r="G1247">
        <v>2</v>
      </c>
      <c r="H1247">
        <v>4.3911153677315804</v>
      </c>
      <c r="I1247" t="s">
        <v>957</v>
      </c>
      <c r="J1247" t="s">
        <v>3906</v>
      </c>
      <c r="K1247">
        <v>0.114285714285714</v>
      </c>
      <c r="L1247" t="s">
        <v>959</v>
      </c>
      <c r="M1247">
        <v>0.75757575757575801</v>
      </c>
      <c r="N1247" t="s">
        <v>960</v>
      </c>
      <c r="O1247">
        <v>0</v>
      </c>
      <c r="P1247">
        <v>0</v>
      </c>
      <c r="Q1247">
        <v>0</v>
      </c>
      <c r="R1247">
        <v>0</v>
      </c>
    </row>
    <row r="1248" spans="1:18" ht="16" x14ac:dyDescent="0.2">
      <c r="A1248" s="129" t="s">
        <v>3764</v>
      </c>
      <c r="B1248" t="s">
        <v>366</v>
      </c>
      <c r="C1248" t="s">
        <v>2488</v>
      </c>
      <c r="D1248" t="s">
        <v>2489</v>
      </c>
      <c r="E1248" t="s">
        <v>1692</v>
      </c>
      <c r="F1248">
        <v>5</v>
      </c>
      <c r="G1248">
        <v>2</v>
      </c>
      <c r="H1248">
        <v>4.2365362102586204</v>
      </c>
      <c r="I1248" t="s">
        <v>957</v>
      </c>
      <c r="J1248" t="s">
        <v>3819</v>
      </c>
      <c r="K1248">
        <v>0.114285714285714</v>
      </c>
      <c r="L1248" t="s">
        <v>959</v>
      </c>
      <c r="M1248">
        <v>3.0303030303030298</v>
      </c>
      <c r="N1248" t="s">
        <v>960</v>
      </c>
      <c r="O1248">
        <v>0</v>
      </c>
      <c r="P1248">
        <v>0</v>
      </c>
      <c r="Q1248">
        <v>0</v>
      </c>
      <c r="R1248">
        <v>0</v>
      </c>
    </row>
    <row r="1249" spans="1:18" ht="16" x14ac:dyDescent="0.2">
      <c r="A1249" s="129" t="s">
        <v>3764</v>
      </c>
      <c r="B1249" t="s">
        <v>370</v>
      </c>
      <c r="C1249" t="s">
        <v>90</v>
      </c>
      <c r="D1249" t="s">
        <v>3612</v>
      </c>
      <c r="E1249">
        <v>2</v>
      </c>
      <c r="F1249">
        <v>2</v>
      </c>
      <c r="G1249">
        <v>1</v>
      </c>
      <c r="H1249">
        <v>4.2182841391531198</v>
      </c>
      <c r="I1249" t="s">
        <v>957</v>
      </c>
      <c r="J1249" t="s">
        <v>3794</v>
      </c>
      <c r="K1249">
        <v>3.5714285714285698E-2</v>
      </c>
      <c r="L1249" t="s">
        <v>959</v>
      </c>
      <c r="M1249">
        <v>2.2727272727272698</v>
      </c>
      <c r="N1249" t="s">
        <v>960</v>
      </c>
      <c r="O1249">
        <v>0</v>
      </c>
      <c r="P1249">
        <v>0</v>
      </c>
      <c r="Q1249">
        <v>0</v>
      </c>
      <c r="R1249">
        <v>0</v>
      </c>
    </row>
    <row r="1250" spans="1:18" ht="16" x14ac:dyDescent="0.2">
      <c r="A1250" s="129" t="s">
        <v>3764</v>
      </c>
      <c r="B1250" t="s">
        <v>382</v>
      </c>
      <c r="C1250" t="s">
        <v>3774</v>
      </c>
      <c r="D1250" t="s">
        <v>3775</v>
      </c>
      <c r="E1250" t="s">
        <v>1102</v>
      </c>
      <c r="F1250">
        <v>4</v>
      </c>
      <c r="G1250">
        <v>2</v>
      </c>
      <c r="H1250">
        <v>4.4735563571173396</v>
      </c>
      <c r="I1250" t="s">
        <v>957</v>
      </c>
      <c r="J1250" t="s">
        <v>3844</v>
      </c>
      <c r="K1250">
        <v>0.1</v>
      </c>
      <c r="L1250" t="s">
        <v>959</v>
      </c>
      <c r="M1250">
        <v>1.51515151515152</v>
      </c>
      <c r="N1250" t="s">
        <v>960</v>
      </c>
      <c r="O1250">
        <v>0</v>
      </c>
      <c r="P1250">
        <v>0</v>
      </c>
      <c r="Q1250">
        <v>0</v>
      </c>
      <c r="R1250">
        <v>0</v>
      </c>
    </row>
    <row r="1251" spans="1:18" ht="16" x14ac:dyDescent="0.2">
      <c r="A1251" s="129" t="s">
        <v>3764</v>
      </c>
      <c r="B1251" t="s">
        <v>382</v>
      </c>
      <c r="C1251" t="s">
        <v>3265</v>
      </c>
      <c r="D1251" t="s">
        <v>3266</v>
      </c>
      <c r="E1251">
        <v>3</v>
      </c>
      <c r="F1251">
        <v>3</v>
      </c>
      <c r="G1251">
        <v>1</v>
      </c>
      <c r="H1251">
        <v>4.2515724714418202</v>
      </c>
      <c r="I1251" t="s">
        <v>957</v>
      </c>
      <c r="J1251" t="s">
        <v>3884</v>
      </c>
      <c r="K1251">
        <v>8.5714285714285701E-2</v>
      </c>
      <c r="L1251" t="s">
        <v>959</v>
      </c>
      <c r="M1251">
        <v>1.51515151515152</v>
      </c>
      <c r="N1251" t="s">
        <v>960</v>
      </c>
      <c r="O1251">
        <v>0</v>
      </c>
      <c r="P1251">
        <v>0</v>
      </c>
      <c r="Q1251">
        <v>0</v>
      </c>
      <c r="R1251">
        <v>0</v>
      </c>
    </row>
    <row r="1252" spans="1:18" ht="16" x14ac:dyDescent="0.2">
      <c r="A1252" s="129" t="s">
        <v>3764</v>
      </c>
      <c r="B1252" t="s">
        <v>390</v>
      </c>
      <c r="C1252" t="s">
        <v>3151</v>
      </c>
      <c r="D1252" t="s">
        <v>3152</v>
      </c>
      <c r="E1252" t="s">
        <v>1052</v>
      </c>
      <c r="F1252">
        <v>2</v>
      </c>
      <c r="G1252">
        <v>2</v>
      </c>
      <c r="H1252">
        <v>4.2579652651511504</v>
      </c>
      <c r="I1252" t="s">
        <v>957</v>
      </c>
      <c r="J1252" t="s">
        <v>3820</v>
      </c>
      <c r="K1252">
        <v>0.121428571428571</v>
      </c>
      <c r="L1252" t="s">
        <v>959</v>
      </c>
      <c r="M1252">
        <v>2.2727272727272698</v>
      </c>
      <c r="N1252" t="s">
        <v>960</v>
      </c>
      <c r="O1252">
        <v>0</v>
      </c>
      <c r="P1252">
        <v>0</v>
      </c>
      <c r="Q1252">
        <v>0</v>
      </c>
      <c r="R1252">
        <v>0</v>
      </c>
    </row>
    <row r="1253" spans="1:18" ht="16" x14ac:dyDescent="0.2">
      <c r="A1253" s="129" t="s">
        <v>3764</v>
      </c>
      <c r="B1253" t="s">
        <v>397</v>
      </c>
      <c r="C1253" t="s">
        <v>3800</v>
      </c>
      <c r="D1253" t="s">
        <v>3801</v>
      </c>
      <c r="E1253" t="s">
        <v>1052</v>
      </c>
      <c r="F1253">
        <v>2</v>
      </c>
      <c r="G1253">
        <v>2</v>
      </c>
      <c r="H1253">
        <v>4.3327827241819197</v>
      </c>
      <c r="I1253" t="s">
        <v>957</v>
      </c>
      <c r="J1253" t="s">
        <v>3871</v>
      </c>
      <c r="K1253">
        <v>0.15</v>
      </c>
      <c r="L1253" t="s">
        <v>959</v>
      </c>
      <c r="M1253">
        <v>1.51515151515152</v>
      </c>
      <c r="N1253" t="s">
        <v>960</v>
      </c>
      <c r="O1253">
        <v>0</v>
      </c>
      <c r="P1253">
        <v>0</v>
      </c>
      <c r="Q1253">
        <v>0</v>
      </c>
      <c r="R1253">
        <v>0</v>
      </c>
    </row>
    <row r="1254" spans="1:18" ht="16" x14ac:dyDescent="0.2">
      <c r="A1254" s="129" t="s">
        <v>3764</v>
      </c>
      <c r="B1254" t="s">
        <v>397</v>
      </c>
      <c r="C1254" t="s">
        <v>2424</v>
      </c>
      <c r="D1254" t="s">
        <v>2425</v>
      </c>
      <c r="E1254">
        <v>4</v>
      </c>
      <c r="F1254">
        <v>4</v>
      </c>
      <c r="G1254">
        <v>1</v>
      </c>
      <c r="H1254">
        <v>4.3117132943200502</v>
      </c>
      <c r="I1254" t="s">
        <v>957</v>
      </c>
      <c r="J1254" t="s">
        <v>3786</v>
      </c>
      <c r="K1254">
        <v>0.16428571428571401</v>
      </c>
      <c r="L1254" t="s">
        <v>959</v>
      </c>
      <c r="M1254">
        <v>3.7878787878787898</v>
      </c>
      <c r="N1254" t="s">
        <v>960</v>
      </c>
      <c r="O1254">
        <v>0</v>
      </c>
      <c r="P1254">
        <v>0</v>
      </c>
      <c r="Q1254">
        <v>0</v>
      </c>
      <c r="R1254">
        <v>0</v>
      </c>
    </row>
    <row r="1255" spans="1:18" ht="16" x14ac:dyDescent="0.2">
      <c r="A1255" s="129" t="s">
        <v>3764</v>
      </c>
      <c r="B1255" t="s">
        <v>401</v>
      </c>
      <c r="C1255" t="s">
        <v>2005</v>
      </c>
      <c r="D1255" t="s">
        <v>2006</v>
      </c>
      <c r="E1255">
        <v>3</v>
      </c>
      <c r="F1255">
        <v>3</v>
      </c>
      <c r="G1255">
        <v>1</v>
      </c>
      <c r="H1255">
        <v>4.3664215014858003</v>
      </c>
      <c r="I1255" t="s">
        <v>957</v>
      </c>
      <c r="J1255" t="s">
        <v>2007</v>
      </c>
      <c r="K1255">
        <v>8.5714285714285701E-2</v>
      </c>
      <c r="L1255" t="s">
        <v>959</v>
      </c>
      <c r="M1255">
        <v>3.0303030303030298</v>
      </c>
      <c r="N1255" t="s">
        <v>960</v>
      </c>
      <c r="O1255">
        <v>0</v>
      </c>
      <c r="P1255">
        <v>0</v>
      </c>
      <c r="Q1255">
        <v>0</v>
      </c>
      <c r="R1255">
        <v>0</v>
      </c>
    </row>
    <row r="1256" spans="1:18" ht="16" x14ac:dyDescent="0.2">
      <c r="A1256" s="129" t="s">
        <v>3764</v>
      </c>
      <c r="B1256" t="s">
        <v>405</v>
      </c>
      <c r="C1256" t="s">
        <v>3367</v>
      </c>
      <c r="D1256" t="s">
        <v>3368</v>
      </c>
      <c r="E1256" t="s">
        <v>1052</v>
      </c>
      <c r="F1256">
        <v>2</v>
      </c>
      <c r="G1256">
        <v>2</v>
      </c>
      <c r="H1256">
        <v>4.3713424822922597</v>
      </c>
      <c r="I1256" t="s">
        <v>957</v>
      </c>
      <c r="J1256" t="s">
        <v>3369</v>
      </c>
      <c r="K1256">
        <v>0.114285714285714</v>
      </c>
      <c r="L1256" t="s">
        <v>959</v>
      </c>
      <c r="M1256">
        <v>3.0303030303030298</v>
      </c>
      <c r="N1256" t="s">
        <v>960</v>
      </c>
      <c r="O1256">
        <v>0</v>
      </c>
      <c r="P1256">
        <v>0</v>
      </c>
      <c r="Q1256">
        <v>0</v>
      </c>
      <c r="R1256">
        <v>0</v>
      </c>
    </row>
    <row r="1257" spans="1:18" ht="16" x14ac:dyDescent="0.2">
      <c r="A1257" s="129" t="s">
        <v>3764</v>
      </c>
      <c r="B1257" t="s">
        <v>422</v>
      </c>
      <c r="C1257" t="s">
        <v>2787</v>
      </c>
      <c r="D1257" t="s">
        <v>2788</v>
      </c>
      <c r="E1257" t="s">
        <v>1052</v>
      </c>
      <c r="F1257">
        <v>2</v>
      </c>
      <c r="G1257">
        <v>2</v>
      </c>
      <c r="H1257">
        <v>4.1804220448631</v>
      </c>
      <c r="I1257" t="s">
        <v>957</v>
      </c>
      <c r="J1257" t="s">
        <v>3878</v>
      </c>
      <c r="K1257">
        <v>7.8571428571428598E-2</v>
      </c>
      <c r="L1257" t="s">
        <v>959</v>
      </c>
      <c r="M1257">
        <v>1.51515151515152</v>
      </c>
      <c r="N1257" t="s">
        <v>960</v>
      </c>
      <c r="O1257">
        <v>0</v>
      </c>
      <c r="P1257">
        <v>0</v>
      </c>
      <c r="Q1257">
        <v>0</v>
      </c>
      <c r="R1257">
        <v>0</v>
      </c>
    </row>
    <row r="1258" spans="1:18" ht="16" x14ac:dyDescent="0.2">
      <c r="A1258" s="129" t="s">
        <v>3764</v>
      </c>
      <c r="B1258" t="s">
        <v>426</v>
      </c>
      <c r="C1258" t="s">
        <v>1641</v>
      </c>
      <c r="D1258" t="s">
        <v>1642</v>
      </c>
      <c r="E1258">
        <v>3</v>
      </c>
      <c r="F1258">
        <v>3</v>
      </c>
      <c r="G1258">
        <v>1</v>
      </c>
      <c r="H1258">
        <v>4.4414474375867199</v>
      </c>
      <c r="I1258" t="s">
        <v>957</v>
      </c>
      <c r="J1258" t="s">
        <v>3799</v>
      </c>
      <c r="K1258">
        <v>7.8571428571428598E-2</v>
      </c>
      <c r="L1258" t="s">
        <v>959</v>
      </c>
      <c r="M1258">
        <v>2.2727272727272698</v>
      </c>
      <c r="N1258" t="s">
        <v>960</v>
      </c>
      <c r="O1258">
        <v>0</v>
      </c>
      <c r="P1258">
        <v>0</v>
      </c>
      <c r="Q1258" t="s">
        <v>5019</v>
      </c>
      <c r="R1258">
        <v>0</v>
      </c>
    </row>
    <row r="1259" spans="1:18" ht="16" x14ac:dyDescent="0.2">
      <c r="A1259" s="129" t="s">
        <v>3764</v>
      </c>
      <c r="B1259" t="s">
        <v>430</v>
      </c>
      <c r="C1259" t="s">
        <v>1013</v>
      </c>
      <c r="D1259" t="s">
        <v>1014</v>
      </c>
      <c r="E1259" t="s">
        <v>1052</v>
      </c>
      <c r="F1259">
        <v>2</v>
      </c>
      <c r="G1259">
        <v>2</v>
      </c>
      <c r="H1259">
        <v>4.4007601216585099</v>
      </c>
      <c r="I1259" t="s">
        <v>957</v>
      </c>
      <c r="J1259" t="s">
        <v>2266</v>
      </c>
      <c r="K1259">
        <v>7.1428571428571397E-2</v>
      </c>
      <c r="L1259" t="s">
        <v>959</v>
      </c>
      <c r="M1259">
        <v>2.2727272727272698</v>
      </c>
      <c r="N1259" t="s">
        <v>960</v>
      </c>
      <c r="O1259">
        <v>0</v>
      </c>
      <c r="P1259">
        <v>0</v>
      </c>
      <c r="Q1259" t="s">
        <v>5019</v>
      </c>
      <c r="R1259">
        <v>0</v>
      </c>
    </row>
    <row r="1260" spans="1:18" ht="16" x14ac:dyDescent="0.2">
      <c r="A1260" s="129" t="s">
        <v>3764</v>
      </c>
      <c r="B1260" t="s">
        <v>430</v>
      </c>
      <c r="C1260" t="s">
        <v>2485</v>
      </c>
      <c r="D1260" t="s">
        <v>2486</v>
      </c>
      <c r="E1260">
        <v>5</v>
      </c>
      <c r="F1260">
        <v>5</v>
      </c>
      <c r="G1260">
        <v>1</v>
      </c>
      <c r="H1260">
        <v>4.4686006691071301</v>
      </c>
      <c r="I1260" t="s">
        <v>957</v>
      </c>
      <c r="J1260" t="s">
        <v>3890</v>
      </c>
      <c r="K1260">
        <v>7.8571428571428598E-2</v>
      </c>
      <c r="L1260" t="s">
        <v>959</v>
      </c>
      <c r="M1260">
        <v>2.2727272727272698</v>
      </c>
      <c r="N1260" t="s">
        <v>960</v>
      </c>
      <c r="O1260">
        <v>0</v>
      </c>
      <c r="P1260">
        <v>0</v>
      </c>
      <c r="Q1260" t="s">
        <v>5019</v>
      </c>
      <c r="R1260">
        <v>0</v>
      </c>
    </row>
    <row r="1261" spans="1:18" ht="16" x14ac:dyDescent="0.2">
      <c r="A1261" s="129" t="s">
        <v>3764</v>
      </c>
      <c r="B1261" t="s">
        <v>430</v>
      </c>
      <c r="C1261" t="s">
        <v>3217</v>
      </c>
      <c r="D1261" t="s">
        <v>3218</v>
      </c>
      <c r="E1261" t="s">
        <v>1230</v>
      </c>
      <c r="F1261">
        <v>4</v>
      </c>
      <c r="G1261">
        <v>2</v>
      </c>
      <c r="H1261">
        <v>4.2545312459025899</v>
      </c>
      <c r="I1261" t="s">
        <v>957</v>
      </c>
      <c r="J1261" t="s">
        <v>3810</v>
      </c>
      <c r="K1261">
        <v>0.16428571428571401</v>
      </c>
      <c r="L1261" t="s">
        <v>959</v>
      </c>
      <c r="M1261">
        <v>3.0303030303030298</v>
      </c>
      <c r="N1261" t="s">
        <v>960</v>
      </c>
      <c r="O1261">
        <v>0</v>
      </c>
      <c r="P1261">
        <v>0</v>
      </c>
      <c r="Q1261" t="s">
        <v>5019</v>
      </c>
      <c r="R1261">
        <v>0</v>
      </c>
    </row>
    <row r="1262" spans="1:18" ht="16" x14ac:dyDescent="0.2">
      <c r="A1262" s="129" t="s">
        <v>3764</v>
      </c>
      <c r="B1262" t="s">
        <v>442</v>
      </c>
      <c r="C1262" t="s">
        <v>3771</v>
      </c>
      <c r="D1262" t="s">
        <v>3772</v>
      </c>
      <c r="E1262" t="s">
        <v>966</v>
      </c>
      <c r="F1262">
        <v>3</v>
      </c>
      <c r="G1262">
        <v>3</v>
      </c>
      <c r="H1262">
        <v>4.50007759418975</v>
      </c>
      <c r="I1262" t="s">
        <v>957</v>
      </c>
      <c r="J1262" t="s">
        <v>3773</v>
      </c>
      <c r="K1262">
        <v>0.192857142857143</v>
      </c>
      <c r="L1262" t="s">
        <v>959</v>
      </c>
      <c r="M1262">
        <v>0.75757575757575801</v>
      </c>
      <c r="N1262" t="s">
        <v>960</v>
      </c>
      <c r="O1262">
        <v>0</v>
      </c>
      <c r="P1262">
        <v>0</v>
      </c>
      <c r="Q1262">
        <v>0</v>
      </c>
      <c r="R1262">
        <v>0</v>
      </c>
    </row>
    <row r="1263" spans="1:18" ht="16" x14ac:dyDescent="0.2">
      <c r="A1263" s="129" t="s">
        <v>3764</v>
      </c>
      <c r="B1263" t="s">
        <v>450</v>
      </c>
      <c r="C1263" t="s">
        <v>3774</v>
      </c>
      <c r="D1263" t="s">
        <v>3775</v>
      </c>
      <c r="E1263">
        <v>3</v>
      </c>
      <c r="F1263">
        <v>3</v>
      </c>
      <c r="G1263">
        <v>1</v>
      </c>
      <c r="H1263">
        <v>4.4735563571173396</v>
      </c>
      <c r="I1263" t="s">
        <v>957</v>
      </c>
      <c r="J1263" t="s">
        <v>3776</v>
      </c>
      <c r="K1263">
        <v>0.1</v>
      </c>
      <c r="L1263" t="s">
        <v>959</v>
      </c>
      <c r="M1263">
        <v>1.51515151515152</v>
      </c>
      <c r="N1263" t="s">
        <v>960</v>
      </c>
      <c r="O1263">
        <v>0</v>
      </c>
      <c r="P1263">
        <v>0</v>
      </c>
      <c r="Q1263">
        <v>0</v>
      </c>
      <c r="R1263">
        <v>0</v>
      </c>
    </row>
    <row r="1264" spans="1:18" ht="16" x14ac:dyDescent="0.2">
      <c r="A1264" s="129" t="s">
        <v>3764</v>
      </c>
      <c r="B1264" t="s">
        <v>462</v>
      </c>
      <c r="C1264" t="s">
        <v>2077</v>
      </c>
      <c r="D1264" t="s">
        <v>2078</v>
      </c>
      <c r="E1264" t="s">
        <v>1039</v>
      </c>
      <c r="F1264">
        <v>3</v>
      </c>
      <c r="G1264">
        <v>2</v>
      </c>
      <c r="H1264">
        <v>4.4674175324106304</v>
      </c>
      <c r="I1264" t="s">
        <v>957</v>
      </c>
      <c r="J1264" t="s">
        <v>3825</v>
      </c>
      <c r="K1264">
        <v>8.5714285714285701E-2</v>
      </c>
      <c r="L1264" t="s">
        <v>959</v>
      </c>
      <c r="M1264">
        <v>3.0303030303030298</v>
      </c>
      <c r="N1264" t="s">
        <v>960</v>
      </c>
      <c r="O1264">
        <v>0</v>
      </c>
      <c r="P1264">
        <v>0</v>
      </c>
      <c r="Q1264">
        <v>0</v>
      </c>
      <c r="R1264">
        <v>0</v>
      </c>
    </row>
    <row r="1265" spans="1:18" ht="16" x14ac:dyDescent="0.2">
      <c r="A1265" s="129" t="s">
        <v>3764</v>
      </c>
      <c r="B1265" t="s">
        <v>466</v>
      </c>
      <c r="C1265" t="s">
        <v>3830</v>
      </c>
      <c r="D1265" t="s">
        <v>3831</v>
      </c>
      <c r="E1265" t="s">
        <v>1432</v>
      </c>
      <c r="F1265">
        <v>6</v>
      </c>
      <c r="G1265">
        <v>2</v>
      </c>
      <c r="H1265">
        <v>4.4271182700785001</v>
      </c>
      <c r="I1265" t="s">
        <v>957</v>
      </c>
      <c r="J1265" t="s">
        <v>3832</v>
      </c>
      <c r="K1265">
        <v>0.17142857142857101</v>
      </c>
      <c r="L1265" t="s">
        <v>959</v>
      </c>
      <c r="M1265">
        <v>0.75757575757575801</v>
      </c>
      <c r="N1265" t="s">
        <v>960</v>
      </c>
      <c r="O1265">
        <v>0</v>
      </c>
      <c r="P1265">
        <v>0</v>
      </c>
      <c r="Q1265">
        <v>0</v>
      </c>
      <c r="R1265">
        <v>0</v>
      </c>
    </row>
    <row r="1266" spans="1:18" ht="16" x14ac:dyDescent="0.2">
      <c r="A1266" s="129" t="s">
        <v>3764</v>
      </c>
      <c r="B1266" t="s">
        <v>470</v>
      </c>
      <c r="C1266" t="s">
        <v>2105</v>
      </c>
      <c r="D1266" t="s">
        <v>2106</v>
      </c>
      <c r="E1266" t="s">
        <v>1230</v>
      </c>
      <c r="F1266">
        <v>4</v>
      </c>
      <c r="G1266">
        <v>2</v>
      </c>
      <c r="H1266">
        <v>4.15390236587732</v>
      </c>
      <c r="I1266" t="s">
        <v>957</v>
      </c>
      <c r="J1266" t="s">
        <v>3833</v>
      </c>
      <c r="K1266">
        <v>0.13571428571428601</v>
      </c>
      <c r="L1266" t="s">
        <v>959</v>
      </c>
      <c r="M1266">
        <v>3.7878787878787898</v>
      </c>
      <c r="N1266" t="s">
        <v>960</v>
      </c>
      <c r="O1266">
        <v>0</v>
      </c>
      <c r="P1266">
        <v>0</v>
      </c>
      <c r="Q1266">
        <v>0</v>
      </c>
      <c r="R1266">
        <v>0</v>
      </c>
    </row>
    <row r="1267" spans="1:18" ht="16" x14ac:dyDescent="0.2">
      <c r="A1267" s="129" t="s">
        <v>3764</v>
      </c>
      <c r="B1267" t="s">
        <v>470</v>
      </c>
      <c r="C1267" t="s">
        <v>3360</v>
      </c>
      <c r="D1267" t="s">
        <v>3361</v>
      </c>
      <c r="E1267" t="s">
        <v>1039</v>
      </c>
      <c r="F1267">
        <v>3</v>
      </c>
      <c r="G1267">
        <v>2</v>
      </c>
      <c r="H1267">
        <v>4.37438977613205</v>
      </c>
      <c r="I1267" t="s">
        <v>957</v>
      </c>
      <c r="J1267" t="s">
        <v>3821</v>
      </c>
      <c r="K1267">
        <v>0.1</v>
      </c>
      <c r="L1267" t="s">
        <v>959</v>
      </c>
      <c r="M1267">
        <v>1.51515151515152</v>
      </c>
      <c r="N1267" t="s">
        <v>960</v>
      </c>
      <c r="O1267">
        <v>0</v>
      </c>
      <c r="P1267">
        <v>0</v>
      </c>
      <c r="Q1267">
        <v>0</v>
      </c>
      <c r="R1267">
        <v>0</v>
      </c>
    </row>
    <row r="1268" spans="1:18" ht="16" x14ac:dyDescent="0.2">
      <c r="A1268" s="129" t="s">
        <v>3764</v>
      </c>
      <c r="B1268" t="s">
        <v>470</v>
      </c>
      <c r="C1268" t="s">
        <v>3781</v>
      </c>
      <c r="D1268" t="s">
        <v>3782</v>
      </c>
      <c r="E1268" t="s">
        <v>1840</v>
      </c>
      <c r="F1268">
        <v>5</v>
      </c>
      <c r="G1268">
        <v>3</v>
      </c>
      <c r="H1268">
        <v>4.27988912034417</v>
      </c>
      <c r="I1268" t="s">
        <v>957</v>
      </c>
      <c r="J1268" t="s">
        <v>3783</v>
      </c>
      <c r="K1268">
        <v>0.221428571428571</v>
      </c>
      <c r="L1268" t="s">
        <v>959</v>
      </c>
      <c r="M1268">
        <v>3.0303030303030298</v>
      </c>
      <c r="N1268" t="s">
        <v>960</v>
      </c>
      <c r="O1268">
        <v>0</v>
      </c>
      <c r="P1268">
        <v>0</v>
      </c>
      <c r="Q1268">
        <v>0</v>
      </c>
      <c r="R1268">
        <v>0</v>
      </c>
    </row>
    <row r="1269" spans="1:18" ht="16" x14ac:dyDescent="0.2">
      <c r="A1269" s="129" t="s">
        <v>3764</v>
      </c>
      <c r="B1269" t="s">
        <v>470</v>
      </c>
      <c r="C1269" t="s">
        <v>3217</v>
      </c>
      <c r="D1269" t="s">
        <v>3218</v>
      </c>
      <c r="E1269" t="s">
        <v>1102</v>
      </c>
      <c r="F1269">
        <v>4</v>
      </c>
      <c r="G1269">
        <v>2</v>
      </c>
      <c r="H1269">
        <v>4.2545312459025899</v>
      </c>
      <c r="I1269" t="s">
        <v>957</v>
      </c>
      <c r="J1269" t="s">
        <v>3796</v>
      </c>
      <c r="K1269">
        <v>0.16428571428571401</v>
      </c>
      <c r="L1269" t="s">
        <v>959</v>
      </c>
      <c r="M1269">
        <v>3.0303030303030298</v>
      </c>
      <c r="N1269" t="s">
        <v>960</v>
      </c>
      <c r="O1269">
        <v>0</v>
      </c>
      <c r="P1269">
        <v>0</v>
      </c>
      <c r="Q1269">
        <v>0</v>
      </c>
      <c r="R1269">
        <v>0</v>
      </c>
    </row>
    <row r="1270" spans="1:18" ht="16" x14ac:dyDescent="0.2">
      <c r="A1270" s="129" t="s">
        <v>3764</v>
      </c>
      <c r="B1270" t="s">
        <v>470</v>
      </c>
      <c r="C1270" t="s">
        <v>1611</v>
      </c>
      <c r="D1270" t="s">
        <v>1612</v>
      </c>
      <c r="E1270" t="s">
        <v>1692</v>
      </c>
      <c r="F1270">
        <v>5</v>
      </c>
      <c r="G1270">
        <v>2</v>
      </c>
      <c r="H1270">
        <v>4.5023964925581801</v>
      </c>
      <c r="I1270" t="s">
        <v>957</v>
      </c>
      <c r="J1270" t="s">
        <v>3848</v>
      </c>
      <c r="K1270">
        <v>0.114285714285714</v>
      </c>
      <c r="L1270" t="s">
        <v>959</v>
      </c>
      <c r="M1270">
        <v>2.2727272727272698</v>
      </c>
      <c r="N1270" t="s">
        <v>960</v>
      </c>
      <c r="O1270">
        <v>0</v>
      </c>
      <c r="P1270">
        <v>0</v>
      </c>
      <c r="Q1270">
        <v>0</v>
      </c>
      <c r="R1270">
        <v>0</v>
      </c>
    </row>
    <row r="1271" spans="1:18" ht="16" x14ac:dyDescent="0.2">
      <c r="A1271" s="129" t="s">
        <v>3764</v>
      </c>
      <c r="B1271" t="s">
        <v>470</v>
      </c>
      <c r="C1271" t="s">
        <v>1944</v>
      </c>
      <c r="D1271" t="s">
        <v>1945</v>
      </c>
      <c r="E1271" t="s">
        <v>1102</v>
      </c>
      <c r="F1271">
        <v>4</v>
      </c>
      <c r="G1271">
        <v>2</v>
      </c>
      <c r="H1271">
        <v>4.4911717294515396</v>
      </c>
      <c r="I1271" t="s">
        <v>957</v>
      </c>
      <c r="J1271" t="s">
        <v>3872</v>
      </c>
      <c r="K1271">
        <v>0.15</v>
      </c>
      <c r="L1271" t="s">
        <v>959</v>
      </c>
      <c r="M1271">
        <v>2.2727272727272698</v>
      </c>
      <c r="N1271" t="s">
        <v>960</v>
      </c>
      <c r="O1271">
        <v>0</v>
      </c>
      <c r="P1271">
        <v>0</v>
      </c>
      <c r="Q1271">
        <v>0</v>
      </c>
      <c r="R1271">
        <v>0</v>
      </c>
    </row>
    <row r="1272" spans="1:18" ht="16" x14ac:dyDescent="0.2">
      <c r="A1272" s="129" t="s">
        <v>3764</v>
      </c>
      <c r="B1272" t="s">
        <v>478</v>
      </c>
      <c r="C1272" t="s">
        <v>2855</v>
      </c>
      <c r="D1272" t="s">
        <v>2856</v>
      </c>
      <c r="E1272" t="s">
        <v>1102</v>
      </c>
      <c r="F1272">
        <v>4</v>
      </c>
      <c r="G1272">
        <v>2</v>
      </c>
      <c r="H1272">
        <v>4.4721359549995796</v>
      </c>
      <c r="I1272" t="s">
        <v>957</v>
      </c>
      <c r="J1272" t="s">
        <v>3840</v>
      </c>
      <c r="K1272">
        <v>0.107142857142857</v>
      </c>
      <c r="L1272" t="s">
        <v>959</v>
      </c>
      <c r="M1272">
        <v>1.51515151515152</v>
      </c>
      <c r="N1272" t="s">
        <v>960</v>
      </c>
      <c r="O1272">
        <v>0</v>
      </c>
      <c r="P1272">
        <v>0</v>
      </c>
      <c r="Q1272">
        <v>0</v>
      </c>
      <c r="R1272">
        <v>0</v>
      </c>
    </row>
    <row r="1273" spans="1:18" ht="16" x14ac:dyDescent="0.2">
      <c r="A1273" s="129" t="s">
        <v>3764</v>
      </c>
      <c r="B1273" t="s">
        <v>478</v>
      </c>
      <c r="C1273" t="s">
        <v>1992</v>
      </c>
      <c r="D1273" t="s">
        <v>1993</v>
      </c>
      <c r="E1273">
        <v>3</v>
      </c>
      <c r="F1273">
        <v>3</v>
      </c>
      <c r="G1273">
        <v>1</v>
      </c>
      <c r="H1273">
        <v>4.1751890263563904</v>
      </c>
      <c r="I1273" t="s">
        <v>957</v>
      </c>
      <c r="J1273" t="s">
        <v>3815</v>
      </c>
      <c r="K1273">
        <v>0.16428571428571401</v>
      </c>
      <c r="L1273" t="s">
        <v>959</v>
      </c>
      <c r="M1273">
        <v>1.51515151515152</v>
      </c>
      <c r="N1273" t="s">
        <v>960</v>
      </c>
      <c r="O1273">
        <v>0</v>
      </c>
      <c r="P1273">
        <v>0</v>
      </c>
      <c r="Q1273">
        <v>0</v>
      </c>
      <c r="R1273">
        <v>0</v>
      </c>
    </row>
    <row r="1274" spans="1:18" ht="16" x14ac:dyDescent="0.2">
      <c r="A1274" s="129" t="s">
        <v>3764</v>
      </c>
      <c r="B1274" t="s">
        <v>482</v>
      </c>
      <c r="C1274" t="s">
        <v>2005</v>
      </c>
      <c r="D1274" t="s">
        <v>2006</v>
      </c>
      <c r="E1274">
        <v>3</v>
      </c>
      <c r="F1274">
        <v>3</v>
      </c>
      <c r="G1274">
        <v>1</v>
      </c>
      <c r="H1274">
        <v>4.3664215014858003</v>
      </c>
      <c r="I1274" t="s">
        <v>957</v>
      </c>
      <c r="J1274" t="s">
        <v>3807</v>
      </c>
      <c r="K1274">
        <v>8.5714285714285701E-2</v>
      </c>
      <c r="L1274" t="s">
        <v>959</v>
      </c>
      <c r="M1274">
        <v>3.0303030303030298</v>
      </c>
      <c r="N1274" t="s">
        <v>960</v>
      </c>
      <c r="O1274">
        <v>0</v>
      </c>
      <c r="P1274">
        <v>0</v>
      </c>
      <c r="Q1274">
        <v>0</v>
      </c>
      <c r="R1274">
        <v>0</v>
      </c>
    </row>
    <row r="1275" spans="1:18" ht="16" x14ac:dyDescent="0.2">
      <c r="A1275" s="129" t="s">
        <v>3764</v>
      </c>
      <c r="B1275" t="s">
        <v>482</v>
      </c>
      <c r="C1275" t="s">
        <v>2319</v>
      </c>
      <c r="D1275" t="s">
        <v>2320</v>
      </c>
      <c r="E1275">
        <v>4</v>
      </c>
      <c r="F1275">
        <v>4</v>
      </c>
      <c r="G1275">
        <v>1</v>
      </c>
      <c r="H1275">
        <v>4.1657319377976396</v>
      </c>
      <c r="I1275" t="s">
        <v>957</v>
      </c>
      <c r="J1275" t="s">
        <v>3888</v>
      </c>
      <c r="K1275">
        <v>0.157142857142857</v>
      </c>
      <c r="L1275" t="s">
        <v>959</v>
      </c>
      <c r="M1275">
        <v>1.51515151515152</v>
      </c>
      <c r="N1275" t="s">
        <v>960</v>
      </c>
      <c r="O1275">
        <v>0</v>
      </c>
      <c r="P1275">
        <v>0</v>
      </c>
      <c r="Q1275">
        <v>0</v>
      </c>
      <c r="R1275">
        <v>0</v>
      </c>
    </row>
    <row r="1276" spans="1:18" ht="16" x14ac:dyDescent="0.2">
      <c r="A1276" s="129" t="s">
        <v>3764</v>
      </c>
      <c r="B1276" t="s">
        <v>486</v>
      </c>
      <c r="C1276" t="s">
        <v>3800</v>
      </c>
      <c r="D1276" t="s">
        <v>3801</v>
      </c>
      <c r="E1276" t="s">
        <v>1052</v>
      </c>
      <c r="F1276">
        <v>2</v>
      </c>
      <c r="G1276">
        <v>2</v>
      </c>
      <c r="H1276">
        <v>4.3327827241819197</v>
      </c>
      <c r="I1276" t="s">
        <v>957</v>
      </c>
      <c r="J1276" t="s">
        <v>3802</v>
      </c>
      <c r="K1276">
        <v>0.15</v>
      </c>
      <c r="L1276" t="s">
        <v>959</v>
      </c>
      <c r="M1276">
        <v>1.51515151515152</v>
      </c>
      <c r="N1276" t="s">
        <v>960</v>
      </c>
      <c r="O1276">
        <v>0</v>
      </c>
      <c r="P1276">
        <v>0</v>
      </c>
      <c r="Q1276">
        <v>0</v>
      </c>
      <c r="R1276">
        <v>0</v>
      </c>
    </row>
    <row r="1277" spans="1:18" ht="16" x14ac:dyDescent="0.2">
      <c r="A1277" s="129" t="s">
        <v>3764</v>
      </c>
      <c r="B1277" t="s">
        <v>490</v>
      </c>
      <c r="C1277" t="s">
        <v>1251</v>
      </c>
      <c r="D1277" t="s">
        <v>1252</v>
      </c>
      <c r="E1277" t="s">
        <v>1609</v>
      </c>
      <c r="F1277">
        <v>5</v>
      </c>
      <c r="G1277">
        <v>3</v>
      </c>
      <c r="H1277">
        <v>4.2370138228795602</v>
      </c>
      <c r="I1277" t="s">
        <v>957</v>
      </c>
      <c r="J1277" t="s">
        <v>3889</v>
      </c>
      <c r="K1277">
        <v>0.13571428571428601</v>
      </c>
      <c r="L1277" t="s">
        <v>959</v>
      </c>
      <c r="M1277">
        <v>3.7878787878787898</v>
      </c>
      <c r="N1277" t="s">
        <v>960</v>
      </c>
      <c r="O1277">
        <v>0</v>
      </c>
      <c r="P1277">
        <v>0</v>
      </c>
      <c r="Q1277">
        <v>0</v>
      </c>
      <c r="R1277">
        <v>0</v>
      </c>
    </row>
    <row r="1278" spans="1:18" ht="16" x14ac:dyDescent="0.2">
      <c r="A1278" s="129" t="s">
        <v>3764</v>
      </c>
      <c r="B1278" t="s">
        <v>490</v>
      </c>
      <c r="C1278" t="s">
        <v>2424</v>
      </c>
      <c r="D1278" t="s">
        <v>2425</v>
      </c>
      <c r="E1278">
        <v>4</v>
      </c>
      <c r="F1278">
        <v>4</v>
      </c>
      <c r="G1278">
        <v>1</v>
      </c>
      <c r="H1278">
        <v>4.3117132943200502</v>
      </c>
      <c r="I1278" t="s">
        <v>957</v>
      </c>
      <c r="J1278" t="s">
        <v>3808</v>
      </c>
      <c r="K1278">
        <v>0.16428571428571401</v>
      </c>
      <c r="L1278" t="s">
        <v>959</v>
      </c>
      <c r="M1278">
        <v>3.7878787878787898</v>
      </c>
      <c r="N1278" t="s">
        <v>960</v>
      </c>
      <c r="O1278">
        <v>0</v>
      </c>
      <c r="P1278">
        <v>0</v>
      </c>
      <c r="Q1278">
        <v>0</v>
      </c>
      <c r="R1278">
        <v>0</v>
      </c>
    </row>
    <row r="1279" spans="1:18" ht="16" x14ac:dyDescent="0.2">
      <c r="A1279" s="129" t="s">
        <v>3764</v>
      </c>
      <c r="B1279" t="s">
        <v>490</v>
      </c>
      <c r="C1279" t="s">
        <v>2419</v>
      </c>
      <c r="D1279" t="s">
        <v>2420</v>
      </c>
      <c r="E1279">
        <v>4</v>
      </c>
      <c r="F1279">
        <v>4</v>
      </c>
      <c r="G1279">
        <v>1</v>
      </c>
      <c r="H1279">
        <v>4.4348805213649101</v>
      </c>
      <c r="I1279" t="s">
        <v>957</v>
      </c>
      <c r="J1279" t="s">
        <v>3856</v>
      </c>
      <c r="K1279">
        <v>0.17857142857142899</v>
      </c>
      <c r="L1279" t="s">
        <v>959</v>
      </c>
      <c r="M1279">
        <v>2.2727272727272698</v>
      </c>
      <c r="N1279" t="s">
        <v>987</v>
      </c>
      <c r="O1279">
        <v>0</v>
      </c>
      <c r="P1279">
        <v>0</v>
      </c>
      <c r="Q1279">
        <v>0</v>
      </c>
      <c r="R1279">
        <v>0</v>
      </c>
    </row>
    <row r="1280" spans="1:18" ht="16" x14ac:dyDescent="0.2">
      <c r="A1280" s="129" t="s">
        <v>3764</v>
      </c>
      <c r="B1280" t="s">
        <v>494</v>
      </c>
      <c r="C1280" t="s">
        <v>90</v>
      </c>
      <c r="D1280" t="s">
        <v>3612</v>
      </c>
      <c r="E1280">
        <v>3</v>
      </c>
      <c r="F1280">
        <v>3</v>
      </c>
      <c r="G1280">
        <v>1</v>
      </c>
      <c r="H1280">
        <v>4.2182841391531198</v>
      </c>
      <c r="I1280" t="s">
        <v>957</v>
      </c>
      <c r="J1280" t="s">
        <v>3835</v>
      </c>
      <c r="K1280">
        <v>3.5714285714285698E-2</v>
      </c>
      <c r="L1280" t="s">
        <v>959</v>
      </c>
      <c r="M1280">
        <v>2.2727272727272698</v>
      </c>
      <c r="N1280" t="s">
        <v>960</v>
      </c>
      <c r="O1280">
        <v>0</v>
      </c>
      <c r="P1280">
        <v>0</v>
      </c>
      <c r="Q1280">
        <v>0</v>
      </c>
      <c r="R1280">
        <v>0</v>
      </c>
    </row>
    <row r="1281" spans="1:18" ht="16" x14ac:dyDescent="0.2">
      <c r="A1281" s="129" t="s">
        <v>3764</v>
      </c>
      <c r="B1281" t="s">
        <v>494</v>
      </c>
      <c r="C1281" t="s">
        <v>3000</v>
      </c>
      <c r="D1281" t="s">
        <v>3001</v>
      </c>
      <c r="E1281">
        <v>3</v>
      </c>
      <c r="F1281">
        <v>3</v>
      </c>
      <c r="G1281">
        <v>1</v>
      </c>
      <c r="H1281">
        <v>4.4418387102551797</v>
      </c>
      <c r="I1281" t="s">
        <v>957</v>
      </c>
      <c r="J1281" t="s">
        <v>3891</v>
      </c>
      <c r="K1281">
        <v>9.2857142857142902E-2</v>
      </c>
      <c r="L1281" t="s">
        <v>959</v>
      </c>
      <c r="M1281">
        <v>2.2727272727272698</v>
      </c>
      <c r="N1281" t="s">
        <v>960</v>
      </c>
      <c r="O1281">
        <v>0</v>
      </c>
      <c r="P1281">
        <v>0</v>
      </c>
      <c r="Q1281">
        <v>0</v>
      </c>
      <c r="R1281">
        <v>0</v>
      </c>
    </row>
    <row r="1282" spans="1:18" ht="16" x14ac:dyDescent="0.2">
      <c r="A1282" s="129" t="s">
        <v>3764</v>
      </c>
      <c r="B1282" t="s">
        <v>498</v>
      </c>
      <c r="C1282" t="s">
        <v>3367</v>
      </c>
      <c r="D1282" t="s">
        <v>3368</v>
      </c>
      <c r="E1282" t="s">
        <v>1022</v>
      </c>
      <c r="F1282">
        <v>3</v>
      </c>
      <c r="G1282">
        <v>2</v>
      </c>
      <c r="H1282">
        <v>4.3713424822922597</v>
      </c>
      <c r="I1282" t="s">
        <v>957</v>
      </c>
      <c r="J1282" t="s">
        <v>3514</v>
      </c>
      <c r="K1282">
        <v>0.114285714285714</v>
      </c>
      <c r="L1282" t="s">
        <v>959</v>
      </c>
      <c r="M1282">
        <v>3.0303030303030298</v>
      </c>
      <c r="N1282" t="s">
        <v>960</v>
      </c>
      <c r="O1282">
        <v>0</v>
      </c>
      <c r="P1282">
        <v>0</v>
      </c>
      <c r="Q1282">
        <v>0</v>
      </c>
      <c r="R1282">
        <v>0</v>
      </c>
    </row>
    <row r="1283" spans="1:18" ht="16" x14ac:dyDescent="0.2">
      <c r="A1283" s="129" t="s">
        <v>3764</v>
      </c>
      <c r="B1283" t="s">
        <v>510</v>
      </c>
      <c r="C1283" t="s">
        <v>2724</v>
      </c>
      <c r="D1283" t="s">
        <v>2725</v>
      </c>
      <c r="E1283" t="s">
        <v>1039</v>
      </c>
      <c r="F1283">
        <v>3</v>
      </c>
      <c r="G1283">
        <v>2</v>
      </c>
      <c r="H1283">
        <v>4.2070152658520703</v>
      </c>
      <c r="I1283" t="s">
        <v>957</v>
      </c>
      <c r="J1283" t="s">
        <v>3865</v>
      </c>
      <c r="K1283">
        <v>0.128571428571429</v>
      </c>
      <c r="L1283" t="s">
        <v>959</v>
      </c>
      <c r="M1283">
        <v>2.2727272727272698</v>
      </c>
      <c r="N1283" t="s">
        <v>960</v>
      </c>
      <c r="O1283">
        <v>0</v>
      </c>
      <c r="P1283">
        <v>0</v>
      </c>
      <c r="Q1283">
        <v>0</v>
      </c>
      <c r="R1283">
        <v>0</v>
      </c>
    </row>
    <row r="1284" spans="1:18" ht="16" x14ac:dyDescent="0.2">
      <c r="A1284" s="129" t="s">
        <v>3764</v>
      </c>
      <c r="B1284" t="s">
        <v>514</v>
      </c>
      <c r="C1284" t="s">
        <v>3852</v>
      </c>
      <c r="D1284" t="s">
        <v>3853</v>
      </c>
      <c r="E1284">
        <v>3</v>
      </c>
      <c r="F1284">
        <v>3</v>
      </c>
      <c r="G1284">
        <v>1</v>
      </c>
      <c r="H1284">
        <v>4.5239506502191098</v>
      </c>
      <c r="I1284" t="s">
        <v>957</v>
      </c>
      <c r="J1284" t="s">
        <v>3854</v>
      </c>
      <c r="K1284">
        <v>8.5714285714285701E-2</v>
      </c>
      <c r="L1284" t="s">
        <v>959</v>
      </c>
      <c r="M1284">
        <v>1.51515151515152</v>
      </c>
      <c r="N1284" t="s">
        <v>960</v>
      </c>
      <c r="O1284">
        <v>0</v>
      </c>
      <c r="P1284">
        <v>0</v>
      </c>
      <c r="Q1284">
        <v>0</v>
      </c>
      <c r="R1284">
        <v>0</v>
      </c>
    </row>
    <row r="1285" spans="1:18" ht="16" x14ac:dyDescent="0.2">
      <c r="A1285" s="129" t="s">
        <v>3764</v>
      </c>
      <c r="B1285" t="s">
        <v>514</v>
      </c>
      <c r="C1285" t="s">
        <v>1179</v>
      </c>
      <c r="D1285" t="s">
        <v>3892</v>
      </c>
      <c r="E1285">
        <v>5</v>
      </c>
      <c r="F1285">
        <v>5</v>
      </c>
      <c r="G1285">
        <v>1</v>
      </c>
      <c r="H1285">
        <v>4.1329819136958097</v>
      </c>
      <c r="I1285" t="s">
        <v>957</v>
      </c>
      <c r="J1285" t="s">
        <v>3893</v>
      </c>
      <c r="K1285">
        <v>2.8571428571428598E-2</v>
      </c>
      <c r="L1285" t="s">
        <v>959</v>
      </c>
      <c r="M1285">
        <v>2.2727272727272698</v>
      </c>
      <c r="N1285" t="s">
        <v>960</v>
      </c>
      <c r="O1285">
        <v>0</v>
      </c>
      <c r="P1285" t="s">
        <v>5018</v>
      </c>
      <c r="Q1285">
        <v>0</v>
      </c>
      <c r="R1285">
        <v>0</v>
      </c>
    </row>
    <row r="1286" spans="1:18" ht="16" x14ac:dyDescent="0.2">
      <c r="A1286" s="129" t="s">
        <v>3764</v>
      </c>
      <c r="B1286" t="s">
        <v>514</v>
      </c>
      <c r="C1286" t="s">
        <v>2754</v>
      </c>
      <c r="D1286" t="s">
        <v>2755</v>
      </c>
      <c r="E1286">
        <v>3</v>
      </c>
      <c r="F1286">
        <v>3</v>
      </c>
      <c r="G1286">
        <v>1</v>
      </c>
      <c r="H1286">
        <v>4.39308424562849</v>
      </c>
      <c r="I1286" t="s">
        <v>957</v>
      </c>
      <c r="J1286" t="s">
        <v>2933</v>
      </c>
      <c r="K1286">
        <v>3.5714285714285698E-2</v>
      </c>
      <c r="L1286" t="s">
        <v>959</v>
      </c>
      <c r="M1286">
        <v>2.2727272727272698</v>
      </c>
      <c r="N1286" t="s">
        <v>960</v>
      </c>
      <c r="O1286">
        <v>0</v>
      </c>
      <c r="P1286">
        <v>0</v>
      </c>
      <c r="Q1286">
        <v>0</v>
      </c>
      <c r="R1286">
        <v>0</v>
      </c>
    </row>
    <row r="1287" spans="1:18" ht="16" x14ac:dyDescent="0.2">
      <c r="A1287" s="129" t="s">
        <v>3764</v>
      </c>
      <c r="B1287" t="s">
        <v>518</v>
      </c>
      <c r="C1287" t="s">
        <v>2976</v>
      </c>
      <c r="D1287" t="s">
        <v>2977</v>
      </c>
      <c r="E1287" t="s">
        <v>1102</v>
      </c>
      <c r="F1287">
        <v>4</v>
      </c>
      <c r="G1287">
        <v>2</v>
      </c>
      <c r="H1287">
        <v>4.3174061098597099</v>
      </c>
      <c r="I1287" t="s">
        <v>957</v>
      </c>
      <c r="J1287" t="s">
        <v>3798</v>
      </c>
      <c r="K1287">
        <v>2.1428571428571401E-2</v>
      </c>
      <c r="L1287" t="s">
        <v>959</v>
      </c>
      <c r="M1287">
        <v>1.51515151515152</v>
      </c>
      <c r="N1287" t="s">
        <v>960</v>
      </c>
      <c r="O1287" t="s">
        <v>5017</v>
      </c>
      <c r="P1287">
        <v>0</v>
      </c>
      <c r="Q1287">
        <v>0</v>
      </c>
      <c r="R1287">
        <v>0</v>
      </c>
    </row>
    <row r="1288" spans="1:18" ht="16" x14ac:dyDescent="0.2">
      <c r="A1288" s="129" t="s">
        <v>3764</v>
      </c>
      <c r="B1288" t="s">
        <v>522</v>
      </c>
      <c r="C1288" t="s">
        <v>1724</v>
      </c>
      <c r="D1288" t="s">
        <v>1725</v>
      </c>
      <c r="E1288">
        <v>4</v>
      </c>
      <c r="F1288">
        <v>4</v>
      </c>
      <c r="G1288">
        <v>1</v>
      </c>
      <c r="H1288">
        <v>4.2333618598218603</v>
      </c>
      <c r="I1288" t="s">
        <v>957</v>
      </c>
      <c r="J1288" t="s">
        <v>3851</v>
      </c>
      <c r="K1288">
        <v>0.128571428571429</v>
      </c>
      <c r="L1288" t="s">
        <v>959</v>
      </c>
      <c r="M1288">
        <v>3.0303030303030298</v>
      </c>
      <c r="N1288" t="s">
        <v>960</v>
      </c>
      <c r="O1288">
        <v>0</v>
      </c>
      <c r="P1288">
        <v>0</v>
      </c>
      <c r="Q1288">
        <v>0</v>
      </c>
      <c r="R1288">
        <v>0</v>
      </c>
    </row>
    <row r="1289" spans="1:18" ht="16" x14ac:dyDescent="0.2">
      <c r="A1289" s="129" t="s">
        <v>3764</v>
      </c>
      <c r="B1289" t="s">
        <v>522</v>
      </c>
      <c r="C1289" t="s">
        <v>2937</v>
      </c>
      <c r="D1289" t="s">
        <v>2938</v>
      </c>
      <c r="E1289">
        <v>5</v>
      </c>
      <c r="F1289">
        <v>5</v>
      </c>
      <c r="G1289">
        <v>1</v>
      </c>
      <c r="H1289">
        <v>4.2481189422573804</v>
      </c>
      <c r="I1289" t="s">
        <v>957</v>
      </c>
      <c r="J1289" t="s">
        <v>3841</v>
      </c>
      <c r="K1289">
        <v>0.16428571428571401</v>
      </c>
      <c r="L1289" t="s">
        <v>959</v>
      </c>
      <c r="M1289">
        <v>3.0303030303030298</v>
      </c>
      <c r="N1289" t="s">
        <v>960</v>
      </c>
      <c r="O1289">
        <v>0</v>
      </c>
      <c r="P1289">
        <v>0</v>
      </c>
      <c r="Q1289">
        <v>0</v>
      </c>
      <c r="R1289">
        <v>0</v>
      </c>
    </row>
    <row r="1290" spans="1:18" ht="16" x14ac:dyDescent="0.2">
      <c r="A1290" s="129" t="s">
        <v>3764</v>
      </c>
      <c r="B1290" t="s">
        <v>522</v>
      </c>
      <c r="C1290" t="s">
        <v>3852</v>
      </c>
      <c r="D1290" t="s">
        <v>3853</v>
      </c>
      <c r="E1290">
        <v>3</v>
      </c>
      <c r="F1290">
        <v>3</v>
      </c>
      <c r="G1290">
        <v>1</v>
      </c>
      <c r="H1290">
        <v>4.5239506502191098</v>
      </c>
      <c r="I1290" t="s">
        <v>957</v>
      </c>
      <c r="J1290" t="s">
        <v>3883</v>
      </c>
      <c r="K1290">
        <v>8.5714285714285701E-2</v>
      </c>
      <c r="L1290" t="s">
        <v>959</v>
      </c>
      <c r="M1290">
        <v>1.51515151515152</v>
      </c>
      <c r="N1290" t="s">
        <v>960</v>
      </c>
      <c r="O1290">
        <v>0</v>
      </c>
      <c r="P1290">
        <v>0</v>
      </c>
      <c r="Q1290">
        <v>0</v>
      </c>
      <c r="R1290">
        <v>0</v>
      </c>
    </row>
    <row r="1291" spans="1:18" ht="16" x14ac:dyDescent="0.2">
      <c r="A1291" s="129" t="s">
        <v>3764</v>
      </c>
      <c r="B1291" t="s">
        <v>553</v>
      </c>
      <c r="C1291" t="s">
        <v>1518</v>
      </c>
      <c r="D1291" t="s">
        <v>2033</v>
      </c>
      <c r="E1291">
        <v>9</v>
      </c>
      <c r="F1291">
        <v>9</v>
      </c>
      <c r="G1291">
        <v>1</v>
      </c>
      <c r="H1291">
        <v>4.3481543881203999</v>
      </c>
      <c r="I1291" t="s">
        <v>957</v>
      </c>
      <c r="J1291" t="s">
        <v>3849</v>
      </c>
      <c r="K1291">
        <v>0.107142857142857</v>
      </c>
      <c r="L1291" t="s">
        <v>959</v>
      </c>
      <c r="M1291">
        <v>3.7878787878787898</v>
      </c>
      <c r="N1291" t="s">
        <v>960</v>
      </c>
      <c r="O1291">
        <v>0</v>
      </c>
      <c r="P1291">
        <v>0</v>
      </c>
      <c r="Q1291">
        <v>0</v>
      </c>
      <c r="R1291">
        <v>0</v>
      </c>
    </row>
    <row r="1292" spans="1:18" ht="16" x14ac:dyDescent="0.2">
      <c r="A1292" s="129" t="s">
        <v>3764</v>
      </c>
      <c r="B1292" t="s">
        <v>553</v>
      </c>
      <c r="C1292" t="s">
        <v>1324</v>
      </c>
      <c r="E1292">
        <v>6</v>
      </c>
      <c r="F1292">
        <v>6</v>
      </c>
      <c r="G1292">
        <v>1</v>
      </c>
      <c r="H1292">
        <v>4.2611897713548803</v>
      </c>
      <c r="I1292" t="s">
        <v>957</v>
      </c>
      <c r="J1292" t="s">
        <v>3897</v>
      </c>
      <c r="K1292">
        <v>0.121428571428571</v>
      </c>
      <c r="L1292" t="s">
        <v>959</v>
      </c>
      <c r="M1292">
        <v>3.7878787878787898</v>
      </c>
      <c r="N1292" t="s">
        <v>960</v>
      </c>
      <c r="O1292">
        <v>0</v>
      </c>
      <c r="P1292">
        <v>0</v>
      </c>
      <c r="Q1292">
        <v>0</v>
      </c>
      <c r="R1292" t="s">
        <v>5019</v>
      </c>
    </row>
    <row r="1293" spans="1:18" ht="16" x14ac:dyDescent="0.2">
      <c r="A1293" s="129" t="s">
        <v>3764</v>
      </c>
      <c r="B1293" t="s">
        <v>553</v>
      </c>
      <c r="C1293" t="s">
        <v>2283</v>
      </c>
      <c r="D1293" t="s">
        <v>2284</v>
      </c>
      <c r="E1293">
        <v>4</v>
      </c>
      <c r="F1293">
        <v>4</v>
      </c>
      <c r="G1293">
        <v>1</v>
      </c>
      <c r="H1293">
        <v>4.4418557247789101</v>
      </c>
      <c r="I1293" t="s">
        <v>957</v>
      </c>
      <c r="J1293" t="s">
        <v>3816</v>
      </c>
      <c r="K1293">
        <v>8.5714285714285701E-2</v>
      </c>
      <c r="L1293" t="s">
        <v>959</v>
      </c>
      <c r="M1293">
        <v>1.51515151515152</v>
      </c>
      <c r="N1293" t="s">
        <v>960</v>
      </c>
      <c r="O1293">
        <v>0</v>
      </c>
      <c r="P1293">
        <v>0</v>
      </c>
      <c r="Q1293">
        <v>0</v>
      </c>
      <c r="R1293" t="s">
        <v>5019</v>
      </c>
    </row>
    <row r="1294" spans="1:18" ht="16" x14ac:dyDescent="0.2">
      <c r="A1294" s="129" t="s">
        <v>3764</v>
      </c>
      <c r="B1294" t="s">
        <v>572</v>
      </c>
      <c r="C1294" t="s">
        <v>1251</v>
      </c>
      <c r="D1294" t="s">
        <v>1252</v>
      </c>
      <c r="E1294">
        <v>4</v>
      </c>
      <c r="F1294">
        <v>4</v>
      </c>
      <c r="G1294">
        <v>1</v>
      </c>
      <c r="H1294">
        <v>4.2370138228795602</v>
      </c>
      <c r="I1294" t="s">
        <v>957</v>
      </c>
      <c r="J1294" t="s">
        <v>3114</v>
      </c>
      <c r="K1294">
        <v>0.13571428571428601</v>
      </c>
      <c r="L1294" t="s">
        <v>959</v>
      </c>
      <c r="M1294">
        <v>3.7878787878787898</v>
      </c>
      <c r="N1294" t="s">
        <v>987</v>
      </c>
      <c r="O1294" t="s">
        <v>5017</v>
      </c>
      <c r="P1294">
        <v>0</v>
      </c>
      <c r="Q1294">
        <v>0</v>
      </c>
      <c r="R1294">
        <v>0</v>
      </c>
    </row>
    <row r="1295" spans="1:18" ht="16" x14ac:dyDescent="0.2">
      <c r="A1295" s="129" t="s">
        <v>3764</v>
      </c>
      <c r="B1295" t="s">
        <v>572</v>
      </c>
      <c r="C1295" t="s">
        <v>1465</v>
      </c>
      <c r="D1295" t="s">
        <v>1466</v>
      </c>
      <c r="E1295">
        <v>3</v>
      </c>
      <c r="F1295">
        <v>3</v>
      </c>
      <c r="G1295">
        <v>1</v>
      </c>
      <c r="H1295">
        <v>4.1813807473283804</v>
      </c>
      <c r="I1295" t="s">
        <v>957</v>
      </c>
      <c r="J1295" t="s">
        <v>2951</v>
      </c>
      <c r="K1295">
        <v>7.1428571428571397E-2</v>
      </c>
      <c r="L1295" t="s">
        <v>959</v>
      </c>
      <c r="M1295">
        <v>2.2727272727272698</v>
      </c>
      <c r="N1295" t="s">
        <v>960</v>
      </c>
      <c r="O1295" t="s">
        <v>5017</v>
      </c>
      <c r="P1295">
        <v>0</v>
      </c>
      <c r="Q1295">
        <v>0</v>
      </c>
      <c r="R1295">
        <v>0</v>
      </c>
    </row>
    <row r="1296" spans="1:18" ht="16" x14ac:dyDescent="0.2">
      <c r="A1296" s="129" t="s">
        <v>3764</v>
      </c>
      <c r="B1296" t="s">
        <v>572</v>
      </c>
      <c r="C1296" t="s">
        <v>2904</v>
      </c>
      <c r="D1296" t="s">
        <v>2905</v>
      </c>
      <c r="E1296">
        <v>3</v>
      </c>
      <c r="F1296">
        <v>3</v>
      </c>
      <c r="G1296">
        <v>1</v>
      </c>
      <c r="H1296">
        <v>4.2710118676784203</v>
      </c>
      <c r="I1296" t="s">
        <v>957</v>
      </c>
      <c r="J1296" t="s">
        <v>3846</v>
      </c>
      <c r="K1296">
        <v>0.17142857142857101</v>
      </c>
      <c r="L1296" t="s">
        <v>959</v>
      </c>
      <c r="M1296">
        <v>2.2727272727272698</v>
      </c>
      <c r="N1296" t="s">
        <v>960</v>
      </c>
      <c r="O1296" t="s">
        <v>5017</v>
      </c>
      <c r="P1296">
        <v>0</v>
      </c>
      <c r="Q1296">
        <v>0</v>
      </c>
      <c r="R1296">
        <v>0</v>
      </c>
    </row>
    <row r="1297" spans="1:18" ht="16" x14ac:dyDescent="0.2">
      <c r="A1297" s="129" t="s">
        <v>3764</v>
      </c>
      <c r="B1297" t="s">
        <v>572</v>
      </c>
      <c r="C1297" t="s">
        <v>2852</v>
      </c>
      <c r="D1297" t="s">
        <v>2853</v>
      </c>
      <c r="E1297">
        <v>3</v>
      </c>
      <c r="F1297">
        <v>3</v>
      </c>
      <c r="G1297">
        <v>1</v>
      </c>
      <c r="H1297">
        <v>4.3909949162392499</v>
      </c>
      <c r="I1297" t="s">
        <v>957</v>
      </c>
      <c r="J1297" t="s">
        <v>3866</v>
      </c>
      <c r="K1297">
        <v>7.8571428571428598E-2</v>
      </c>
      <c r="L1297" t="s">
        <v>959</v>
      </c>
      <c r="M1297">
        <v>2.2727272727272698</v>
      </c>
      <c r="N1297" t="s">
        <v>987</v>
      </c>
      <c r="O1297" t="s">
        <v>5017</v>
      </c>
      <c r="P1297">
        <v>0</v>
      </c>
      <c r="Q1297">
        <v>0</v>
      </c>
      <c r="R1297">
        <v>0</v>
      </c>
    </row>
    <row r="1298" spans="1:18" ht="16" x14ac:dyDescent="0.2">
      <c r="A1298" s="130" t="s">
        <v>3909</v>
      </c>
      <c r="B1298" t="s">
        <v>8</v>
      </c>
      <c r="C1298" t="s">
        <v>1581</v>
      </c>
      <c r="D1298" t="s">
        <v>1582</v>
      </c>
      <c r="E1298">
        <v>3</v>
      </c>
      <c r="F1298">
        <v>3</v>
      </c>
      <c r="G1298">
        <v>1</v>
      </c>
      <c r="H1298">
        <v>3.6634855726209699</v>
      </c>
      <c r="I1298" t="s">
        <v>957</v>
      </c>
      <c r="J1298" t="s">
        <v>1583</v>
      </c>
      <c r="K1298">
        <v>0.107142857142857</v>
      </c>
      <c r="L1298" t="s">
        <v>959</v>
      </c>
      <c r="M1298">
        <v>5.10948905109489</v>
      </c>
      <c r="N1298" t="s">
        <v>960</v>
      </c>
      <c r="O1298">
        <v>0</v>
      </c>
      <c r="P1298">
        <v>0</v>
      </c>
      <c r="Q1298">
        <v>0</v>
      </c>
      <c r="R1298">
        <v>0</v>
      </c>
    </row>
    <row r="1299" spans="1:18" ht="16" x14ac:dyDescent="0.2">
      <c r="A1299" s="130" t="s">
        <v>3909</v>
      </c>
      <c r="B1299" t="s">
        <v>8</v>
      </c>
      <c r="C1299" t="s">
        <v>2893</v>
      </c>
      <c r="D1299" t="s">
        <v>2894</v>
      </c>
      <c r="E1299" t="s">
        <v>1022</v>
      </c>
      <c r="F1299">
        <v>3</v>
      </c>
      <c r="G1299">
        <v>2</v>
      </c>
      <c r="H1299">
        <v>2.1202548404772799</v>
      </c>
      <c r="I1299" t="s">
        <v>957</v>
      </c>
      <c r="J1299" t="s">
        <v>4400</v>
      </c>
      <c r="K1299">
        <v>0.2</v>
      </c>
      <c r="L1299" t="s">
        <v>959</v>
      </c>
      <c r="M1299">
        <v>8.7591240875912408</v>
      </c>
      <c r="N1299" t="s">
        <v>960</v>
      </c>
      <c r="O1299">
        <v>0</v>
      </c>
      <c r="P1299">
        <v>0</v>
      </c>
      <c r="Q1299">
        <v>0</v>
      </c>
      <c r="R1299">
        <v>0</v>
      </c>
    </row>
    <row r="1300" spans="1:18" ht="16" x14ac:dyDescent="0.2">
      <c r="A1300" s="130" t="s">
        <v>3909</v>
      </c>
      <c r="B1300" t="s">
        <v>8</v>
      </c>
      <c r="C1300" t="s">
        <v>1547</v>
      </c>
      <c r="D1300" t="s">
        <v>1548</v>
      </c>
      <c r="E1300">
        <v>6</v>
      </c>
      <c r="F1300">
        <v>6</v>
      </c>
      <c r="G1300">
        <v>1</v>
      </c>
      <c r="H1300">
        <v>1.4610158572322101</v>
      </c>
      <c r="I1300" t="s">
        <v>957</v>
      </c>
      <c r="J1300" t="s">
        <v>4828</v>
      </c>
      <c r="K1300">
        <v>5.7142857142857099E-2</v>
      </c>
      <c r="L1300" t="s">
        <v>959</v>
      </c>
      <c r="M1300">
        <v>8.0291970802919703</v>
      </c>
      <c r="N1300" t="s">
        <v>960</v>
      </c>
      <c r="O1300">
        <v>0</v>
      </c>
      <c r="P1300">
        <v>0</v>
      </c>
      <c r="Q1300">
        <v>0</v>
      </c>
      <c r="R1300">
        <v>0</v>
      </c>
    </row>
    <row r="1301" spans="1:18" ht="16" x14ac:dyDescent="0.2">
      <c r="A1301" s="130" t="s">
        <v>3909</v>
      </c>
      <c r="B1301" t="s">
        <v>8</v>
      </c>
      <c r="C1301" t="s">
        <v>2947</v>
      </c>
      <c r="D1301" t="s">
        <v>2948</v>
      </c>
      <c r="E1301" t="s">
        <v>1022</v>
      </c>
      <c r="F1301">
        <v>3</v>
      </c>
      <c r="G1301">
        <v>2</v>
      </c>
      <c r="H1301">
        <v>2.7000826698782401</v>
      </c>
      <c r="I1301" t="s">
        <v>957</v>
      </c>
      <c r="J1301" t="s">
        <v>4395</v>
      </c>
      <c r="K1301">
        <v>0.17142857142857101</v>
      </c>
      <c r="L1301" t="s">
        <v>959</v>
      </c>
      <c r="M1301">
        <v>5.8394160583941597</v>
      </c>
      <c r="N1301" t="s">
        <v>960</v>
      </c>
      <c r="O1301">
        <v>0</v>
      </c>
      <c r="P1301" t="s">
        <v>5018</v>
      </c>
      <c r="Q1301">
        <v>0</v>
      </c>
      <c r="R1301">
        <v>0</v>
      </c>
    </row>
    <row r="1302" spans="1:18" ht="16" x14ac:dyDescent="0.2">
      <c r="A1302" s="130" t="s">
        <v>3909</v>
      </c>
      <c r="B1302" t="s">
        <v>8</v>
      </c>
      <c r="C1302" t="s">
        <v>2641</v>
      </c>
      <c r="D1302" t="s">
        <v>2642</v>
      </c>
      <c r="E1302" t="s">
        <v>1022</v>
      </c>
      <c r="F1302">
        <v>3</v>
      </c>
      <c r="G1302">
        <v>2</v>
      </c>
      <c r="H1302">
        <v>1.6871171862438099</v>
      </c>
      <c r="I1302" t="s">
        <v>957</v>
      </c>
      <c r="J1302" t="s">
        <v>3997</v>
      </c>
      <c r="K1302">
        <v>0.17857142857142899</v>
      </c>
      <c r="L1302" t="s">
        <v>959</v>
      </c>
      <c r="M1302">
        <v>8.0291970802919703</v>
      </c>
      <c r="N1302" t="s">
        <v>960</v>
      </c>
      <c r="O1302">
        <v>0</v>
      </c>
      <c r="P1302">
        <v>0</v>
      </c>
      <c r="Q1302">
        <v>0</v>
      </c>
      <c r="R1302">
        <v>0</v>
      </c>
    </row>
    <row r="1303" spans="1:18" ht="16" x14ac:dyDescent="0.2">
      <c r="A1303" s="130" t="s">
        <v>3909</v>
      </c>
      <c r="B1303" t="s">
        <v>8</v>
      </c>
      <c r="C1303" t="s">
        <v>3693</v>
      </c>
      <c r="D1303" t="s">
        <v>3694</v>
      </c>
      <c r="E1303" t="s">
        <v>1442</v>
      </c>
      <c r="F1303">
        <v>5</v>
      </c>
      <c r="G1303">
        <v>2</v>
      </c>
      <c r="H1303">
        <v>2.5492542341912801</v>
      </c>
      <c r="I1303" t="s">
        <v>957</v>
      </c>
      <c r="J1303" t="s">
        <v>4715</v>
      </c>
      <c r="K1303">
        <v>8.5714285714285701E-2</v>
      </c>
      <c r="L1303" t="s">
        <v>959</v>
      </c>
      <c r="M1303">
        <v>2.1897810218978102</v>
      </c>
      <c r="N1303" t="s">
        <v>960</v>
      </c>
      <c r="O1303">
        <v>0</v>
      </c>
      <c r="P1303">
        <v>0</v>
      </c>
      <c r="Q1303">
        <v>0</v>
      </c>
      <c r="R1303">
        <v>0</v>
      </c>
    </row>
    <row r="1304" spans="1:18" ht="16" x14ac:dyDescent="0.2">
      <c r="A1304" s="130" t="s">
        <v>3909</v>
      </c>
      <c r="B1304" t="s">
        <v>8</v>
      </c>
      <c r="C1304" t="s">
        <v>1476</v>
      </c>
      <c r="D1304" t="s">
        <v>1477</v>
      </c>
      <c r="E1304">
        <v>3</v>
      </c>
      <c r="F1304">
        <v>3</v>
      </c>
      <c r="G1304">
        <v>1</v>
      </c>
      <c r="H1304">
        <v>1.2103474078430501</v>
      </c>
      <c r="I1304" t="s">
        <v>957</v>
      </c>
      <c r="J1304" t="s">
        <v>4197</v>
      </c>
      <c r="K1304">
        <v>7.1428571428571397E-2</v>
      </c>
      <c r="L1304" t="s">
        <v>959</v>
      </c>
      <c r="M1304">
        <v>2.1897810218978102</v>
      </c>
      <c r="N1304" t="s">
        <v>960</v>
      </c>
      <c r="O1304">
        <v>0</v>
      </c>
      <c r="P1304">
        <v>0</v>
      </c>
      <c r="Q1304">
        <v>0</v>
      </c>
      <c r="R1304">
        <v>0</v>
      </c>
    </row>
    <row r="1305" spans="1:18" ht="16" x14ac:dyDescent="0.2">
      <c r="A1305" s="130" t="s">
        <v>3909</v>
      </c>
      <c r="B1305" t="s">
        <v>15</v>
      </c>
      <c r="C1305" t="s">
        <v>997</v>
      </c>
      <c r="D1305" t="s">
        <v>998</v>
      </c>
      <c r="E1305">
        <v>3</v>
      </c>
      <c r="F1305">
        <v>3</v>
      </c>
      <c r="G1305">
        <v>1</v>
      </c>
      <c r="H1305">
        <v>1.5972534113944901</v>
      </c>
      <c r="I1305" t="s">
        <v>957</v>
      </c>
      <c r="J1305" t="s">
        <v>4213</v>
      </c>
      <c r="K1305">
        <v>7.8571428571428598E-2</v>
      </c>
      <c r="L1305" t="s">
        <v>959</v>
      </c>
      <c r="M1305">
        <v>8.0291970802919703</v>
      </c>
      <c r="N1305" t="s">
        <v>960</v>
      </c>
      <c r="O1305">
        <v>0</v>
      </c>
      <c r="P1305">
        <v>0</v>
      </c>
      <c r="Q1305">
        <v>0</v>
      </c>
      <c r="R1305">
        <v>0</v>
      </c>
    </row>
    <row r="1306" spans="1:18" ht="16" x14ac:dyDescent="0.2">
      <c r="A1306" s="130" t="s">
        <v>3909</v>
      </c>
      <c r="B1306" t="s">
        <v>15</v>
      </c>
      <c r="C1306" t="s">
        <v>2589</v>
      </c>
      <c r="D1306" t="s">
        <v>2590</v>
      </c>
      <c r="E1306">
        <v>3</v>
      </c>
      <c r="F1306">
        <v>3</v>
      </c>
      <c r="G1306">
        <v>1</v>
      </c>
      <c r="H1306">
        <v>1.2147213922164499</v>
      </c>
      <c r="I1306" t="s">
        <v>957</v>
      </c>
      <c r="J1306" t="s">
        <v>3932</v>
      </c>
      <c r="K1306">
        <v>8.5714285714285701E-2</v>
      </c>
      <c r="L1306" t="s">
        <v>959</v>
      </c>
      <c r="M1306">
        <v>7.2992700729926998</v>
      </c>
      <c r="N1306" t="s">
        <v>960</v>
      </c>
      <c r="O1306">
        <v>0</v>
      </c>
      <c r="P1306">
        <v>0</v>
      </c>
      <c r="Q1306">
        <v>0</v>
      </c>
      <c r="R1306">
        <v>0</v>
      </c>
    </row>
    <row r="1307" spans="1:18" ht="16" x14ac:dyDescent="0.2">
      <c r="A1307" s="130" t="s">
        <v>3909</v>
      </c>
      <c r="B1307" t="s">
        <v>15</v>
      </c>
      <c r="C1307" t="s">
        <v>4906</v>
      </c>
      <c r="D1307" t="s">
        <v>4907</v>
      </c>
      <c r="E1307">
        <v>3</v>
      </c>
      <c r="F1307">
        <v>3</v>
      </c>
      <c r="G1307">
        <v>1</v>
      </c>
      <c r="H1307">
        <v>2.6807327922813</v>
      </c>
      <c r="I1307" t="s">
        <v>957</v>
      </c>
      <c r="J1307" t="s">
        <v>4908</v>
      </c>
      <c r="K1307">
        <v>0.17647058823529399</v>
      </c>
      <c r="L1307" t="s">
        <v>1099</v>
      </c>
      <c r="M1307">
        <v>0.72992700729926996</v>
      </c>
      <c r="N1307" t="s">
        <v>973</v>
      </c>
      <c r="O1307">
        <v>0</v>
      </c>
      <c r="P1307">
        <v>0</v>
      </c>
      <c r="Q1307">
        <v>0</v>
      </c>
      <c r="R1307">
        <v>0</v>
      </c>
    </row>
    <row r="1308" spans="1:18" ht="16" x14ac:dyDescent="0.2">
      <c r="A1308" s="130" t="s">
        <v>3909</v>
      </c>
      <c r="B1308" t="s">
        <v>15</v>
      </c>
      <c r="C1308" t="s">
        <v>1332</v>
      </c>
      <c r="D1308" t="s">
        <v>1333</v>
      </c>
      <c r="E1308">
        <v>3</v>
      </c>
      <c r="F1308">
        <v>3</v>
      </c>
      <c r="G1308">
        <v>1</v>
      </c>
      <c r="H1308">
        <v>1.9244950901056299</v>
      </c>
      <c r="I1308" t="s">
        <v>957</v>
      </c>
      <c r="J1308" t="s">
        <v>3951</v>
      </c>
      <c r="K1308">
        <v>0.11764705882352899</v>
      </c>
      <c r="L1308" t="s">
        <v>1099</v>
      </c>
      <c r="M1308">
        <v>9.4890510948905096</v>
      </c>
      <c r="N1308" t="s">
        <v>973</v>
      </c>
      <c r="O1308">
        <v>0</v>
      </c>
      <c r="P1308">
        <v>0</v>
      </c>
      <c r="Q1308">
        <v>0</v>
      </c>
      <c r="R1308">
        <v>0</v>
      </c>
    </row>
    <row r="1309" spans="1:18" ht="16" x14ac:dyDescent="0.2">
      <c r="A1309" s="130" t="s">
        <v>3909</v>
      </c>
      <c r="B1309" t="s">
        <v>15</v>
      </c>
      <c r="C1309" t="s">
        <v>1150</v>
      </c>
      <c r="D1309" t="s">
        <v>1151</v>
      </c>
      <c r="E1309">
        <v>4</v>
      </c>
      <c r="F1309">
        <v>4</v>
      </c>
      <c r="G1309">
        <v>1</v>
      </c>
      <c r="H1309">
        <v>1.43790387980823</v>
      </c>
      <c r="I1309" t="s">
        <v>957</v>
      </c>
      <c r="J1309" t="s">
        <v>4016</v>
      </c>
      <c r="K1309">
        <v>0.17647058823529399</v>
      </c>
      <c r="L1309" t="s">
        <v>1099</v>
      </c>
      <c r="M1309">
        <v>5.10948905109489</v>
      </c>
      <c r="N1309" t="s">
        <v>973</v>
      </c>
      <c r="O1309">
        <v>0</v>
      </c>
      <c r="P1309">
        <v>0</v>
      </c>
      <c r="Q1309">
        <v>0</v>
      </c>
      <c r="R1309">
        <v>0</v>
      </c>
    </row>
    <row r="1310" spans="1:18" ht="16" x14ac:dyDescent="0.2">
      <c r="A1310" s="130" t="s">
        <v>3909</v>
      </c>
      <c r="B1310" t="s">
        <v>15</v>
      </c>
      <c r="C1310" t="s">
        <v>2699</v>
      </c>
      <c r="D1310" t="s">
        <v>2700</v>
      </c>
      <c r="E1310" t="s">
        <v>1102</v>
      </c>
      <c r="F1310">
        <v>4</v>
      </c>
      <c r="G1310">
        <v>2</v>
      </c>
      <c r="H1310">
        <v>3.2876086388066699</v>
      </c>
      <c r="I1310" t="s">
        <v>957</v>
      </c>
      <c r="J1310" t="s">
        <v>4379</v>
      </c>
      <c r="K1310">
        <v>0.17647058823529399</v>
      </c>
      <c r="L1310" t="s">
        <v>1099</v>
      </c>
      <c r="M1310">
        <v>6.5693430656934302</v>
      </c>
      <c r="N1310" t="s">
        <v>973</v>
      </c>
      <c r="O1310">
        <v>0</v>
      </c>
      <c r="P1310">
        <v>0</v>
      </c>
      <c r="Q1310">
        <v>0</v>
      </c>
      <c r="R1310">
        <v>0</v>
      </c>
    </row>
    <row r="1311" spans="1:18" ht="16" x14ac:dyDescent="0.2">
      <c r="A1311" s="130" t="s">
        <v>3909</v>
      </c>
      <c r="B1311" t="s">
        <v>15</v>
      </c>
      <c r="C1311" t="s">
        <v>1406</v>
      </c>
      <c r="D1311" t="s">
        <v>1407</v>
      </c>
      <c r="E1311">
        <v>5</v>
      </c>
      <c r="F1311">
        <v>5</v>
      </c>
      <c r="G1311">
        <v>1</v>
      </c>
      <c r="H1311">
        <v>3.83162290497549</v>
      </c>
      <c r="I1311" t="s">
        <v>957</v>
      </c>
      <c r="J1311" t="s">
        <v>1408</v>
      </c>
      <c r="K1311">
        <v>4.2857142857142899E-2</v>
      </c>
      <c r="L1311" t="s">
        <v>959</v>
      </c>
      <c r="M1311">
        <v>5.8394160583941597</v>
      </c>
      <c r="N1311" t="s">
        <v>960</v>
      </c>
      <c r="O1311">
        <v>0</v>
      </c>
      <c r="P1311">
        <v>0</v>
      </c>
      <c r="Q1311">
        <v>0</v>
      </c>
      <c r="R1311">
        <v>0</v>
      </c>
    </row>
    <row r="1312" spans="1:18" ht="16" x14ac:dyDescent="0.2">
      <c r="A1312" s="130" t="s">
        <v>3909</v>
      </c>
      <c r="B1312" t="s">
        <v>15</v>
      </c>
      <c r="C1312" t="s">
        <v>2710</v>
      </c>
      <c r="D1312" t="s">
        <v>2711</v>
      </c>
      <c r="E1312" t="s">
        <v>1039</v>
      </c>
      <c r="F1312">
        <v>3</v>
      </c>
      <c r="G1312">
        <v>2</v>
      </c>
      <c r="H1312">
        <v>2.7466475835695201</v>
      </c>
      <c r="I1312" t="s">
        <v>957</v>
      </c>
      <c r="J1312" t="s">
        <v>4632</v>
      </c>
      <c r="K1312">
        <v>0.23529411764705899</v>
      </c>
      <c r="L1312" t="s">
        <v>1099</v>
      </c>
      <c r="M1312">
        <v>2.9197080291970798</v>
      </c>
      <c r="N1312" t="s">
        <v>973</v>
      </c>
      <c r="O1312">
        <v>0</v>
      </c>
      <c r="P1312">
        <v>0</v>
      </c>
      <c r="Q1312">
        <v>0</v>
      </c>
      <c r="R1312">
        <v>0</v>
      </c>
    </row>
    <row r="1313" spans="1:18" ht="16" x14ac:dyDescent="0.2">
      <c r="A1313" s="130" t="s">
        <v>3909</v>
      </c>
      <c r="B1313" t="s">
        <v>21</v>
      </c>
      <c r="C1313" t="s">
        <v>272</v>
      </c>
      <c r="D1313" t="s">
        <v>3212</v>
      </c>
      <c r="E1313">
        <v>3</v>
      </c>
      <c r="F1313">
        <v>3</v>
      </c>
      <c r="G1313">
        <v>1</v>
      </c>
      <c r="H1313">
        <v>1.43586007723899</v>
      </c>
      <c r="I1313" t="s">
        <v>957</v>
      </c>
      <c r="J1313" t="s">
        <v>4212</v>
      </c>
      <c r="K1313">
        <v>3.5714285714285698E-2</v>
      </c>
      <c r="L1313" t="s">
        <v>959</v>
      </c>
      <c r="M1313">
        <v>3.6496350364963499</v>
      </c>
      <c r="N1313" t="s">
        <v>960</v>
      </c>
      <c r="O1313">
        <v>0</v>
      </c>
      <c r="P1313">
        <v>0</v>
      </c>
      <c r="Q1313">
        <v>0</v>
      </c>
      <c r="R1313">
        <v>0</v>
      </c>
    </row>
    <row r="1314" spans="1:18" ht="16" x14ac:dyDescent="0.2">
      <c r="A1314" s="130" t="s">
        <v>3909</v>
      </c>
      <c r="B1314" t="s">
        <v>21</v>
      </c>
      <c r="C1314" t="s">
        <v>2877</v>
      </c>
      <c r="D1314" t="s">
        <v>2878</v>
      </c>
      <c r="E1314">
        <v>4</v>
      </c>
      <c r="F1314">
        <v>4</v>
      </c>
      <c r="G1314">
        <v>1</v>
      </c>
      <c r="H1314">
        <v>2.3841852920141702</v>
      </c>
      <c r="I1314" t="s">
        <v>957</v>
      </c>
      <c r="J1314" t="s">
        <v>3924</v>
      </c>
      <c r="K1314">
        <v>0.128571428571429</v>
      </c>
      <c r="L1314" t="s">
        <v>959</v>
      </c>
      <c r="M1314">
        <v>9.4890510948905096</v>
      </c>
      <c r="N1314" t="s">
        <v>960</v>
      </c>
      <c r="O1314">
        <v>0</v>
      </c>
      <c r="P1314" t="s">
        <v>5018</v>
      </c>
      <c r="Q1314">
        <v>0</v>
      </c>
      <c r="R1314">
        <v>0</v>
      </c>
    </row>
    <row r="1315" spans="1:18" ht="16" x14ac:dyDescent="0.2">
      <c r="A1315" s="130" t="s">
        <v>3909</v>
      </c>
      <c r="B1315" t="s">
        <v>32</v>
      </c>
      <c r="C1315" t="s">
        <v>114</v>
      </c>
      <c r="D1315" t="s">
        <v>4348</v>
      </c>
      <c r="E1315">
        <v>2</v>
      </c>
      <c r="F1315">
        <v>2</v>
      </c>
      <c r="G1315">
        <v>1</v>
      </c>
      <c r="H1315">
        <v>2.4943614858240499</v>
      </c>
      <c r="I1315" t="s">
        <v>957</v>
      </c>
      <c r="J1315" t="s">
        <v>4349</v>
      </c>
      <c r="K1315">
        <v>2.1428571428571401E-2</v>
      </c>
      <c r="L1315" t="s">
        <v>959</v>
      </c>
      <c r="M1315">
        <v>2.1897810218978102</v>
      </c>
      <c r="N1315" t="s">
        <v>960</v>
      </c>
      <c r="O1315">
        <v>0</v>
      </c>
      <c r="P1315" t="s">
        <v>5018</v>
      </c>
      <c r="Q1315">
        <v>0</v>
      </c>
      <c r="R1315">
        <v>0</v>
      </c>
    </row>
    <row r="1316" spans="1:18" ht="16" x14ac:dyDescent="0.2">
      <c r="A1316" s="130" t="s">
        <v>3909</v>
      </c>
      <c r="B1316" t="s">
        <v>37</v>
      </c>
      <c r="C1316" t="s">
        <v>1170</v>
      </c>
      <c r="D1316" t="s">
        <v>1171</v>
      </c>
      <c r="E1316">
        <v>8</v>
      </c>
      <c r="F1316">
        <v>8</v>
      </c>
      <c r="G1316">
        <v>1</v>
      </c>
      <c r="H1316">
        <v>1.42668784937434</v>
      </c>
      <c r="I1316" t="s">
        <v>957</v>
      </c>
      <c r="J1316" t="s">
        <v>2050</v>
      </c>
      <c r="K1316">
        <v>4.2857142857142899E-2</v>
      </c>
      <c r="L1316" t="s">
        <v>959</v>
      </c>
      <c r="M1316">
        <v>4.3795620437956204</v>
      </c>
      <c r="N1316" t="s">
        <v>960</v>
      </c>
      <c r="O1316">
        <v>0</v>
      </c>
      <c r="P1316">
        <v>0</v>
      </c>
      <c r="Q1316">
        <v>0</v>
      </c>
      <c r="R1316">
        <v>0</v>
      </c>
    </row>
    <row r="1317" spans="1:18" ht="16" x14ac:dyDescent="0.2">
      <c r="A1317" s="130" t="s">
        <v>3909</v>
      </c>
      <c r="B1317" t="s">
        <v>37</v>
      </c>
      <c r="C1317" t="s">
        <v>272</v>
      </c>
      <c r="D1317" t="s">
        <v>3212</v>
      </c>
      <c r="E1317">
        <v>6</v>
      </c>
      <c r="F1317">
        <v>6</v>
      </c>
      <c r="G1317">
        <v>1</v>
      </c>
      <c r="H1317">
        <v>1.43586007723899</v>
      </c>
      <c r="I1317" t="s">
        <v>957</v>
      </c>
      <c r="J1317" t="s">
        <v>3968</v>
      </c>
      <c r="K1317">
        <v>3.5714285714285698E-2</v>
      </c>
      <c r="L1317" t="s">
        <v>959</v>
      </c>
      <c r="M1317">
        <v>3.6496350364963499</v>
      </c>
      <c r="N1317" t="s">
        <v>960</v>
      </c>
      <c r="O1317">
        <v>0</v>
      </c>
      <c r="P1317">
        <v>0</v>
      </c>
      <c r="Q1317">
        <v>0</v>
      </c>
      <c r="R1317">
        <v>0</v>
      </c>
    </row>
    <row r="1318" spans="1:18" ht="16" x14ac:dyDescent="0.2">
      <c r="A1318" s="130" t="s">
        <v>3909</v>
      </c>
      <c r="B1318" t="s">
        <v>37</v>
      </c>
      <c r="C1318" t="s">
        <v>2233</v>
      </c>
      <c r="D1318" t="s">
        <v>2234</v>
      </c>
      <c r="E1318">
        <v>3</v>
      </c>
      <c r="F1318">
        <v>3</v>
      </c>
      <c r="G1318">
        <v>1</v>
      </c>
      <c r="H1318">
        <v>2.8074593543295498</v>
      </c>
      <c r="I1318" t="s">
        <v>957</v>
      </c>
      <c r="J1318" t="s">
        <v>4423</v>
      </c>
      <c r="K1318">
        <v>0.16428571428571401</v>
      </c>
      <c r="L1318" t="s">
        <v>959</v>
      </c>
      <c r="M1318">
        <v>8.0291970802919703</v>
      </c>
      <c r="N1318" t="s">
        <v>960</v>
      </c>
      <c r="O1318">
        <v>0</v>
      </c>
      <c r="P1318">
        <v>0</v>
      </c>
      <c r="Q1318">
        <v>0</v>
      </c>
      <c r="R1318">
        <v>0</v>
      </c>
    </row>
    <row r="1319" spans="1:18" ht="16" x14ac:dyDescent="0.2">
      <c r="A1319" s="130" t="s">
        <v>3909</v>
      </c>
      <c r="B1319" t="s">
        <v>41</v>
      </c>
      <c r="C1319" t="s">
        <v>2893</v>
      </c>
      <c r="D1319" t="s">
        <v>2894</v>
      </c>
      <c r="E1319">
        <v>4</v>
      </c>
      <c r="F1319">
        <v>4</v>
      </c>
      <c r="G1319">
        <v>1</v>
      </c>
      <c r="H1319">
        <v>2.9907406987377398</v>
      </c>
      <c r="I1319" t="s">
        <v>957</v>
      </c>
      <c r="J1319" t="s">
        <v>4781</v>
      </c>
      <c r="K1319">
        <v>0.2</v>
      </c>
      <c r="L1319" t="s">
        <v>959</v>
      </c>
      <c r="M1319">
        <v>8.7591240875912408</v>
      </c>
      <c r="N1319" t="s">
        <v>960</v>
      </c>
      <c r="O1319">
        <v>0</v>
      </c>
      <c r="P1319">
        <v>0</v>
      </c>
      <c r="Q1319">
        <v>0</v>
      </c>
      <c r="R1319">
        <v>0</v>
      </c>
    </row>
    <row r="1320" spans="1:18" ht="16" x14ac:dyDescent="0.2">
      <c r="A1320" s="130" t="s">
        <v>3909</v>
      </c>
      <c r="B1320" t="s">
        <v>41</v>
      </c>
      <c r="C1320" t="s">
        <v>2422</v>
      </c>
      <c r="E1320">
        <v>3</v>
      </c>
      <c r="F1320">
        <v>3</v>
      </c>
      <c r="G1320">
        <v>1</v>
      </c>
      <c r="H1320">
        <v>3.5145737852113901</v>
      </c>
      <c r="I1320" t="s">
        <v>957</v>
      </c>
      <c r="J1320" t="s">
        <v>3985</v>
      </c>
      <c r="K1320">
        <v>2.1428571428571401E-2</v>
      </c>
      <c r="L1320" t="s">
        <v>959</v>
      </c>
      <c r="M1320">
        <v>3.6496350364963499</v>
      </c>
      <c r="N1320" t="s">
        <v>960</v>
      </c>
      <c r="O1320">
        <v>0</v>
      </c>
      <c r="P1320">
        <v>0</v>
      </c>
      <c r="Q1320">
        <v>0</v>
      </c>
      <c r="R1320">
        <v>0</v>
      </c>
    </row>
    <row r="1321" spans="1:18" ht="16" x14ac:dyDescent="0.2">
      <c r="A1321" s="130" t="s">
        <v>3909</v>
      </c>
      <c r="B1321" t="s">
        <v>41</v>
      </c>
      <c r="C1321" t="s">
        <v>997</v>
      </c>
      <c r="D1321" t="s">
        <v>998</v>
      </c>
      <c r="E1321">
        <v>5</v>
      </c>
      <c r="F1321">
        <v>5</v>
      </c>
      <c r="G1321">
        <v>1</v>
      </c>
      <c r="H1321">
        <v>2.82590988169795</v>
      </c>
      <c r="I1321" t="s">
        <v>957</v>
      </c>
      <c r="J1321" t="s">
        <v>4776</v>
      </c>
      <c r="K1321">
        <v>7.8571428571428598E-2</v>
      </c>
      <c r="L1321" t="s">
        <v>959</v>
      </c>
      <c r="M1321">
        <v>8.0291970802919703</v>
      </c>
      <c r="N1321" t="s">
        <v>960</v>
      </c>
      <c r="O1321">
        <v>0</v>
      </c>
      <c r="P1321">
        <v>0</v>
      </c>
      <c r="Q1321">
        <v>0</v>
      </c>
      <c r="R1321">
        <v>0</v>
      </c>
    </row>
    <row r="1322" spans="1:18" ht="16" x14ac:dyDescent="0.2">
      <c r="A1322" s="130" t="s">
        <v>3909</v>
      </c>
      <c r="B1322" t="s">
        <v>41</v>
      </c>
      <c r="C1322" t="s">
        <v>1518</v>
      </c>
      <c r="D1322" t="s">
        <v>1519</v>
      </c>
      <c r="E1322">
        <v>3</v>
      </c>
      <c r="F1322">
        <v>3</v>
      </c>
      <c r="G1322">
        <v>1</v>
      </c>
      <c r="H1322">
        <v>0.87404244834125999</v>
      </c>
      <c r="I1322" t="s">
        <v>957</v>
      </c>
      <c r="J1322" t="s">
        <v>4894</v>
      </c>
      <c r="K1322">
        <v>0.107142857142857</v>
      </c>
      <c r="L1322" t="s">
        <v>959</v>
      </c>
      <c r="M1322">
        <v>8.0291970802919703</v>
      </c>
      <c r="N1322" t="s">
        <v>960</v>
      </c>
      <c r="O1322">
        <v>0</v>
      </c>
      <c r="P1322">
        <v>0</v>
      </c>
      <c r="Q1322">
        <v>0</v>
      </c>
      <c r="R1322">
        <v>0</v>
      </c>
    </row>
    <row r="1323" spans="1:18" ht="16" x14ac:dyDescent="0.2">
      <c r="A1323" s="130" t="s">
        <v>3909</v>
      </c>
      <c r="B1323" t="s">
        <v>41</v>
      </c>
      <c r="C1323" t="s">
        <v>3092</v>
      </c>
      <c r="D1323" t="s">
        <v>3093</v>
      </c>
      <c r="E1323">
        <v>3</v>
      </c>
      <c r="F1323">
        <v>3</v>
      </c>
      <c r="G1323">
        <v>1</v>
      </c>
      <c r="H1323">
        <v>3.1676265517728401</v>
      </c>
      <c r="I1323" t="s">
        <v>957</v>
      </c>
      <c r="J1323" t="s">
        <v>4180</v>
      </c>
      <c r="K1323">
        <v>9.2857142857142902E-2</v>
      </c>
      <c r="L1323" t="s">
        <v>959</v>
      </c>
      <c r="M1323">
        <v>5.10948905109489</v>
      </c>
      <c r="N1323" t="s">
        <v>960</v>
      </c>
      <c r="O1323">
        <v>0</v>
      </c>
      <c r="P1323">
        <v>0</v>
      </c>
      <c r="Q1323">
        <v>0</v>
      </c>
      <c r="R1323">
        <v>0</v>
      </c>
    </row>
    <row r="1324" spans="1:18" ht="16" x14ac:dyDescent="0.2">
      <c r="A1324" s="130" t="s">
        <v>3909</v>
      </c>
      <c r="B1324" t="s">
        <v>41</v>
      </c>
      <c r="C1324" t="s">
        <v>1054</v>
      </c>
      <c r="D1324" t="s">
        <v>3928</v>
      </c>
      <c r="E1324" t="s">
        <v>3929</v>
      </c>
      <c r="F1324">
        <v>66</v>
      </c>
      <c r="G1324">
        <v>2</v>
      </c>
      <c r="H1324">
        <v>2.5062677112159801</v>
      </c>
      <c r="I1324" t="s">
        <v>957</v>
      </c>
      <c r="J1324" t="s">
        <v>3930</v>
      </c>
      <c r="K1324">
        <v>0.37931034482758602</v>
      </c>
      <c r="L1324" t="s">
        <v>972</v>
      </c>
      <c r="M1324">
        <v>5.10948905109489</v>
      </c>
      <c r="N1324" t="s">
        <v>973</v>
      </c>
      <c r="O1324">
        <v>0</v>
      </c>
      <c r="P1324">
        <v>0</v>
      </c>
      <c r="Q1324">
        <v>0</v>
      </c>
      <c r="R1324">
        <v>0</v>
      </c>
    </row>
    <row r="1325" spans="1:18" ht="16" x14ac:dyDescent="0.2">
      <c r="A1325" s="130" t="s">
        <v>3909</v>
      </c>
      <c r="B1325" t="s">
        <v>41</v>
      </c>
      <c r="C1325" t="s">
        <v>3755</v>
      </c>
      <c r="D1325" t="s">
        <v>3756</v>
      </c>
      <c r="E1325" t="s">
        <v>4994</v>
      </c>
      <c r="F1325">
        <v>48</v>
      </c>
      <c r="G1325">
        <v>2</v>
      </c>
      <c r="H1325">
        <v>2.4867441645293402</v>
      </c>
      <c r="I1325" t="s">
        <v>957</v>
      </c>
      <c r="J1325" t="s">
        <v>4995</v>
      </c>
      <c r="K1325">
        <v>0.37931034482758602</v>
      </c>
      <c r="L1325" t="s">
        <v>972</v>
      </c>
      <c r="M1325">
        <v>5.10948905109489</v>
      </c>
      <c r="N1325" t="s">
        <v>973</v>
      </c>
      <c r="O1325">
        <v>0</v>
      </c>
      <c r="P1325">
        <v>0</v>
      </c>
      <c r="Q1325">
        <v>0</v>
      </c>
      <c r="R1325">
        <v>0</v>
      </c>
    </row>
    <row r="1326" spans="1:18" ht="16" x14ac:dyDescent="0.2">
      <c r="A1326" s="130" t="s">
        <v>3909</v>
      </c>
      <c r="B1326" t="s">
        <v>41</v>
      </c>
      <c r="C1326" t="s">
        <v>2513</v>
      </c>
      <c r="D1326" t="s">
        <v>2514</v>
      </c>
      <c r="E1326">
        <v>5</v>
      </c>
      <c r="F1326">
        <v>5</v>
      </c>
      <c r="G1326">
        <v>1</v>
      </c>
      <c r="H1326">
        <v>3.6908862769575999</v>
      </c>
      <c r="I1326" t="s">
        <v>957</v>
      </c>
      <c r="J1326" t="s">
        <v>4897</v>
      </c>
      <c r="K1326">
        <v>4.2857142857142899E-2</v>
      </c>
      <c r="L1326" t="s">
        <v>959</v>
      </c>
      <c r="M1326">
        <v>3.6496350364963499</v>
      </c>
      <c r="N1326" t="s">
        <v>960</v>
      </c>
      <c r="O1326">
        <v>0</v>
      </c>
      <c r="P1326">
        <v>0</v>
      </c>
      <c r="Q1326">
        <v>0</v>
      </c>
      <c r="R1326">
        <v>0</v>
      </c>
    </row>
    <row r="1327" spans="1:18" ht="16" x14ac:dyDescent="0.2">
      <c r="A1327" s="130" t="s">
        <v>3909</v>
      </c>
      <c r="B1327" t="s">
        <v>41</v>
      </c>
      <c r="C1327" t="s">
        <v>1332</v>
      </c>
      <c r="D1327" t="s">
        <v>1333</v>
      </c>
      <c r="E1327">
        <v>3</v>
      </c>
      <c r="F1327">
        <v>3</v>
      </c>
      <c r="G1327">
        <v>1</v>
      </c>
      <c r="H1327">
        <v>1.28980549324195</v>
      </c>
      <c r="I1327" t="s">
        <v>957</v>
      </c>
      <c r="J1327" t="s">
        <v>2499</v>
      </c>
      <c r="K1327">
        <v>0.114285714285714</v>
      </c>
      <c r="L1327" t="s">
        <v>959</v>
      </c>
      <c r="M1327">
        <v>9.4890510948905096</v>
      </c>
      <c r="N1327" t="s">
        <v>960</v>
      </c>
      <c r="O1327">
        <v>0</v>
      </c>
      <c r="P1327">
        <v>0</v>
      </c>
      <c r="Q1327">
        <v>0</v>
      </c>
      <c r="R1327">
        <v>0</v>
      </c>
    </row>
    <row r="1328" spans="1:18" ht="16" x14ac:dyDescent="0.2">
      <c r="A1328" s="130" t="s">
        <v>3909</v>
      </c>
      <c r="B1328" t="s">
        <v>41</v>
      </c>
      <c r="C1328" t="s">
        <v>3044</v>
      </c>
      <c r="D1328" t="s">
        <v>3045</v>
      </c>
      <c r="E1328" t="s">
        <v>1052</v>
      </c>
      <c r="F1328">
        <v>2</v>
      </c>
      <c r="G1328">
        <v>2</v>
      </c>
      <c r="H1328">
        <v>0.70580700901937399</v>
      </c>
      <c r="I1328" t="s">
        <v>957</v>
      </c>
      <c r="J1328" t="s">
        <v>4501</v>
      </c>
      <c r="K1328">
        <v>0.16428571428571401</v>
      </c>
      <c r="L1328" t="s">
        <v>959</v>
      </c>
      <c r="M1328">
        <v>8.7591240875912408</v>
      </c>
      <c r="N1328" t="s">
        <v>960</v>
      </c>
      <c r="O1328">
        <v>0</v>
      </c>
      <c r="P1328">
        <v>0</v>
      </c>
      <c r="Q1328">
        <v>0</v>
      </c>
      <c r="R1328">
        <v>0</v>
      </c>
    </row>
    <row r="1329" spans="1:18" ht="16" x14ac:dyDescent="0.2">
      <c r="A1329" s="130" t="s">
        <v>3909</v>
      </c>
      <c r="B1329" t="s">
        <v>41</v>
      </c>
      <c r="C1329" t="s">
        <v>1802</v>
      </c>
      <c r="D1329" t="s">
        <v>1803</v>
      </c>
      <c r="E1329">
        <v>3</v>
      </c>
      <c r="F1329">
        <v>3</v>
      </c>
      <c r="G1329">
        <v>1</v>
      </c>
      <c r="H1329">
        <v>2.9353307595093501</v>
      </c>
      <c r="I1329" t="s">
        <v>957</v>
      </c>
      <c r="J1329" t="s">
        <v>4649</v>
      </c>
      <c r="K1329">
        <v>0.1</v>
      </c>
      <c r="L1329" t="s">
        <v>959</v>
      </c>
      <c r="M1329">
        <v>6.5693430656934302</v>
      </c>
      <c r="N1329" t="s">
        <v>960</v>
      </c>
      <c r="O1329">
        <v>0</v>
      </c>
      <c r="P1329">
        <v>0</v>
      </c>
      <c r="Q1329">
        <v>0</v>
      </c>
      <c r="R1329">
        <v>0</v>
      </c>
    </row>
    <row r="1330" spans="1:18" ht="16" x14ac:dyDescent="0.2">
      <c r="A1330" s="130" t="s">
        <v>3909</v>
      </c>
      <c r="B1330" t="s">
        <v>41</v>
      </c>
      <c r="C1330" t="s">
        <v>2699</v>
      </c>
      <c r="D1330" t="s">
        <v>2700</v>
      </c>
      <c r="E1330">
        <v>3</v>
      </c>
      <c r="F1330">
        <v>3</v>
      </c>
      <c r="G1330">
        <v>1</v>
      </c>
      <c r="H1330">
        <v>2.6296714861908299</v>
      </c>
      <c r="I1330" t="s">
        <v>957</v>
      </c>
      <c r="J1330" t="s">
        <v>4044</v>
      </c>
      <c r="K1330">
        <v>0.157142857142857</v>
      </c>
      <c r="L1330" t="s">
        <v>959</v>
      </c>
      <c r="M1330">
        <v>6.5693430656934302</v>
      </c>
      <c r="N1330" t="s">
        <v>960</v>
      </c>
      <c r="O1330">
        <v>0</v>
      </c>
      <c r="P1330">
        <v>0</v>
      </c>
      <c r="Q1330">
        <v>0</v>
      </c>
      <c r="R1330">
        <v>0</v>
      </c>
    </row>
    <row r="1331" spans="1:18" ht="16" x14ac:dyDescent="0.2">
      <c r="A1331" s="130" t="s">
        <v>3909</v>
      </c>
      <c r="B1331" t="s">
        <v>41</v>
      </c>
      <c r="C1331" t="s">
        <v>1406</v>
      </c>
      <c r="D1331" t="s">
        <v>1407</v>
      </c>
      <c r="E1331">
        <v>4</v>
      </c>
      <c r="F1331">
        <v>4</v>
      </c>
      <c r="G1331">
        <v>1</v>
      </c>
      <c r="H1331">
        <v>3.83162290497549</v>
      </c>
      <c r="I1331" t="s">
        <v>957</v>
      </c>
      <c r="J1331" t="s">
        <v>2897</v>
      </c>
      <c r="K1331">
        <v>4.2857142857142899E-2</v>
      </c>
      <c r="L1331" t="s">
        <v>959</v>
      </c>
      <c r="M1331">
        <v>5.8394160583941597</v>
      </c>
      <c r="N1331" t="s">
        <v>960</v>
      </c>
      <c r="O1331">
        <v>0</v>
      </c>
      <c r="P1331">
        <v>0</v>
      </c>
      <c r="Q1331">
        <v>0</v>
      </c>
      <c r="R1331">
        <v>0</v>
      </c>
    </row>
    <row r="1332" spans="1:18" ht="16" x14ac:dyDescent="0.2">
      <c r="A1332" s="130" t="s">
        <v>3909</v>
      </c>
      <c r="B1332" t="s">
        <v>41</v>
      </c>
      <c r="C1332" t="s">
        <v>2811</v>
      </c>
      <c r="D1332" t="s">
        <v>2812</v>
      </c>
      <c r="E1332">
        <v>3</v>
      </c>
      <c r="F1332">
        <v>3</v>
      </c>
      <c r="G1332">
        <v>1</v>
      </c>
      <c r="H1332">
        <v>4.0566567983928898</v>
      </c>
      <c r="I1332" t="s">
        <v>957</v>
      </c>
      <c r="J1332" t="s">
        <v>4849</v>
      </c>
      <c r="K1332">
        <v>7.1428571428571397E-2</v>
      </c>
      <c r="L1332" t="s">
        <v>959</v>
      </c>
      <c r="M1332">
        <v>2.9197080291970798</v>
      </c>
      <c r="N1332" t="s">
        <v>960</v>
      </c>
      <c r="O1332">
        <v>0</v>
      </c>
      <c r="P1332">
        <v>0</v>
      </c>
      <c r="Q1332">
        <v>0</v>
      </c>
      <c r="R1332">
        <v>0</v>
      </c>
    </row>
    <row r="1333" spans="1:18" ht="16" x14ac:dyDescent="0.2">
      <c r="A1333" s="130" t="s">
        <v>3909</v>
      </c>
      <c r="B1333" t="s">
        <v>41</v>
      </c>
      <c r="C1333" t="s">
        <v>2074</v>
      </c>
      <c r="D1333" t="s">
        <v>2075</v>
      </c>
      <c r="E1333" t="s">
        <v>1646</v>
      </c>
      <c r="F1333">
        <v>8</v>
      </c>
      <c r="G1333">
        <v>2</v>
      </c>
      <c r="H1333">
        <v>3.0930584070266698</v>
      </c>
      <c r="I1333" t="s">
        <v>957</v>
      </c>
      <c r="J1333" t="s">
        <v>4245</v>
      </c>
      <c r="K1333">
        <v>0.41379310344827602</v>
      </c>
      <c r="L1333" t="s">
        <v>972</v>
      </c>
      <c r="M1333">
        <v>5.8394160583941597</v>
      </c>
      <c r="N1333" t="s">
        <v>987</v>
      </c>
      <c r="O1333">
        <v>0</v>
      </c>
      <c r="P1333">
        <v>0</v>
      </c>
      <c r="Q1333">
        <v>0</v>
      </c>
      <c r="R1333">
        <v>0</v>
      </c>
    </row>
    <row r="1334" spans="1:18" ht="16" x14ac:dyDescent="0.2">
      <c r="A1334" s="130" t="s">
        <v>3909</v>
      </c>
      <c r="B1334" t="s">
        <v>41</v>
      </c>
      <c r="C1334" t="s">
        <v>2603</v>
      </c>
      <c r="D1334" t="s">
        <v>2604</v>
      </c>
      <c r="E1334">
        <v>3</v>
      </c>
      <c r="F1334">
        <v>3</v>
      </c>
      <c r="G1334">
        <v>1</v>
      </c>
      <c r="H1334">
        <v>3.0191590249083</v>
      </c>
      <c r="I1334" t="s">
        <v>957</v>
      </c>
      <c r="J1334" t="s">
        <v>4017</v>
      </c>
      <c r="K1334">
        <v>4.2857142857142899E-2</v>
      </c>
      <c r="L1334" t="s">
        <v>959</v>
      </c>
      <c r="M1334">
        <v>2.9197080291970798</v>
      </c>
      <c r="N1334" t="s">
        <v>960</v>
      </c>
      <c r="O1334">
        <v>0</v>
      </c>
      <c r="P1334">
        <v>0</v>
      </c>
      <c r="Q1334">
        <v>0</v>
      </c>
      <c r="R1334">
        <v>0</v>
      </c>
    </row>
    <row r="1335" spans="1:18" ht="16" x14ac:dyDescent="0.2">
      <c r="A1335" s="130" t="s">
        <v>3909</v>
      </c>
      <c r="B1335" t="s">
        <v>70</v>
      </c>
      <c r="C1335" t="s">
        <v>2242</v>
      </c>
      <c r="D1335" t="s">
        <v>2243</v>
      </c>
      <c r="E1335">
        <v>3</v>
      </c>
      <c r="F1335">
        <v>3</v>
      </c>
      <c r="G1335">
        <v>1</v>
      </c>
      <c r="H1335">
        <v>3.0813915027212899</v>
      </c>
      <c r="I1335" t="s">
        <v>957</v>
      </c>
      <c r="J1335" t="s">
        <v>4821</v>
      </c>
      <c r="K1335">
        <v>9.2857142857142902E-2</v>
      </c>
      <c r="L1335" t="s">
        <v>959</v>
      </c>
      <c r="M1335">
        <v>7.2992700729926998</v>
      </c>
      <c r="N1335" t="s">
        <v>960</v>
      </c>
      <c r="O1335">
        <v>0</v>
      </c>
      <c r="P1335">
        <v>0</v>
      </c>
      <c r="Q1335">
        <v>0</v>
      </c>
      <c r="R1335">
        <v>0</v>
      </c>
    </row>
    <row r="1336" spans="1:18" ht="16" x14ac:dyDescent="0.2">
      <c r="A1336" s="130" t="s">
        <v>3909</v>
      </c>
      <c r="B1336" t="s">
        <v>70</v>
      </c>
      <c r="C1336" t="s">
        <v>3433</v>
      </c>
      <c r="D1336" t="s">
        <v>3434</v>
      </c>
      <c r="E1336">
        <v>3</v>
      </c>
      <c r="F1336">
        <v>3</v>
      </c>
      <c r="G1336">
        <v>1</v>
      </c>
      <c r="H1336">
        <v>3.5188623556090999</v>
      </c>
      <c r="I1336" t="s">
        <v>957</v>
      </c>
      <c r="J1336" t="s">
        <v>4425</v>
      </c>
      <c r="K1336">
        <v>9.2857142857142902E-2</v>
      </c>
      <c r="L1336" t="s">
        <v>959</v>
      </c>
      <c r="M1336">
        <v>2.9197080291970798</v>
      </c>
      <c r="N1336" t="s">
        <v>960</v>
      </c>
      <c r="O1336">
        <v>0</v>
      </c>
      <c r="P1336">
        <v>0</v>
      </c>
      <c r="Q1336">
        <v>0</v>
      </c>
      <c r="R1336">
        <v>0</v>
      </c>
    </row>
    <row r="1337" spans="1:18" ht="16" x14ac:dyDescent="0.2">
      <c r="A1337" s="130" t="s">
        <v>3909</v>
      </c>
      <c r="B1337" t="s">
        <v>70</v>
      </c>
      <c r="C1337" t="s">
        <v>1218</v>
      </c>
      <c r="D1337" t="s">
        <v>1219</v>
      </c>
      <c r="E1337">
        <v>3</v>
      </c>
      <c r="F1337">
        <v>3</v>
      </c>
      <c r="G1337">
        <v>1</v>
      </c>
      <c r="H1337">
        <v>3.29864850449222</v>
      </c>
      <c r="I1337" t="s">
        <v>957</v>
      </c>
      <c r="J1337" t="s">
        <v>4892</v>
      </c>
      <c r="K1337">
        <v>7.8571428571428598E-2</v>
      </c>
      <c r="L1337" t="s">
        <v>959</v>
      </c>
      <c r="M1337">
        <v>1.4598540145985399</v>
      </c>
      <c r="N1337" t="s">
        <v>960</v>
      </c>
      <c r="O1337">
        <v>0</v>
      </c>
      <c r="P1337">
        <v>0</v>
      </c>
      <c r="Q1337">
        <v>0</v>
      </c>
      <c r="R1337">
        <v>0</v>
      </c>
    </row>
    <row r="1338" spans="1:18" ht="16" x14ac:dyDescent="0.2">
      <c r="A1338" s="130" t="s">
        <v>3909</v>
      </c>
      <c r="B1338" t="s">
        <v>70</v>
      </c>
      <c r="C1338" t="s">
        <v>1518</v>
      </c>
      <c r="D1338" t="s">
        <v>2033</v>
      </c>
      <c r="E1338">
        <v>6</v>
      </c>
      <c r="F1338">
        <v>6</v>
      </c>
      <c r="G1338">
        <v>1</v>
      </c>
      <c r="H1338">
        <v>2.4180921993542102</v>
      </c>
      <c r="I1338" t="s">
        <v>957</v>
      </c>
      <c r="J1338" t="s">
        <v>4148</v>
      </c>
      <c r="K1338">
        <v>0.107142857142857</v>
      </c>
      <c r="L1338" t="s">
        <v>959</v>
      </c>
      <c r="M1338">
        <v>8.0291970802919703</v>
      </c>
      <c r="N1338" t="s">
        <v>960</v>
      </c>
      <c r="O1338">
        <v>0</v>
      </c>
      <c r="P1338">
        <v>0</v>
      </c>
      <c r="Q1338">
        <v>0</v>
      </c>
      <c r="R1338">
        <v>0</v>
      </c>
    </row>
    <row r="1339" spans="1:18" ht="16" x14ac:dyDescent="0.2">
      <c r="A1339" s="130" t="s">
        <v>3909</v>
      </c>
      <c r="B1339" t="s">
        <v>70</v>
      </c>
      <c r="C1339" t="s">
        <v>2937</v>
      </c>
      <c r="D1339" t="s">
        <v>2938</v>
      </c>
      <c r="E1339" t="s">
        <v>1442</v>
      </c>
      <c r="F1339">
        <v>5</v>
      </c>
      <c r="G1339">
        <v>2</v>
      </c>
      <c r="H1339">
        <v>3.4826921058146101</v>
      </c>
      <c r="I1339" t="s">
        <v>957</v>
      </c>
      <c r="J1339" t="s">
        <v>3941</v>
      </c>
      <c r="K1339">
        <v>0.16428571428571401</v>
      </c>
      <c r="L1339" t="s">
        <v>959</v>
      </c>
      <c r="M1339">
        <v>7.2992700729926998</v>
      </c>
      <c r="N1339" t="s">
        <v>960</v>
      </c>
      <c r="O1339">
        <v>0</v>
      </c>
      <c r="P1339">
        <v>0</v>
      </c>
      <c r="Q1339">
        <v>0</v>
      </c>
      <c r="R1339">
        <v>0</v>
      </c>
    </row>
    <row r="1340" spans="1:18" ht="16" x14ac:dyDescent="0.2">
      <c r="A1340" s="130" t="s">
        <v>3909</v>
      </c>
      <c r="B1340" t="s">
        <v>70</v>
      </c>
      <c r="C1340" t="s">
        <v>1332</v>
      </c>
      <c r="D1340" t="s">
        <v>1333</v>
      </c>
      <c r="E1340" t="s">
        <v>1265</v>
      </c>
      <c r="F1340">
        <v>6</v>
      </c>
      <c r="G1340">
        <v>2</v>
      </c>
      <c r="H1340">
        <v>2.86915915843618</v>
      </c>
      <c r="I1340" t="s">
        <v>957</v>
      </c>
      <c r="J1340" t="s">
        <v>4621</v>
      </c>
      <c r="K1340">
        <v>0.114285714285714</v>
      </c>
      <c r="L1340" t="s">
        <v>959</v>
      </c>
      <c r="M1340">
        <v>9.4890510948905096</v>
      </c>
      <c r="N1340" t="s">
        <v>960</v>
      </c>
      <c r="O1340">
        <v>0</v>
      </c>
      <c r="P1340">
        <v>0</v>
      </c>
      <c r="Q1340">
        <v>0</v>
      </c>
      <c r="R1340">
        <v>0</v>
      </c>
    </row>
    <row r="1341" spans="1:18" ht="16" x14ac:dyDescent="0.2">
      <c r="A1341" s="130" t="s">
        <v>3909</v>
      </c>
      <c r="B1341" t="s">
        <v>70</v>
      </c>
      <c r="C1341" t="s">
        <v>3332</v>
      </c>
      <c r="D1341" t="s">
        <v>3333</v>
      </c>
      <c r="E1341">
        <v>3</v>
      </c>
      <c r="F1341">
        <v>3</v>
      </c>
      <c r="G1341">
        <v>1</v>
      </c>
      <c r="H1341">
        <v>2.9600676594626201</v>
      </c>
      <c r="I1341" t="s">
        <v>957</v>
      </c>
      <c r="J1341" t="s">
        <v>4843</v>
      </c>
      <c r="K1341">
        <v>0.185714285714286</v>
      </c>
      <c r="L1341" t="s">
        <v>959</v>
      </c>
      <c r="M1341">
        <v>4.3795620437956204</v>
      </c>
      <c r="N1341" t="s">
        <v>960</v>
      </c>
      <c r="O1341">
        <v>0</v>
      </c>
      <c r="P1341">
        <v>0</v>
      </c>
      <c r="Q1341">
        <v>0</v>
      </c>
      <c r="R1341">
        <v>0</v>
      </c>
    </row>
    <row r="1342" spans="1:18" ht="16" x14ac:dyDescent="0.2">
      <c r="A1342" s="130" t="s">
        <v>3909</v>
      </c>
      <c r="B1342" t="s">
        <v>70</v>
      </c>
      <c r="C1342" t="s">
        <v>2665</v>
      </c>
      <c r="D1342" t="s">
        <v>2666</v>
      </c>
      <c r="E1342">
        <v>6</v>
      </c>
      <c r="F1342">
        <v>6</v>
      </c>
      <c r="G1342">
        <v>1</v>
      </c>
      <c r="H1342">
        <v>4.0984823965025301</v>
      </c>
      <c r="I1342" t="s">
        <v>957</v>
      </c>
      <c r="J1342" t="s">
        <v>2667</v>
      </c>
      <c r="K1342">
        <v>5.7142857142857099E-2</v>
      </c>
      <c r="L1342" t="s">
        <v>959</v>
      </c>
      <c r="M1342">
        <v>2.9197080291970798</v>
      </c>
      <c r="N1342" t="s">
        <v>960</v>
      </c>
      <c r="O1342">
        <v>0</v>
      </c>
      <c r="P1342">
        <v>0</v>
      </c>
      <c r="Q1342">
        <v>0</v>
      </c>
      <c r="R1342">
        <v>0</v>
      </c>
    </row>
    <row r="1343" spans="1:18" ht="16" x14ac:dyDescent="0.2">
      <c r="A1343" s="130" t="s">
        <v>3909</v>
      </c>
      <c r="B1343" t="s">
        <v>70</v>
      </c>
      <c r="C1343" s="128" t="s">
        <v>1906</v>
      </c>
      <c r="D1343" t="s">
        <v>1907</v>
      </c>
      <c r="E1343" t="s">
        <v>1022</v>
      </c>
      <c r="F1343">
        <v>3</v>
      </c>
      <c r="G1343">
        <v>2</v>
      </c>
      <c r="H1343">
        <v>3.9229826005957</v>
      </c>
      <c r="I1343" t="s">
        <v>957</v>
      </c>
      <c r="J1343" t="s">
        <v>2158</v>
      </c>
      <c r="K1343">
        <v>9.2857142857142902E-2</v>
      </c>
      <c r="L1343" t="s">
        <v>959</v>
      </c>
      <c r="M1343">
        <v>3.6496350364963499</v>
      </c>
      <c r="N1343" s="128" t="s">
        <v>960</v>
      </c>
      <c r="O1343">
        <v>0</v>
      </c>
      <c r="P1343">
        <v>0</v>
      </c>
      <c r="Q1343">
        <v>0</v>
      </c>
      <c r="R1343">
        <v>0</v>
      </c>
    </row>
    <row r="1344" spans="1:18" ht="16" x14ac:dyDescent="0.2">
      <c r="A1344" s="130" t="s">
        <v>3909</v>
      </c>
      <c r="B1344" t="s">
        <v>70</v>
      </c>
      <c r="C1344" t="s">
        <v>1244</v>
      </c>
      <c r="D1344" t="s">
        <v>1245</v>
      </c>
      <c r="E1344" t="s">
        <v>1022</v>
      </c>
      <c r="F1344">
        <v>3</v>
      </c>
      <c r="G1344">
        <v>2</v>
      </c>
      <c r="H1344">
        <v>3.3386958776161801</v>
      </c>
      <c r="I1344" t="s">
        <v>957</v>
      </c>
      <c r="J1344" t="s">
        <v>4061</v>
      </c>
      <c r="K1344">
        <v>0.121428571428571</v>
      </c>
      <c r="L1344" t="s">
        <v>959</v>
      </c>
      <c r="M1344">
        <v>5.8394160583941597</v>
      </c>
      <c r="N1344" t="s">
        <v>960</v>
      </c>
      <c r="O1344">
        <v>0</v>
      </c>
      <c r="P1344">
        <v>0</v>
      </c>
      <c r="Q1344">
        <v>0</v>
      </c>
      <c r="R1344">
        <v>0</v>
      </c>
    </row>
    <row r="1345" spans="1:18" ht="16" x14ac:dyDescent="0.2">
      <c r="A1345" s="130" t="s">
        <v>3909</v>
      </c>
      <c r="B1345" t="s">
        <v>74</v>
      </c>
      <c r="C1345" t="s">
        <v>1875</v>
      </c>
      <c r="D1345" t="s">
        <v>1876</v>
      </c>
      <c r="E1345">
        <v>9</v>
      </c>
      <c r="F1345">
        <v>9</v>
      </c>
      <c r="G1345">
        <v>1</v>
      </c>
      <c r="H1345">
        <v>0.82636960902842305</v>
      </c>
      <c r="I1345" t="s">
        <v>957</v>
      </c>
      <c r="J1345" t="s">
        <v>4528</v>
      </c>
      <c r="K1345">
        <v>7.8571428571428598E-2</v>
      </c>
      <c r="L1345" t="s">
        <v>959</v>
      </c>
      <c r="M1345">
        <v>5.8394160583941597</v>
      </c>
      <c r="N1345" t="s">
        <v>960</v>
      </c>
      <c r="O1345">
        <v>0</v>
      </c>
      <c r="P1345">
        <v>0</v>
      </c>
      <c r="Q1345">
        <v>0</v>
      </c>
      <c r="R1345">
        <v>0</v>
      </c>
    </row>
    <row r="1346" spans="1:18" ht="16" x14ac:dyDescent="0.2">
      <c r="A1346" s="130" t="s">
        <v>3909</v>
      </c>
      <c r="B1346" t="s">
        <v>74</v>
      </c>
      <c r="C1346" t="s">
        <v>3664</v>
      </c>
      <c r="D1346" t="s">
        <v>3665</v>
      </c>
      <c r="E1346">
        <v>3</v>
      </c>
      <c r="F1346">
        <v>3</v>
      </c>
      <c r="G1346">
        <v>1</v>
      </c>
      <c r="H1346">
        <v>3.8496809309165099</v>
      </c>
      <c r="I1346" t="s">
        <v>957</v>
      </c>
      <c r="J1346" t="s">
        <v>4721</v>
      </c>
      <c r="K1346">
        <v>0.128571428571429</v>
      </c>
      <c r="L1346" t="s">
        <v>959</v>
      </c>
      <c r="M1346">
        <v>4.3795620437956204</v>
      </c>
      <c r="N1346" t="s">
        <v>960</v>
      </c>
      <c r="O1346">
        <v>0</v>
      </c>
      <c r="P1346">
        <v>0</v>
      </c>
      <c r="Q1346">
        <v>0</v>
      </c>
      <c r="R1346">
        <v>0</v>
      </c>
    </row>
    <row r="1347" spans="1:18" ht="16" x14ac:dyDescent="0.2">
      <c r="A1347" s="130" t="s">
        <v>3909</v>
      </c>
      <c r="B1347" t="s">
        <v>74</v>
      </c>
      <c r="C1347" t="s">
        <v>3305</v>
      </c>
      <c r="D1347" t="s">
        <v>3306</v>
      </c>
      <c r="E1347">
        <v>3</v>
      </c>
      <c r="F1347">
        <v>3</v>
      </c>
      <c r="G1347">
        <v>1</v>
      </c>
      <c r="H1347">
        <v>1.67794826961122</v>
      </c>
      <c r="I1347" t="s">
        <v>957</v>
      </c>
      <c r="J1347" t="s">
        <v>4661</v>
      </c>
      <c r="K1347">
        <v>0.16428571428571401</v>
      </c>
      <c r="L1347" t="s">
        <v>959</v>
      </c>
      <c r="M1347">
        <v>8.7591240875912408</v>
      </c>
      <c r="N1347" t="s">
        <v>960</v>
      </c>
      <c r="O1347">
        <v>0</v>
      </c>
      <c r="P1347">
        <v>0</v>
      </c>
      <c r="Q1347">
        <v>0</v>
      </c>
      <c r="R1347">
        <v>0</v>
      </c>
    </row>
    <row r="1348" spans="1:18" ht="16" x14ac:dyDescent="0.2">
      <c r="A1348" s="130" t="s">
        <v>3909</v>
      </c>
      <c r="B1348" t="s">
        <v>74</v>
      </c>
      <c r="C1348" t="s">
        <v>2964</v>
      </c>
      <c r="D1348" t="s">
        <v>2965</v>
      </c>
      <c r="E1348" t="s">
        <v>1039</v>
      </c>
      <c r="F1348">
        <v>3</v>
      </c>
      <c r="G1348">
        <v>2</v>
      </c>
      <c r="H1348">
        <v>3.4294692299173501</v>
      </c>
      <c r="I1348" t="s">
        <v>957</v>
      </c>
      <c r="J1348" t="s">
        <v>4342</v>
      </c>
      <c r="K1348">
        <v>0.121428571428571</v>
      </c>
      <c r="L1348" t="s">
        <v>959</v>
      </c>
      <c r="M1348">
        <v>3.6496350364963499</v>
      </c>
      <c r="N1348" t="s">
        <v>960</v>
      </c>
      <c r="O1348">
        <v>0</v>
      </c>
      <c r="P1348" t="s">
        <v>5017</v>
      </c>
      <c r="Q1348">
        <v>0</v>
      </c>
      <c r="R1348" t="s">
        <v>5019</v>
      </c>
    </row>
    <row r="1349" spans="1:18" ht="16" x14ac:dyDescent="0.2">
      <c r="A1349" s="130" t="s">
        <v>3909</v>
      </c>
      <c r="B1349" t="s">
        <v>74</v>
      </c>
      <c r="C1349" t="s">
        <v>1247</v>
      </c>
      <c r="D1349" t="s">
        <v>1248</v>
      </c>
      <c r="E1349">
        <v>5</v>
      </c>
      <c r="F1349">
        <v>5</v>
      </c>
      <c r="G1349">
        <v>1</v>
      </c>
      <c r="H1349">
        <v>3.6930289943994001</v>
      </c>
      <c r="I1349" t="s">
        <v>957</v>
      </c>
      <c r="J1349" t="s">
        <v>4663</v>
      </c>
      <c r="K1349">
        <v>8.5714285714285701E-2</v>
      </c>
      <c r="L1349" t="s">
        <v>959</v>
      </c>
      <c r="M1349">
        <v>6.5693430656934302</v>
      </c>
      <c r="N1349" t="s">
        <v>960</v>
      </c>
      <c r="O1349">
        <v>0</v>
      </c>
      <c r="P1349">
        <v>0</v>
      </c>
      <c r="Q1349">
        <v>0</v>
      </c>
      <c r="R1349">
        <v>0</v>
      </c>
    </row>
    <row r="1350" spans="1:18" ht="16" x14ac:dyDescent="0.2">
      <c r="A1350" s="130" t="s">
        <v>3909</v>
      </c>
      <c r="B1350" t="s">
        <v>74</v>
      </c>
      <c r="C1350" t="s">
        <v>2814</v>
      </c>
      <c r="D1350" t="s">
        <v>2815</v>
      </c>
      <c r="E1350">
        <v>4</v>
      </c>
      <c r="F1350">
        <v>4</v>
      </c>
      <c r="G1350">
        <v>1</v>
      </c>
      <c r="H1350">
        <v>2.91140824158802</v>
      </c>
      <c r="I1350" t="s">
        <v>957</v>
      </c>
      <c r="J1350" t="s">
        <v>4599</v>
      </c>
      <c r="K1350">
        <v>0.15</v>
      </c>
      <c r="L1350" t="s">
        <v>959</v>
      </c>
      <c r="M1350">
        <v>7.2992700729926998</v>
      </c>
      <c r="N1350" t="s">
        <v>960</v>
      </c>
      <c r="O1350">
        <v>0</v>
      </c>
      <c r="P1350">
        <v>0</v>
      </c>
      <c r="Q1350">
        <v>0</v>
      </c>
      <c r="R1350">
        <v>0</v>
      </c>
    </row>
    <row r="1351" spans="1:18" ht="16" x14ac:dyDescent="0.2">
      <c r="A1351" s="130" t="s">
        <v>3909</v>
      </c>
      <c r="B1351" t="s">
        <v>74</v>
      </c>
      <c r="C1351" t="s">
        <v>1147</v>
      </c>
      <c r="D1351" t="s">
        <v>1148</v>
      </c>
      <c r="E1351" t="s">
        <v>1052</v>
      </c>
      <c r="F1351">
        <v>2</v>
      </c>
      <c r="G1351">
        <v>2</v>
      </c>
      <c r="H1351">
        <v>1.9282797211704299</v>
      </c>
      <c r="I1351" t="s">
        <v>957</v>
      </c>
      <c r="J1351" t="s">
        <v>3055</v>
      </c>
      <c r="K1351">
        <v>9.2857142857142902E-2</v>
      </c>
      <c r="L1351" t="s">
        <v>959</v>
      </c>
      <c r="M1351">
        <v>6.5693430656934302</v>
      </c>
      <c r="N1351" t="s">
        <v>960</v>
      </c>
      <c r="O1351">
        <v>0</v>
      </c>
      <c r="P1351">
        <v>0</v>
      </c>
      <c r="Q1351">
        <v>0</v>
      </c>
      <c r="R1351">
        <v>0</v>
      </c>
    </row>
    <row r="1352" spans="1:18" ht="16" x14ac:dyDescent="0.2">
      <c r="A1352" s="130" t="s">
        <v>3909</v>
      </c>
      <c r="B1352" t="s">
        <v>74</v>
      </c>
      <c r="C1352" t="s">
        <v>2877</v>
      </c>
      <c r="D1352" t="s">
        <v>2878</v>
      </c>
      <c r="E1352">
        <v>6</v>
      </c>
      <c r="F1352">
        <v>6</v>
      </c>
      <c r="G1352">
        <v>1</v>
      </c>
      <c r="H1352">
        <v>3.7577899870017601</v>
      </c>
      <c r="I1352" t="s">
        <v>957</v>
      </c>
      <c r="J1352" t="s">
        <v>3924</v>
      </c>
      <c r="K1352">
        <v>0.128571428571429</v>
      </c>
      <c r="L1352" t="s">
        <v>959</v>
      </c>
      <c r="M1352">
        <v>9.4890510948905096</v>
      </c>
      <c r="N1352" t="s">
        <v>960</v>
      </c>
      <c r="O1352">
        <v>0</v>
      </c>
      <c r="P1352" t="s">
        <v>5018</v>
      </c>
      <c r="Q1352">
        <v>0</v>
      </c>
      <c r="R1352">
        <v>0</v>
      </c>
    </row>
    <row r="1353" spans="1:18" ht="16" x14ac:dyDescent="0.2">
      <c r="A1353" s="130" t="s">
        <v>3909</v>
      </c>
      <c r="B1353" t="s">
        <v>78</v>
      </c>
      <c r="C1353" t="s">
        <v>1615</v>
      </c>
      <c r="D1353" t="s">
        <v>1616</v>
      </c>
      <c r="E1353">
        <v>4</v>
      </c>
      <c r="F1353">
        <v>4</v>
      </c>
      <c r="G1353">
        <v>1</v>
      </c>
      <c r="H1353">
        <v>0.24782337655644099</v>
      </c>
      <c r="I1353" t="s">
        <v>957</v>
      </c>
      <c r="J1353" t="s">
        <v>4153</v>
      </c>
      <c r="K1353">
        <v>7.1428571428571397E-2</v>
      </c>
      <c r="L1353" t="s">
        <v>959</v>
      </c>
      <c r="M1353">
        <v>5.8394160583941597</v>
      </c>
      <c r="N1353" t="s">
        <v>960</v>
      </c>
      <c r="O1353">
        <v>0</v>
      </c>
      <c r="P1353" t="s">
        <v>5018</v>
      </c>
      <c r="Q1353">
        <v>0</v>
      </c>
      <c r="R1353">
        <v>0</v>
      </c>
    </row>
    <row r="1354" spans="1:18" ht="16" x14ac:dyDescent="0.2">
      <c r="A1354" s="130" t="s">
        <v>3909</v>
      </c>
      <c r="B1354" t="s">
        <v>78</v>
      </c>
      <c r="C1354" t="s">
        <v>1802</v>
      </c>
      <c r="D1354" t="s">
        <v>1803</v>
      </c>
      <c r="E1354">
        <v>3</v>
      </c>
      <c r="F1354">
        <v>3</v>
      </c>
      <c r="G1354">
        <v>1</v>
      </c>
      <c r="H1354">
        <v>1.6491138382846</v>
      </c>
      <c r="I1354" t="s">
        <v>957</v>
      </c>
      <c r="J1354" t="s">
        <v>3052</v>
      </c>
      <c r="K1354">
        <v>0.1</v>
      </c>
      <c r="L1354" t="s">
        <v>959</v>
      </c>
      <c r="M1354">
        <v>6.5693430656934302</v>
      </c>
      <c r="N1354" t="s">
        <v>960</v>
      </c>
      <c r="O1354">
        <v>0</v>
      </c>
      <c r="P1354">
        <v>0</v>
      </c>
      <c r="Q1354">
        <v>0</v>
      </c>
      <c r="R1354">
        <v>0</v>
      </c>
    </row>
    <row r="1355" spans="1:18" ht="16" x14ac:dyDescent="0.2">
      <c r="A1355" s="130" t="s">
        <v>3909</v>
      </c>
      <c r="B1355" t="s">
        <v>78</v>
      </c>
      <c r="C1355" t="s">
        <v>3771</v>
      </c>
      <c r="D1355" t="s">
        <v>3772</v>
      </c>
      <c r="E1355">
        <v>3</v>
      </c>
      <c r="F1355">
        <v>3</v>
      </c>
      <c r="G1355">
        <v>1</v>
      </c>
      <c r="H1355">
        <v>3.25253133045398</v>
      </c>
      <c r="I1355" t="s">
        <v>957</v>
      </c>
      <c r="J1355" t="s">
        <v>3773</v>
      </c>
      <c r="K1355">
        <v>0.192857142857143</v>
      </c>
      <c r="L1355" t="s">
        <v>959</v>
      </c>
      <c r="M1355">
        <v>5.10948905109489</v>
      </c>
      <c r="N1355" t="s">
        <v>960</v>
      </c>
      <c r="O1355">
        <v>0</v>
      </c>
      <c r="P1355">
        <v>0</v>
      </c>
      <c r="Q1355">
        <v>0</v>
      </c>
      <c r="R1355">
        <v>0</v>
      </c>
    </row>
    <row r="1356" spans="1:18" ht="16" x14ac:dyDescent="0.2">
      <c r="A1356" s="130" t="s">
        <v>3909</v>
      </c>
      <c r="B1356" t="s">
        <v>78</v>
      </c>
      <c r="C1356" t="s">
        <v>2091</v>
      </c>
      <c r="D1356" t="s">
        <v>2092</v>
      </c>
      <c r="E1356" t="s">
        <v>1039</v>
      </c>
      <c r="F1356">
        <v>3</v>
      </c>
      <c r="G1356">
        <v>2</v>
      </c>
      <c r="H1356">
        <v>2.7590697933653701</v>
      </c>
      <c r="I1356" t="s">
        <v>957</v>
      </c>
      <c r="J1356" t="s">
        <v>4538</v>
      </c>
      <c r="K1356">
        <v>0.14285714285714299</v>
      </c>
      <c r="L1356" t="s">
        <v>959</v>
      </c>
      <c r="M1356">
        <v>6.5693430656934302</v>
      </c>
      <c r="N1356" t="s">
        <v>960</v>
      </c>
      <c r="O1356">
        <v>0</v>
      </c>
      <c r="P1356">
        <v>0</v>
      </c>
      <c r="Q1356">
        <v>0</v>
      </c>
      <c r="R1356">
        <v>0</v>
      </c>
    </row>
    <row r="1357" spans="1:18" ht="16" x14ac:dyDescent="0.2">
      <c r="A1357" s="130" t="s">
        <v>3909</v>
      </c>
      <c r="B1357" t="s">
        <v>82</v>
      </c>
      <c r="C1357" t="s">
        <v>223</v>
      </c>
      <c r="D1357" t="s">
        <v>3707</v>
      </c>
      <c r="E1357">
        <v>2</v>
      </c>
      <c r="F1357">
        <v>2</v>
      </c>
      <c r="G1357">
        <v>1</v>
      </c>
      <c r="H1357">
        <v>2.7078878501786399</v>
      </c>
      <c r="I1357" t="s">
        <v>957</v>
      </c>
      <c r="J1357" t="s">
        <v>4851</v>
      </c>
      <c r="K1357">
        <v>2.1428571428571401E-2</v>
      </c>
      <c r="L1357" t="s">
        <v>959</v>
      </c>
      <c r="M1357">
        <v>2.1897810218978102</v>
      </c>
      <c r="N1357" t="s">
        <v>960</v>
      </c>
      <c r="O1357">
        <v>0</v>
      </c>
      <c r="P1357" t="s">
        <v>5017</v>
      </c>
      <c r="Q1357">
        <v>0</v>
      </c>
      <c r="R1357">
        <v>0</v>
      </c>
    </row>
    <row r="1358" spans="1:18" ht="16" x14ac:dyDescent="0.2">
      <c r="A1358" s="130" t="s">
        <v>3909</v>
      </c>
      <c r="B1358" t="s">
        <v>86</v>
      </c>
      <c r="C1358" t="s">
        <v>2242</v>
      </c>
      <c r="D1358" t="s">
        <v>2243</v>
      </c>
      <c r="E1358">
        <v>3</v>
      </c>
      <c r="F1358">
        <v>3</v>
      </c>
      <c r="G1358">
        <v>1</v>
      </c>
      <c r="H1358">
        <v>3.0813915027212899</v>
      </c>
      <c r="I1358" t="s">
        <v>957</v>
      </c>
      <c r="J1358" t="s">
        <v>4093</v>
      </c>
      <c r="K1358">
        <v>9.2857142857142902E-2</v>
      </c>
      <c r="L1358" t="s">
        <v>959</v>
      </c>
      <c r="M1358">
        <v>7.2992700729926998</v>
      </c>
      <c r="N1358" t="s">
        <v>960</v>
      </c>
      <c r="O1358">
        <v>0</v>
      </c>
      <c r="P1358">
        <v>0</v>
      </c>
      <c r="Q1358">
        <v>0</v>
      </c>
      <c r="R1358">
        <v>0</v>
      </c>
    </row>
    <row r="1359" spans="1:18" ht="16" x14ac:dyDescent="0.2">
      <c r="A1359" s="130" t="s">
        <v>3909</v>
      </c>
      <c r="B1359" t="s">
        <v>90</v>
      </c>
      <c r="C1359" t="s">
        <v>142</v>
      </c>
      <c r="D1359" t="s">
        <v>1342</v>
      </c>
      <c r="E1359">
        <v>3</v>
      </c>
      <c r="F1359">
        <v>3</v>
      </c>
      <c r="G1359">
        <v>1</v>
      </c>
      <c r="H1359">
        <v>3.5148056161750598</v>
      </c>
      <c r="I1359" t="s">
        <v>957</v>
      </c>
      <c r="J1359" t="s">
        <v>1343</v>
      </c>
      <c r="K1359">
        <v>2.8571428571428598E-2</v>
      </c>
      <c r="L1359" t="s">
        <v>959</v>
      </c>
      <c r="M1359">
        <v>2.1897810218978102</v>
      </c>
      <c r="N1359" t="s">
        <v>960</v>
      </c>
      <c r="O1359">
        <v>0</v>
      </c>
      <c r="P1359">
        <v>0</v>
      </c>
      <c r="Q1359">
        <v>0</v>
      </c>
      <c r="R1359">
        <v>0</v>
      </c>
    </row>
    <row r="1360" spans="1:18" ht="16" x14ac:dyDescent="0.2">
      <c r="A1360" s="130" t="s">
        <v>3909</v>
      </c>
      <c r="B1360" t="s">
        <v>90</v>
      </c>
      <c r="C1360" t="s">
        <v>53</v>
      </c>
      <c r="D1360" t="s">
        <v>3970</v>
      </c>
      <c r="E1360">
        <v>2</v>
      </c>
      <c r="F1360">
        <v>2</v>
      </c>
      <c r="G1360">
        <v>1</v>
      </c>
      <c r="H1360">
        <v>0.50428736425384602</v>
      </c>
      <c r="I1360" t="s">
        <v>957</v>
      </c>
      <c r="J1360" t="s">
        <v>3971</v>
      </c>
      <c r="K1360">
        <v>4.2857142857142899E-2</v>
      </c>
      <c r="L1360" t="s">
        <v>959</v>
      </c>
      <c r="M1360">
        <v>2.1897810218978102</v>
      </c>
      <c r="N1360" t="s">
        <v>960</v>
      </c>
      <c r="O1360">
        <v>0</v>
      </c>
      <c r="P1360">
        <v>0</v>
      </c>
      <c r="Q1360">
        <v>0</v>
      </c>
      <c r="R1360">
        <v>0</v>
      </c>
    </row>
    <row r="1361" spans="1:18" ht="16" x14ac:dyDescent="0.2">
      <c r="A1361" s="130" t="s">
        <v>3909</v>
      </c>
      <c r="B1361" t="s">
        <v>90</v>
      </c>
      <c r="C1361" t="s">
        <v>2088</v>
      </c>
      <c r="D1361" t="s">
        <v>2089</v>
      </c>
      <c r="E1361">
        <v>3</v>
      </c>
      <c r="F1361">
        <v>3</v>
      </c>
      <c r="G1361">
        <v>1</v>
      </c>
      <c r="H1361">
        <v>4.0059770587497701</v>
      </c>
      <c r="I1361" t="s">
        <v>957</v>
      </c>
      <c r="J1361" t="s">
        <v>2393</v>
      </c>
      <c r="K1361">
        <v>7.8571428571428598E-2</v>
      </c>
      <c r="L1361" t="s">
        <v>959</v>
      </c>
      <c r="M1361">
        <v>5.8394160583941597</v>
      </c>
      <c r="N1361" t="s">
        <v>960</v>
      </c>
      <c r="O1361">
        <v>0</v>
      </c>
      <c r="P1361">
        <v>0</v>
      </c>
      <c r="Q1361">
        <v>0</v>
      </c>
      <c r="R1361">
        <v>0</v>
      </c>
    </row>
    <row r="1362" spans="1:18" ht="16" x14ac:dyDescent="0.2">
      <c r="A1362" s="130" t="s">
        <v>3909</v>
      </c>
      <c r="B1362" t="s">
        <v>90</v>
      </c>
      <c r="C1362" t="s">
        <v>3697</v>
      </c>
      <c r="D1362" t="s">
        <v>3698</v>
      </c>
      <c r="E1362">
        <v>3</v>
      </c>
      <c r="F1362">
        <v>3</v>
      </c>
      <c r="G1362">
        <v>1</v>
      </c>
      <c r="H1362">
        <v>2.8873615882857702</v>
      </c>
      <c r="I1362" t="s">
        <v>957</v>
      </c>
      <c r="J1362" t="s">
        <v>4188</v>
      </c>
      <c r="K1362">
        <v>0.192857142857143</v>
      </c>
      <c r="L1362" t="s">
        <v>959</v>
      </c>
      <c r="M1362">
        <v>5.10948905109489</v>
      </c>
      <c r="N1362" t="s">
        <v>960</v>
      </c>
      <c r="O1362">
        <v>0</v>
      </c>
      <c r="P1362">
        <v>0</v>
      </c>
      <c r="Q1362">
        <v>0</v>
      </c>
      <c r="R1362">
        <v>0</v>
      </c>
    </row>
    <row r="1363" spans="1:18" ht="16" x14ac:dyDescent="0.2">
      <c r="A1363" s="130" t="s">
        <v>3909</v>
      </c>
      <c r="B1363" t="s">
        <v>90</v>
      </c>
      <c r="C1363" t="s">
        <v>3251</v>
      </c>
      <c r="D1363" t="s">
        <v>3252</v>
      </c>
      <c r="E1363" t="s">
        <v>1432</v>
      </c>
      <c r="F1363">
        <v>6</v>
      </c>
      <c r="G1363">
        <v>2</v>
      </c>
      <c r="H1363">
        <v>0.71209825487935896</v>
      </c>
      <c r="I1363" t="s">
        <v>957</v>
      </c>
      <c r="J1363" t="s">
        <v>4169</v>
      </c>
      <c r="K1363">
        <v>0.24137931034482801</v>
      </c>
      <c r="L1363" t="s">
        <v>972</v>
      </c>
      <c r="M1363">
        <v>2.9197080291970798</v>
      </c>
      <c r="N1363" t="s">
        <v>973</v>
      </c>
      <c r="O1363">
        <v>0</v>
      </c>
      <c r="P1363">
        <v>0</v>
      </c>
      <c r="Q1363">
        <v>0</v>
      </c>
      <c r="R1363">
        <v>0</v>
      </c>
    </row>
    <row r="1364" spans="1:18" ht="16" x14ac:dyDescent="0.2">
      <c r="A1364" s="130" t="s">
        <v>3909</v>
      </c>
      <c r="B1364" t="s">
        <v>90</v>
      </c>
      <c r="C1364" t="s">
        <v>1351</v>
      </c>
      <c r="D1364" t="s">
        <v>1352</v>
      </c>
      <c r="E1364">
        <v>4</v>
      </c>
      <c r="F1364">
        <v>4</v>
      </c>
      <c r="G1364">
        <v>1</v>
      </c>
      <c r="H1364">
        <v>2.2200743369976199</v>
      </c>
      <c r="I1364" t="s">
        <v>957</v>
      </c>
      <c r="J1364" t="s">
        <v>4890</v>
      </c>
      <c r="K1364">
        <v>0.1</v>
      </c>
      <c r="L1364" t="s">
        <v>959</v>
      </c>
      <c r="M1364">
        <v>3.6496350364963499</v>
      </c>
      <c r="N1364" t="s">
        <v>960</v>
      </c>
      <c r="O1364">
        <v>0</v>
      </c>
      <c r="P1364">
        <v>0</v>
      </c>
      <c r="Q1364">
        <v>0</v>
      </c>
      <c r="R1364">
        <v>0</v>
      </c>
    </row>
    <row r="1365" spans="1:18" ht="16" x14ac:dyDescent="0.2">
      <c r="A1365" s="130" t="s">
        <v>3909</v>
      </c>
      <c r="B1365" t="s">
        <v>90</v>
      </c>
      <c r="C1365" t="s">
        <v>2641</v>
      </c>
      <c r="D1365" t="s">
        <v>2642</v>
      </c>
      <c r="E1365">
        <v>3</v>
      </c>
      <c r="F1365">
        <v>3</v>
      </c>
      <c r="G1365">
        <v>1</v>
      </c>
      <c r="H1365">
        <v>1.6871171862438099</v>
      </c>
      <c r="I1365" t="s">
        <v>957</v>
      </c>
      <c r="J1365" t="s">
        <v>4614</v>
      </c>
      <c r="K1365">
        <v>0.17857142857142899</v>
      </c>
      <c r="L1365" t="s">
        <v>959</v>
      </c>
      <c r="M1365">
        <v>8.0291970802919703</v>
      </c>
      <c r="N1365" t="s">
        <v>960</v>
      </c>
      <c r="O1365">
        <v>0</v>
      </c>
      <c r="P1365">
        <v>0</v>
      </c>
      <c r="Q1365">
        <v>0</v>
      </c>
      <c r="R1365">
        <v>0</v>
      </c>
    </row>
    <row r="1366" spans="1:18" ht="16" x14ac:dyDescent="0.2">
      <c r="A1366" s="130" t="s">
        <v>3909</v>
      </c>
      <c r="B1366" t="s">
        <v>90</v>
      </c>
      <c r="C1366" t="s">
        <v>2424</v>
      </c>
      <c r="D1366" t="s">
        <v>2425</v>
      </c>
      <c r="E1366">
        <v>3</v>
      </c>
      <c r="F1366">
        <v>3</v>
      </c>
      <c r="G1366">
        <v>1</v>
      </c>
      <c r="H1366">
        <v>3.52160876394727</v>
      </c>
      <c r="I1366" t="s">
        <v>957</v>
      </c>
      <c r="J1366" t="s">
        <v>4644</v>
      </c>
      <c r="K1366">
        <v>0.16428571428571401</v>
      </c>
      <c r="L1366" t="s">
        <v>959</v>
      </c>
      <c r="M1366">
        <v>8.0291970802919703</v>
      </c>
      <c r="N1366" t="s">
        <v>960</v>
      </c>
      <c r="O1366">
        <v>0</v>
      </c>
      <c r="P1366">
        <v>0</v>
      </c>
      <c r="Q1366">
        <v>0</v>
      </c>
      <c r="R1366">
        <v>0</v>
      </c>
    </row>
    <row r="1367" spans="1:18" ht="16" x14ac:dyDescent="0.2">
      <c r="A1367" s="130" t="s">
        <v>3909</v>
      </c>
      <c r="B1367" t="s">
        <v>90</v>
      </c>
      <c r="C1367" t="s">
        <v>3693</v>
      </c>
      <c r="D1367" t="s">
        <v>3694</v>
      </c>
      <c r="E1367">
        <v>4</v>
      </c>
      <c r="F1367">
        <v>4</v>
      </c>
      <c r="G1367">
        <v>1</v>
      </c>
      <c r="H1367">
        <v>2.0068597162782398</v>
      </c>
      <c r="I1367" t="s">
        <v>957</v>
      </c>
      <c r="J1367" t="s">
        <v>4665</v>
      </c>
      <c r="K1367">
        <v>8.5714285714285701E-2</v>
      </c>
      <c r="L1367" t="s">
        <v>959</v>
      </c>
      <c r="M1367">
        <v>2.1897810218978102</v>
      </c>
      <c r="N1367" t="s">
        <v>960</v>
      </c>
      <c r="O1367">
        <v>0</v>
      </c>
      <c r="P1367">
        <v>0</v>
      </c>
      <c r="Q1367">
        <v>0</v>
      </c>
      <c r="R1367">
        <v>0</v>
      </c>
    </row>
    <row r="1368" spans="1:18" ht="16" x14ac:dyDescent="0.2">
      <c r="A1368" s="130" t="s">
        <v>3909</v>
      </c>
      <c r="B1368" t="s">
        <v>90</v>
      </c>
      <c r="C1368" t="s">
        <v>1512</v>
      </c>
      <c r="D1368" t="s">
        <v>1513</v>
      </c>
      <c r="E1368">
        <v>4</v>
      </c>
      <c r="F1368">
        <v>4</v>
      </c>
      <c r="G1368">
        <v>1</v>
      </c>
      <c r="H1368">
        <v>2.5944756451374902</v>
      </c>
      <c r="I1368" t="s">
        <v>957</v>
      </c>
      <c r="J1368" t="s">
        <v>4566</v>
      </c>
      <c r="K1368">
        <v>0.185714285714286</v>
      </c>
      <c r="L1368" t="s">
        <v>959</v>
      </c>
      <c r="M1368">
        <v>9.4890510948905096</v>
      </c>
      <c r="N1368" t="s">
        <v>960</v>
      </c>
      <c r="O1368">
        <v>0</v>
      </c>
      <c r="P1368">
        <v>0</v>
      </c>
      <c r="Q1368">
        <v>0</v>
      </c>
      <c r="R1368">
        <v>0</v>
      </c>
    </row>
    <row r="1369" spans="1:18" ht="16" x14ac:dyDescent="0.2">
      <c r="A1369" s="130" t="s">
        <v>3909</v>
      </c>
      <c r="B1369" t="s">
        <v>90</v>
      </c>
      <c r="C1369" t="s">
        <v>1244</v>
      </c>
      <c r="D1369" t="s">
        <v>1245</v>
      </c>
      <c r="E1369">
        <v>3</v>
      </c>
      <c r="F1369">
        <v>3</v>
      </c>
      <c r="G1369">
        <v>1</v>
      </c>
      <c r="H1369">
        <v>3.3386958776161801</v>
      </c>
      <c r="I1369" t="s">
        <v>957</v>
      </c>
      <c r="J1369" t="s">
        <v>4640</v>
      </c>
      <c r="K1369">
        <v>0.121428571428571</v>
      </c>
      <c r="L1369" t="s">
        <v>959</v>
      </c>
      <c r="M1369">
        <v>5.8394160583941597</v>
      </c>
      <c r="N1369" t="s">
        <v>960</v>
      </c>
      <c r="O1369">
        <v>0</v>
      </c>
      <c r="P1369">
        <v>0</v>
      </c>
      <c r="Q1369">
        <v>0</v>
      </c>
      <c r="R1369">
        <v>0</v>
      </c>
    </row>
    <row r="1370" spans="1:18" ht="16" x14ac:dyDescent="0.2">
      <c r="A1370" s="130" t="s">
        <v>3909</v>
      </c>
      <c r="B1370" t="s">
        <v>94</v>
      </c>
      <c r="C1370" t="s">
        <v>2855</v>
      </c>
      <c r="D1370" t="s">
        <v>2856</v>
      </c>
      <c r="E1370" t="s">
        <v>1052</v>
      </c>
      <c r="F1370">
        <v>2</v>
      </c>
      <c r="G1370">
        <v>2</v>
      </c>
      <c r="H1370">
        <v>2.0869967789997999</v>
      </c>
      <c r="I1370" t="s">
        <v>957</v>
      </c>
      <c r="J1370" t="s">
        <v>4062</v>
      </c>
      <c r="K1370">
        <v>0.107142857142857</v>
      </c>
      <c r="L1370" t="s">
        <v>959</v>
      </c>
      <c r="M1370">
        <v>2.9197080291970798</v>
      </c>
      <c r="N1370" t="s">
        <v>960</v>
      </c>
      <c r="O1370">
        <v>0</v>
      </c>
      <c r="P1370">
        <v>0</v>
      </c>
      <c r="Q1370">
        <v>0</v>
      </c>
      <c r="R1370">
        <v>0</v>
      </c>
    </row>
    <row r="1371" spans="1:18" ht="16" x14ac:dyDescent="0.2">
      <c r="A1371" s="130" t="s">
        <v>3909</v>
      </c>
      <c r="B1371" t="s">
        <v>94</v>
      </c>
      <c r="C1371" t="s">
        <v>1581</v>
      </c>
      <c r="D1371" t="s">
        <v>1582</v>
      </c>
      <c r="E1371" t="s">
        <v>1022</v>
      </c>
      <c r="F1371">
        <v>3</v>
      </c>
      <c r="G1371">
        <v>2</v>
      </c>
      <c r="H1371">
        <v>3.6634855726209699</v>
      </c>
      <c r="I1371" t="s">
        <v>957</v>
      </c>
      <c r="J1371" t="s">
        <v>4312</v>
      </c>
      <c r="K1371">
        <v>0.107142857142857</v>
      </c>
      <c r="L1371" t="s">
        <v>959</v>
      </c>
      <c r="M1371">
        <v>5.10948905109489</v>
      </c>
      <c r="N1371" t="s">
        <v>960</v>
      </c>
      <c r="O1371">
        <v>0</v>
      </c>
      <c r="P1371">
        <v>0</v>
      </c>
      <c r="Q1371">
        <v>0</v>
      </c>
      <c r="R1371">
        <v>0</v>
      </c>
    </row>
    <row r="1372" spans="1:18" ht="16" x14ac:dyDescent="0.2">
      <c r="A1372" s="130" t="s">
        <v>3909</v>
      </c>
      <c r="B1372" t="s">
        <v>94</v>
      </c>
      <c r="C1372" t="s">
        <v>3765</v>
      </c>
      <c r="D1372" t="s">
        <v>3766</v>
      </c>
      <c r="E1372" t="s">
        <v>1052</v>
      </c>
      <c r="F1372">
        <v>2</v>
      </c>
      <c r="G1372">
        <v>2</v>
      </c>
      <c r="H1372">
        <v>2.5090509734887401</v>
      </c>
      <c r="I1372" t="s">
        <v>957</v>
      </c>
      <c r="J1372" t="s">
        <v>4971</v>
      </c>
      <c r="K1372">
        <v>0.2</v>
      </c>
      <c r="L1372" t="s">
        <v>959</v>
      </c>
      <c r="M1372">
        <v>6.5693430656934302</v>
      </c>
      <c r="N1372" t="s">
        <v>960</v>
      </c>
      <c r="O1372">
        <v>0</v>
      </c>
      <c r="P1372">
        <v>0</v>
      </c>
      <c r="Q1372">
        <v>0</v>
      </c>
      <c r="R1372">
        <v>0</v>
      </c>
    </row>
    <row r="1373" spans="1:18" ht="16" x14ac:dyDescent="0.2">
      <c r="A1373" s="130" t="s">
        <v>3909</v>
      </c>
      <c r="B1373" t="s">
        <v>94</v>
      </c>
      <c r="C1373" t="s">
        <v>1465</v>
      </c>
      <c r="D1373" t="s">
        <v>1466</v>
      </c>
      <c r="E1373" t="s">
        <v>1052</v>
      </c>
      <c r="F1373">
        <v>2</v>
      </c>
      <c r="G1373">
        <v>2</v>
      </c>
      <c r="H1373">
        <v>1.96398186616939</v>
      </c>
      <c r="I1373" t="s">
        <v>957</v>
      </c>
      <c r="J1373" t="s">
        <v>3918</v>
      </c>
      <c r="K1373">
        <v>7.1428571428571397E-2</v>
      </c>
      <c r="L1373" t="s">
        <v>959</v>
      </c>
      <c r="M1373">
        <v>2.9197080291970798</v>
      </c>
      <c r="N1373" t="s">
        <v>960</v>
      </c>
      <c r="O1373">
        <v>0</v>
      </c>
      <c r="P1373">
        <v>0</v>
      </c>
      <c r="Q1373">
        <v>0</v>
      </c>
      <c r="R1373">
        <v>0</v>
      </c>
    </row>
    <row r="1374" spans="1:18" ht="16" x14ac:dyDescent="0.2">
      <c r="A1374" s="130" t="s">
        <v>3909</v>
      </c>
      <c r="B1374" t="s">
        <v>94</v>
      </c>
      <c r="C1374" t="s">
        <v>2971</v>
      </c>
      <c r="D1374" t="s">
        <v>3323</v>
      </c>
      <c r="E1374" t="s">
        <v>1052</v>
      </c>
      <c r="F1374">
        <v>2</v>
      </c>
      <c r="G1374">
        <v>2</v>
      </c>
      <c r="H1374">
        <v>3.35980109858161</v>
      </c>
      <c r="I1374" t="s">
        <v>957</v>
      </c>
      <c r="J1374" t="s">
        <v>3920</v>
      </c>
      <c r="K1374">
        <v>9.2857142857142902E-2</v>
      </c>
      <c r="L1374" t="s">
        <v>959</v>
      </c>
      <c r="M1374">
        <v>5.10948905109489</v>
      </c>
      <c r="N1374" t="s">
        <v>960</v>
      </c>
      <c r="O1374">
        <v>0</v>
      </c>
      <c r="P1374">
        <v>0</v>
      </c>
      <c r="Q1374">
        <v>0</v>
      </c>
      <c r="R1374">
        <v>0</v>
      </c>
    </row>
    <row r="1375" spans="1:18" ht="16" x14ac:dyDescent="0.2">
      <c r="A1375" s="130" t="s">
        <v>3909</v>
      </c>
      <c r="B1375" t="s">
        <v>94</v>
      </c>
      <c r="C1375" t="s">
        <v>2947</v>
      </c>
      <c r="D1375" t="s">
        <v>2948</v>
      </c>
      <c r="E1375">
        <v>3</v>
      </c>
      <c r="F1375">
        <v>3</v>
      </c>
      <c r="G1375">
        <v>1</v>
      </c>
      <c r="H1375">
        <v>2.7000826698782401</v>
      </c>
      <c r="I1375" t="s">
        <v>957</v>
      </c>
      <c r="J1375" t="s">
        <v>2949</v>
      </c>
      <c r="K1375">
        <v>0.17142857142857101</v>
      </c>
      <c r="L1375" t="s">
        <v>959</v>
      </c>
      <c r="M1375">
        <v>5.8394160583941597</v>
      </c>
      <c r="N1375" t="s">
        <v>960</v>
      </c>
      <c r="O1375">
        <v>0</v>
      </c>
      <c r="P1375" t="s">
        <v>5018</v>
      </c>
      <c r="Q1375">
        <v>0</v>
      </c>
      <c r="R1375">
        <v>0</v>
      </c>
    </row>
    <row r="1376" spans="1:18" ht="16" x14ac:dyDescent="0.2">
      <c r="A1376" s="130" t="s">
        <v>3909</v>
      </c>
      <c r="B1376" t="s">
        <v>94</v>
      </c>
      <c r="C1376" t="s">
        <v>1792</v>
      </c>
      <c r="D1376" t="s">
        <v>1793</v>
      </c>
      <c r="E1376">
        <v>6</v>
      </c>
      <c r="F1376">
        <v>6</v>
      </c>
      <c r="G1376">
        <v>1</v>
      </c>
      <c r="H1376">
        <v>3.3475418968775998</v>
      </c>
      <c r="I1376" t="s">
        <v>957</v>
      </c>
      <c r="J1376" t="s">
        <v>3993</v>
      </c>
      <c r="K1376">
        <v>0.16428571428571401</v>
      </c>
      <c r="L1376" t="s">
        <v>959</v>
      </c>
      <c r="M1376">
        <v>9.4890510948905096</v>
      </c>
      <c r="N1376" t="s">
        <v>960</v>
      </c>
      <c r="O1376">
        <v>0</v>
      </c>
      <c r="P1376">
        <v>0</v>
      </c>
      <c r="Q1376">
        <v>0</v>
      </c>
      <c r="R1376">
        <v>0</v>
      </c>
    </row>
    <row r="1377" spans="1:18" ht="16" x14ac:dyDescent="0.2">
      <c r="A1377" s="130" t="s">
        <v>3909</v>
      </c>
      <c r="B1377" t="s">
        <v>94</v>
      </c>
      <c r="C1377" t="s">
        <v>2526</v>
      </c>
      <c r="D1377" t="s">
        <v>2527</v>
      </c>
      <c r="E1377">
        <v>3</v>
      </c>
      <c r="F1377">
        <v>3</v>
      </c>
      <c r="G1377">
        <v>1</v>
      </c>
      <c r="H1377">
        <v>3.2748507158254698</v>
      </c>
      <c r="I1377" t="s">
        <v>957</v>
      </c>
      <c r="J1377" t="s">
        <v>3943</v>
      </c>
      <c r="K1377">
        <v>0.157142857142857</v>
      </c>
      <c r="L1377" t="s">
        <v>959</v>
      </c>
      <c r="M1377">
        <v>2.9197080291970798</v>
      </c>
      <c r="N1377" t="s">
        <v>960</v>
      </c>
      <c r="O1377">
        <v>0</v>
      </c>
      <c r="P1377">
        <v>0</v>
      </c>
      <c r="Q1377">
        <v>0</v>
      </c>
      <c r="R1377">
        <v>0</v>
      </c>
    </row>
    <row r="1378" spans="1:18" ht="16" x14ac:dyDescent="0.2">
      <c r="A1378" s="130" t="s">
        <v>3909</v>
      </c>
      <c r="B1378" t="s">
        <v>94</v>
      </c>
      <c r="C1378" t="s">
        <v>3477</v>
      </c>
      <c r="D1378" t="s">
        <v>3478</v>
      </c>
      <c r="E1378" t="s">
        <v>1052</v>
      </c>
      <c r="F1378">
        <v>2</v>
      </c>
      <c r="G1378">
        <v>2</v>
      </c>
      <c r="H1378">
        <v>1.7872710280962301</v>
      </c>
      <c r="I1378" t="s">
        <v>957</v>
      </c>
      <c r="J1378" t="s">
        <v>4596</v>
      </c>
      <c r="K1378">
        <v>0.185714285714286</v>
      </c>
      <c r="L1378" t="s">
        <v>959</v>
      </c>
      <c r="M1378">
        <v>6.5693430656934302</v>
      </c>
      <c r="N1378" t="s">
        <v>960</v>
      </c>
      <c r="O1378">
        <v>0</v>
      </c>
      <c r="P1378">
        <v>0</v>
      </c>
      <c r="Q1378">
        <v>0</v>
      </c>
      <c r="R1378">
        <v>0</v>
      </c>
    </row>
    <row r="1379" spans="1:18" ht="16" x14ac:dyDescent="0.2">
      <c r="A1379" s="130" t="s">
        <v>3909</v>
      </c>
      <c r="B1379" t="s">
        <v>94</v>
      </c>
      <c r="C1379" t="s">
        <v>1512</v>
      </c>
      <c r="D1379" t="s">
        <v>1513</v>
      </c>
      <c r="E1379" t="s">
        <v>1230</v>
      </c>
      <c r="F1379">
        <v>4</v>
      </c>
      <c r="G1379">
        <v>2</v>
      </c>
      <c r="H1379">
        <v>2.5944756451374902</v>
      </c>
      <c r="I1379" t="s">
        <v>957</v>
      </c>
      <c r="J1379" t="s">
        <v>4737</v>
      </c>
      <c r="K1379">
        <v>0.185714285714286</v>
      </c>
      <c r="L1379" t="s">
        <v>959</v>
      </c>
      <c r="M1379">
        <v>9.4890510948905096</v>
      </c>
      <c r="N1379" t="s">
        <v>960</v>
      </c>
      <c r="O1379">
        <v>0</v>
      </c>
      <c r="P1379">
        <v>0</v>
      </c>
      <c r="Q1379">
        <v>0</v>
      </c>
      <c r="R1379">
        <v>0</v>
      </c>
    </row>
    <row r="1380" spans="1:18" ht="16" x14ac:dyDescent="0.2">
      <c r="A1380" s="130" t="s">
        <v>3909</v>
      </c>
      <c r="B1380" t="s">
        <v>94</v>
      </c>
      <c r="C1380" t="s">
        <v>3771</v>
      </c>
      <c r="D1380" t="s">
        <v>3772</v>
      </c>
      <c r="E1380" t="s">
        <v>1052</v>
      </c>
      <c r="F1380">
        <v>2</v>
      </c>
      <c r="G1380">
        <v>2</v>
      </c>
      <c r="H1380">
        <v>2.0049850667181999</v>
      </c>
      <c r="I1380" t="s">
        <v>957</v>
      </c>
      <c r="J1380" t="s">
        <v>4418</v>
      </c>
      <c r="K1380">
        <v>0.192857142857143</v>
      </c>
      <c r="L1380" t="s">
        <v>959</v>
      </c>
      <c r="M1380">
        <v>5.10948905109489</v>
      </c>
      <c r="N1380" t="s">
        <v>960</v>
      </c>
      <c r="O1380">
        <v>0</v>
      </c>
      <c r="P1380">
        <v>0</v>
      </c>
      <c r="Q1380">
        <v>0</v>
      </c>
      <c r="R1380">
        <v>0</v>
      </c>
    </row>
    <row r="1381" spans="1:18" ht="16" x14ac:dyDescent="0.2">
      <c r="A1381" s="130" t="s">
        <v>3909</v>
      </c>
      <c r="B1381" t="s">
        <v>94</v>
      </c>
      <c r="C1381" t="s">
        <v>3781</v>
      </c>
      <c r="D1381" t="s">
        <v>3782</v>
      </c>
      <c r="E1381" t="s">
        <v>1052</v>
      </c>
      <c r="F1381">
        <v>2</v>
      </c>
      <c r="G1381">
        <v>2</v>
      </c>
      <c r="H1381">
        <v>1.41297774786482</v>
      </c>
      <c r="I1381" t="s">
        <v>957</v>
      </c>
      <c r="J1381" t="s">
        <v>4497</v>
      </c>
      <c r="K1381">
        <v>0.221428571428571</v>
      </c>
      <c r="L1381" t="s">
        <v>959</v>
      </c>
      <c r="M1381">
        <v>6.5693430656934302</v>
      </c>
      <c r="N1381" t="s">
        <v>960</v>
      </c>
      <c r="O1381">
        <v>0</v>
      </c>
      <c r="P1381">
        <v>0</v>
      </c>
      <c r="Q1381">
        <v>0</v>
      </c>
      <c r="R1381">
        <v>0</v>
      </c>
    </row>
    <row r="1382" spans="1:18" ht="16" x14ac:dyDescent="0.2">
      <c r="A1382" s="130" t="s">
        <v>3909</v>
      </c>
      <c r="B1382" t="s">
        <v>94</v>
      </c>
      <c r="C1382" t="s">
        <v>3524</v>
      </c>
      <c r="D1382" t="s">
        <v>3525</v>
      </c>
      <c r="E1382">
        <v>4</v>
      </c>
      <c r="F1382">
        <v>4</v>
      </c>
      <c r="G1382">
        <v>1</v>
      </c>
      <c r="H1382">
        <v>2.6423956881257701E-2</v>
      </c>
      <c r="I1382" t="s">
        <v>957</v>
      </c>
      <c r="J1382" t="s">
        <v>4641</v>
      </c>
      <c r="K1382">
        <v>4.2857142857142899E-2</v>
      </c>
      <c r="L1382" t="s">
        <v>959</v>
      </c>
      <c r="M1382">
        <v>5.8394160583941597</v>
      </c>
      <c r="N1382" t="s">
        <v>960</v>
      </c>
      <c r="O1382">
        <v>0</v>
      </c>
      <c r="P1382">
        <v>0</v>
      </c>
      <c r="Q1382">
        <v>0</v>
      </c>
      <c r="R1382">
        <v>0</v>
      </c>
    </row>
    <row r="1383" spans="1:18" ht="16" x14ac:dyDescent="0.2">
      <c r="A1383" s="130" t="s">
        <v>3909</v>
      </c>
      <c r="B1383" t="s">
        <v>94</v>
      </c>
      <c r="C1383" t="s">
        <v>2688</v>
      </c>
      <c r="D1383" t="s">
        <v>2689</v>
      </c>
      <c r="E1383" t="s">
        <v>1052</v>
      </c>
      <c r="F1383">
        <v>2</v>
      </c>
      <c r="G1383">
        <v>2</v>
      </c>
      <c r="H1383">
        <v>2.68701835913869</v>
      </c>
      <c r="I1383" t="s">
        <v>957</v>
      </c>
      <c r="J1383" t="s">
        <v>4545</v>
      </c>
      <c r="K1383">
        <v>0.107142857142857</v>
      </c>
      <c r="L1383" t="s">
        <v>959</v>
      </c>
      <c r="M1383">
        <v>2.1897810218978102</v>
      </c>
      <c r="N1383" t="s">
        <v>960</v>
      </c>
      <c r="O1383">
        <v>0</v>
      </c>
      <c r="P1383">
        <v>0</v>
      </c>
      <c r="Q1383">
        <v>0</v>
      </c>
      <c r="R1383">
        <v>0</v>
      </c>
    </row>
    <row r="1384" spans="1:18" ht="16" x14ac:dyDescent="0.2">
      <c r="A1384" s="130" t="s">
        <v>3909</v>
      </c>
      <c r="B1384" t="s">
        <v>98</v>
      </c>
      <c r="C1384" t="s">
        <v>2111</v>
      </c>
      <c r="D1384" t="s">
        <v>2112</v>
      </c>
      <c r="E1384" t="s">
        <v>1052</v>
      </c>
      <c r="F1384">
        <v>2</v>
      </c>
      <c r="G1384">
        <v>2</v>
      </c>
      <c r="H1384">
        <v>3.1742143103740799</v>
      </c>
      <c r="I1384" t="s">
        <v>957</v>
      </c>
      <c r="J1384" t="s">
        <v>4446</v>
      </c>
      <c r="K1384">
        <v>0.17142857142857101</v>
      </c>
      <c r="L1384" t="s">
        <v>959</v>
      </c>
      <c r="M1384">
        <v>7.2992700729926998</v>
      </c>
      <c r="N1384" t="s">
        <v>960</v>
      </c>
      <c r="O1384">
        <v>0</v>
      </c>
      <c r="P1384">
        <v>0</v>
      </c>
      <c r="Q1384">
        <v>0</v>
      </c>
      <c r="R1384">
        <v>0</v>
      </c>
    </row>
    <row r="1385" spans="1:18" ht="16" x14ac:dyDescent="0.2">
      <c r="A1385" s="130" t="s">
        <v>3909</v>
      </c>
      <c r="B1385" t="s">
        <v>98</v>
      </c>
      <c r="C1385" t="s">
        <v>1339</v>
      </c>
      <c r="D1385" t="s">
        <v>1340</v>
      </c>
      <c r="E1385">
        <v>3</v>
      </c>
      <c r="F1385">
        <v>3</v>
      </c>
      <c r="G1385">
        <v>1</v>
      </c>
      <c r="H1385">
        <v>3.8701635545367599</v>
      </c>
      <c r="I1385" t="s">
        <v>957</v>
      </c>
      <c r="J1385" t="s">
        <v>4499</v>
      </c>
      <c r="K1385">
        <v>8.5714285714285701E-2</v>
      </c>
      <c r="L1385" t="s">
        <v>959</v>
      </c>
      <c r="M1385">
        <v>3.6496350364963499</v>
      </c>
      <c r="N1385" t="s">
        <v>960</v>
      </c>
      <c r="O1385">
        <v>0</v>
      </c>
      <c r="P1385">
        <v>0</v>
      </c>
      <c r="Q1385">
        <v>0</v>
      </c>
      <c r="R1385">
        <v>0</v>
      </c>
    </row>
    <row r="1386" spans="1:18" ht="16" x14ac:dyDescent="0.2">
      <c r="A1386" s="130" t="s">
        <v>3909</v>
      </c>
      <c r="B1386" t="s">
        <v>98</v>
      </c>
      <c r="C1386" t="s">
        <v>3477</v>
      </c>
      <c r="D1386" t="s">
        <v>3478</v>
      </c>
      <c r="E1386">
        <v>4</v>
      </c>
      <c r="F1386">
        <v>4</v>
      </c>
      <c r="G1386">
        <v>1</v>
      </c>
      <c r="H1386">
        <v>4.0015891160030499</v>
      </c>
      <c r="I1386" t="s">
        <v>957</v>
      </c>
      <c r="J1386" t="s">
        <v>4700</v>
      </c>
      <c r="K1386">
        <v>0.185714285714286</v>
      </c>
      <c r="L1386" t="s">
        <v>959</v>
      </c>
      <c r="M1386">
        <v>6.5693430656934302</v>
      </c>
      <c r="N1386" t="s">
        <v>960</v>
      </c>
      <c r="O1386">
        <v>0</v>
      </c>
      <c r="P1386">
        <v>0</v>
      </c>
      <c r="Q1386">
        <v>0</v>
      </c>
      <c r="R1386">
        <v>0</v>
      </c>
    </row>
    <row r="1387" spans="1:18" ht="16" x14ac:dyDescent="0.2">
      <c r="A1387" s="130" t="s">
        <v>3909</v>
      </c>
      <c r="B1387" t="s">
        <v>98</v>
      </c>
      <c r="C1387" t="s">
        <v>1244</v>
      </c>
      <c r="D1387" t="s">
        <v>1245</v>
      </c>
      <c r="E1387">
        <v>3</v>
      </c>
      <c r="F1387">
        <v>3</v>
      </c>
      <c r="G1387">
        <v>1</v>
      </c>
      <c r="H1387">
        <v>3.3386958776161801</v>
      </c>
      <c r="I1387" t="s">
        <v>957</v>
      </c>
      <c r="J1387" t="s">
        <v>4283</v>
      </c>
      <c r="K1387">
        <v>0.121428571428571</v>
      </c>
      <c r="L1387" t="s">
        <v>959</v>
      </c>
      <c r="M1387">
        <v>5.8394160583941597</v>
      </c>
      <c r="N1387" t="s">
        <v>960</v>
      </c>
      <c r="O1387">
        <v>0</v>
      </c>
      <c r="P1387">
        <v>0</v>
      </c>
      <c r="Q1387">
        <v>0</v>
      </c>
      <c r="R1387">
        <v>0</v>
      </c>
    </row>
    <row r="1388" spans="1:18" ht="16" x14ac:dyDescent="0.2">
      <c r="A1388" s="130" t="s">
        <v>3909</v>
      </c>
      <c r="B1388" t="s">
        <v>98</v>
      </c>
      <c r="C1388" t="s">
        <v>3925</v>
      </c>
      <c r="D1388" t="s">
        <v>3926</v>
      </c>
      <c r="E1388" t="s">
        <v>1022</v>
      </c>
      <c r="F1388">
        <v>3</v>
      </c>
      <c r="G1388">
        <v>2</v>
      </c>
      <c r="H1388">
        <v>3.8596871801992698</v>
      </c>
      <c r="I1388" t="s">
        <v>957</v>
      </c>
      <c r="J1388" t="s">
        <v>4584</v>
      </c>
      <c r="K1388">
        <v>0.157142857142857</v>
      </c>
      <c r="L1388" t="s">
        <v>959</v>
      </c>
      <c r="M1388">
        <v>8.0291970802919703</v>
      </c>
      <c r="N1388" t="s">
        <v>960</v>
      </c>
      <c r="O1388">
        <v>0</v>
      </c>
      <c r="P1388">
        <v>0</v>
      </c>
      <c r="Q1388">
        <v>0</v>
      </c>
      <c r="R1388">
        <v>0</v>
      </c>
    </row>
    <row r="1389" spans="1:18" ht="16" x14ac:dyDescent="0.2">
      <c r="A1389" s="130" t="s">
        <v>3909</v>
      </c>
      <c r="B1389" t="s">
        <v>98</v>
      </c>
      <c r="C1389" t="s">
        <v>1222</v>
      </c>
      <c r="D1389" t="s">
        <v>1223</v>
      </c>
      <c r="E1389" t="s">
        <v>966</v>
      </c>
      <c r="F1389">
        <v>3</v>
      </c>
      <c r="G1389">
        <v>3</v>
      </c>
      <c r="H1389">
        <v>0.51485459372331799</v>
      </c>
      <c r="I1389" t="s">
        <v>957</v>
      </c>
      <c r="J1389" t="s">
        <v>4657</v>
      </c>
      <c r="K1389">
        <v>7.8571428571428598E-2</v>
      </c>
      <c r="L1389" t="s">
        <v>959</v>
      </c>
      <c r="M1389">
        <v>3.6496350364963499</v>
      </c>
      <c r="N1389" t="s">
        <v>960</v>
      </c>
      <c r="O1389">
        <v>0</v>
      </c>
      <c r="P1389">
        <v>0</v>
      </c>
      <c r="Q1389">
        <v>0</v>
      </c>
      <c r="R1389">
        <v>0</v>
      </c>
    </row>
    <row r="1390" spans="1:18" ht="16" x14ac:dyDescent="0.2">
      <c r="A1390" s="130" t="s">
        <v>3909</v>
      </c>
      <c r="B1390" t="s">
        <v>98</v>
      </c>
      <c r="C1390" t="s">
        <v>1130</v>
      </c>
      <c r="D1390" t="s">
        <v>1131</v>
      </c>
      <c r="E1390" t="s">
        <v>1052</v>
      </c>
      <c r="F1390">
        <v>2</v>
      </c>
      <c r="G1390">
        <v>2</v>
      </c>
      <c r="H1390">
        <v>3.0188651897669798</v>
      </c>
      <c r="I1390" t="s">
        <v>957</v>
      </c>
      <c r="J1390" t="s">
        <v>4376</v>
      </c>
      <c r="K1390">
        <v>8.5714285714285701E-2</v>
      </c>
      <c r="L1390" t="s">
        <v>959</v>
      </c>
      <c r="M1390">
        <v>3.6496350364963499</v>
      </c>
      <c r="N1390" t="s">
        <v>960</v>
      </c>
      <c r="O1390">
        <v>0</v>
      </c>
      <c r="P1390">
        <v>0</v>
      </c>
      <c r="Q1390">
        <v>0</v>
      </c>
      <c r="R1390">
        <v>0</v>
      </c>
    </row>
    <row r="1391" spans="1:18" ht="16" x14ac:dyDescent="0.2">
      <c r="A1391" s="130" t="s">
        <v>3909</v>
      </c>
      <c r="B1391" t="s">
        <v>102</v>
      </c>
      <c r="C1391" t="s">
        <v>1581</v>
      </c>
      <c r="D1391" t="s">
        <v>1582</v>
      </c>
      <c r="E1391">
        <v>3</v>
      </c>
      <c r="F1391">
        <v>3</v>
      </c>
      <c r="G1391">
        <v>1</v>
      </c>
      <c r="H1391">
        <v>3.6634855726209699</v>
      </c>
      <c r="I1391" t="s">
        <v>957</v>
      </c>
      <c r="J1391" t="s">
        <v>4132</v>
      </c>
      <c r="K1391">
        <v>0.107142857142857</v>
      </c>
      <c r="L1391" t="s">
        <v>959</v>
      </c>
      <c r="M1391">
        <v>5.10948905109489</v>
      </c>
      <c r="N1391" t="s">
        <v>960</v>
      </c>
      <c r="O1391">
        <v>0</v>
      </c>
      <c r="P1391">
        <v>0</v>
      </c>
      <c r="Q1391">
        <v>0</v>
      </c>
      <c r="R1391">
        <v>0</v>
      </c>
    </row>
    <row r="1392" spans="1:18" ht="16" x14ac:dyDescent="0.2">
      <c r="A1392" s="130" t="s">
        <v>3909</v>
      </c>
      <c r="B1392" t="s">
        <v>102</v>
      </c>
      <c r="C1392" t="s">
        <v>997</v>
      </c>
      <c r="D1392" t="s">
        <v>998</v>
      </c>
      <c r="E1392">
        <v>3</v>
      </c>
      <c r="F1392">
        <v>3</v>
      </c>
      <c r="G1392">
        <v>1</v>
      </c>
      <c r="H1392">
        <v>1.5972534113944901</v>
      </c>
      <c r="I1392" t="s">
        <v>957</v>
      </c>
      <c r="J1392" t="s">
        <v>999</v>
      </c>
      <c r="K1392">
        <v>7.8571428571428598E-2</v>
      </c>
      <c r="L1392" t="s">
        <v>959</v>
      </c>
      <c r="M1392">
        <v>8.0291970802919703</v>
      </c>
      <c r="N1392" t="s">
        <v>960</v>
      </c>
      <c r="O1392">
        <v>0</v>
      </c>
      <c r="P1392">
        <v>0</v>
      </c>
      <c r="Q1392">
        <v>0</v>
      </c>
      <c r="R1392">
        <v>0</v>
      </c>
    </row>
    <row r="1393" spans="1:18" ht="16" x14ac:dyDescent="0.2">
      <c r="A1393" s="130" t="s">
        <v>3909</v>
      </c>
      <c r="B1393" t="s">
        <v>102</v>
      </c>
      <c r="C1393" t="s">
        <v>1547</v>
      </c>
      <c r="D1393" t="s">
        <v>1548</v>
      </c>
      <c r="E1393" t="s">
        <v>985</v>
      </c>
      <c r="F1393">
        <v>7</v>
      </c>
      <c r="G1393">
        <v>2</v>
      </c>
      <c r="H1393">
        <v>1.7408273757171699</v>
      </c>
      <c r="I1393" t="s">
        <v>957</v>
      </c>
      <c r="J1393" t="s">
        <v>4215</v>
      </c>
      <c r="K1393">
        <v>5.7142857142857099E-2</v>
      </c>
      <c r="L1393" t="s">
        <v>959</v>
      </c>
      <c r="M1393">
        <v>8.0291970802919703</v>
      </c>
      <c r="N1393" t="s">
        <v>960</v>
      </c>
      <c r="O1393">
        <v>0</v>
      </c>
      <c r="P1393">
        <v>0</v>
      </c>
      <c r="Q1393">
        <v>0</v>
      </c>
      <c r="R1393">
        <v>0</v>
      </c>
    </row>
    <row r="1394" spans="1:18" ht="16" x14ac:dyDescent="0.2">
      <c r="A1394" s="130" t="s">
        <v>3909</v>
      </c>
      <c r="B1394" t="s">
        <v>102</v>
      </c>
      <c r="C1394" t="s">
        <v>1412</v>
      </c>
      <c r="D1394" t="s">
        <v>1413</v>
      </c>
      <c r="E1394" t="s">
        <v>1052</v>
      </c>
      <c r="F1394">
        <v>2</v>
      </c>
      <c r="G1394">
        <v>2</v>
      </c>
      <c r="H1394">
        <v>2.56505990783277</v>
      </c>
      <c r="I1394" t="s">
        <v>957</v>
      </c>
      <c r="J1394" t="s">
        <v>3984</v>
      </c>
      <c r="K1394">
        <v>4.2857142857142899E-2</v>
      </c>
      <c r="L1394" t="s">
        <v>959</v>
      </c>
      <c r="M1394">
        <v>2.9197080291970798</v>
      </c>
      <c r="N1394" t="s">
        <v>960</v>
      </c>
      <c r="O1394">
        <v>0</v>
      </c>
      <c r="P1394">
        <v>0</v>
      </c>
      <c r="Q1394">
        <v>0</v>
      </c>
      <c r="R1394">
        <v>0</v>
      </c>
    </row>
    <row r="1395" spans="1:18" ht="16" x14ac:dyDescent="0.2">
      <c r="A1395" s="130" t="s">
        <v>3909</v>
      </c>
      <c r="B1395" t="s">
        <v>102</v>
      </c>
      <c r="C1395" t="s">
        <v>1686</v>
      </c>
      <c r="D1395" t="s">
        <v>1687</v>
      </c>
      <c r="E1395">
        <v>3</v>
      </c>
      <c r="F1395">
        <v>3</v>
      </c>
      <c r="G1395">
        <v>1</v>
      </c>
      <c r="H1395">
        <v>2.8290993564258899</v>
      </c>
      <c r="I1395" t="s">
        <v>957</v>
      </c>
      <c r="J1395" t="s">
        <v>4999</v>
      </c>
      <c r="K1395">
        <v>4.2857142857142899E-2</v>
      </c>
      <c r="L1395" t="s">
        <v>959</v>
      </c>
      <c r="M1395">
        <v>2.1897810218978102</v>
      </c>
      <c r="N1395" t="s">
        <v>960</v>
      </c>
      <c r="O1395">
        <v>0</v>
      </c>
      <c r="P1395">
        <v>0</v>
      </c>
      <c r="Q1395">
        <v>0</v>
      </c>
      <c r="R1395">
        <v>0</v>
      </c>
    </row>
    <row r="1396" spans="1:18" ht="16" x14ac:dyDescent="0.2">
      <c r="A1396" s="130" t="s">
        <v>3909</v>
      </c>
      <c r="B1396" t="s">
        <v>102</v>
      </c>
      <c r="C1396" t="s">
        <v>2589</v>
      </c>
      <c r="D1396" t="s">
        <v>2590</v>
      </c>
      <c r="E1396">
        <v>3</v>
      </c>
      <c r="F1396">
        <v>3</v>
      </c>
      <c r="G1396">
        <v>1</v>
      </c>
      <c r="H1396">
        <v>1.2147213922164499</v>
      </c>
      <c r="I1396" t="s">
        <v>957</v>
      </c>
      <c r="J1396" t="s">
        <v>4159</v>
      </c>
      <c r="K1396">
        <v>8.5714285714285701E-2</v>
      </c>
      <c r="L1396" t="s">
        <v>959</v>
      </c>
      <c r="M1396">
        <v>7.2992700729926998</v>
      </c>
      <c r="N1396" t="s">
        <v>960</v>
      </c>
      <c r="O1396">
        <v>0</v>
      </c>
      <c r="P1396">
        <v>0</v>
      </c>
      <c r="Q1396">
        <v>0</v>
      </c>
      <c r="R1396">
        <v>0</v>
      </c>
    </row>
    <row r="1397" spans="1:18" ht="16" x14ac:dyDescent="0.2">
      <c r="A1397" s="130" t="s">
        <v>3909</v>
      </c>
      <c r="B1397" t="s">
        <v>102</v>
      </c>
      <c r="C1397" t="s">
        <v>1518</v>
      </c>
      <c r="D1397" t="s">
        <v>2033</v>
      </c>
      <c r="E1397">
        <v>6</v>
      </c>
      <c r="F1397">
        <v>6</v>
      </c>
      <c r="G1397">
        <v>1</v>
      </c>
      <c r="H1397">
        <v>2.0320797616009698</v>
      </c>
      <c r="I1397" t="s">
        <v>957</v>
      </c>
      <c r="J1397" t="s">
        <v>4005</v>
      </c>
      <c r="K1397">
        <v>0.107142857142857</v>
      </c>
      <c r="L1397" t="s">
        <v>959</v>
      </c>
      <c r="M1397">
        <v>8.0291970802919703</v>
      </c>
      <c r="N1397" t="s">
        <v>960</v>
      </c>
      <c r="O1397">
        <v>0</v>
      </c>
      <c r="P1397">
        <v>0</v>
      </c>
      <c r="Q1397">
        <v>0</v>
      </c>
      <c r="R1397">
        <v>0</v>
      </c>
    </row>
    <row r="1398" spans="1:18" ht="16" x14ac:dyDescent="0.2">
      <c r="A1398" s="130" t="s">
        <v>3909</v>
      </c>
      <c r="B1398" t="s">
        <v>102</v>
      </c>
      <c r="C1398" t="s">
        <v>3416</v>
      </c>
      <c r="D1398" t="s">
        <v>3417</v>
      </c>
      <c r="E1398" t="s">
        <v>2887</v>
      </c>
      <c r="F1398">
        <v>6</v>
      </c>
      <c r="G1398">
        <v>2</v>
      </c>
      <c r="H1398">
        <v>2.0426871665110902</v>
      </c>
      <c r="I1398" t="s">
        <v>957</v>
      </c>
      <c r="J1398" t="s">
        <v>4151</v>
      </c>
      <c r="K1398">
        <v>0.2</v>
      </c>
      <c r="L1398" t="s">
        <v>1004</v>
      </c>
      <c r="M1398">
        <v>2.9197080291970798</v>
      </c>
      <c r="N1398" t="s">
        <v>1005</v>
      </c>
      <c r="O1398">
        <v>0</v>
      </c>
      <c r="P1398">
        <v>0</v>
      </c>
      <c r="Q1398">
        <v>0</v>
      </c>
      <c r="R1398">
        <v>0</v>
      </c>
    </row>
    <row r="1399" spans="1:18" ht="16" x14ac:dyDescent="0.2">
      <c r="A1399" s="130" t="s">
        <v>3909</v>
      </c>
      <c r="B1399" t="s">
        <v>102</v>
      </c>
      <c r="C1399" t="s">
        <v>2773</v>
      </c>
      <c r="D1399" t="s">
        <v>2774</v>
      </c>
      <c r="E1399">
        <v>3</v>
      </c>
      <c r="F1399">
        <v>3</v>
      </c>
      <c r="G1399">
        <v>1</v>
      </c>
      <c r="H1399">
        <v>2.8880964799170998</v>
      </c>
      <c r="I1399" t="s">
        <v>957</v>
      </c>
      <c r="J1399" t="s">
        <v>4928</v>
      </c>
      <c r="K1399">
        <v>0.20714285714285699</v>
      </c>
      <c r="L1399" t="s">
        <v>959</v>
      </c>
      <c r="M1399">
        <v>8.0291970802919703</v>
      </c>
      <c r="N1399" t="s">
        <v>982</v>
      </c>
      <c r="O1399">
        <v>0</v>
      </c>
      <c r="P1399">
        <v>0</v>
      </c>
      <c r="Q1399">
        <v>0</v>
      </c>
      <c r="R1399">
        <v>0</v>
      </c>
    </row>
    <row r="1400" spans="1:18" ht="16" x14ac:dyDescent="0.2">
      <c r="A1400" s="130" t="s">
        <v>3909</v>
      </c>
      <c r="B1400" t="s">
        <v>102</v>
      </c>
      <c r="C1400" t="s">
        <v>1540</v>
      </c>
      <c r="D1400" t="s">
        <v>1541</v>
      </c>
      <c r="E1400" t="s">
        <v>1074</v>
      </c>
      <c r="F1400">
        <v>6</v>
      </c>
      <c r="G1400">
        <v>2</v>
      </c>
      <c r="H1400">
        <v>2.5714781741247599</v>
      </c>
      <c r="I1400" t="s">
        <v>957</v>
      </c>
      <c r="J1400" t="s">
        <v>4544</v>
      </c>
      <c r="K1400">
        <v>0.33333333333333298</v>
      </c>
      <c r="L1400" t="s">
        <v>1004</v>
      </c>
      <c r="M1400">
        <v>2.1897810218978102</v>
      </c>
      <c r="N1400" t="s">
        <v>1005</v>
      </c>
      <c r="O1400">
        <v>0</v>
      </c>
      <c r="P1400">
        <v>0</v>
      </c>
      <c r="Q1400">
        <v>0</v>
      </c>
      <c r="R1400">
        <v>0</v>
      </c>
    </row>
    <row r="1401" spans="1:18" ht="16" x14ac:dyDescent="0.2">
      <c r="A1401" s="130" t="s">
        <v>3909</v>
      </c>
      <c r="B1401" t="s">
        <v>102</v>
      </c>
      <c r="C1401" t="s">
        <v>4028</v>
      </c>
      <c r="D1401" t="s">
        <v>4029</v>
      </c>
      <c r="E1401" t="s">
        <v>1488</v>
      </c>
      <c r="F1401">
        <v>8</v>
      </c>
      <c r="G1401">
        <v>2</v>
      </c>
      <c r="H1401">
        <v>2.2510868509217898</v>
      </c>
      <c r="I1401" t="s">
        <v>957</v>
      </c>
      <c r="J1401" t="s">
        <v>4276</v>
      </c>
      <c r="K1401">
        <v>0.6</v>
      </c>
      <c r="L1401" t="s">
        <v>1004</v>
      </c>
      <c r="M1401">
        <v>1.4598540145985399</v>
      </c>
      <c r="N1401" t="s">
        <v>1005</v>
      </c>
      <c r="O1401">
        <v>0</v>
      </c>
      <c r="P1401">
        <v>0</v>
      </c>
      <c r="Q1401">
        <v>0</v>
      </c>
      <c r="R1401">
        <v>0</v>
      </c>
    </row>
    <row r="1402" spans="1:18" ht="16" x14ac:dyDescent="0.2">
      <c r="A1402" s="130" t="s">
        <v>3909</v>
      </c>
      <c r="B1402" t="s">
        <v>102</v>
      </c>
      <c r="C1402" t="s">
        <v>2245</v>
      </c>
      <c r="D1402" t="s">
        <v>2246</v>
      </c>
      <c r="E1402" t="s">
        <v>1022</v>
      </c>
      <c r="F1402">
        <v>3</v>
      </c>
      <c r="G1402">
        <v>2</v>
      </c>
      <c r="H1402">
        <v>2.9060072922344098</v>
      </c>
      <c r="I1402" t="s">
        <v>957</v>
      </c>
      <c r="J1402" t="s">
        <v>4270</v>
      </c>
      <c r="K1402">
        <v>0.16428571428571401</v>
      </c>
      <c r="L1402" t="s">
        <v>959</v>
      </c>
      <c r="M1402">
        <v>5.8394160583941597</v>
      </c>
      <c r="N1402" t="s">
        <v>960</v>
      </c>
      <c r="O1402">
        <v>0</v>
      </c>
      <c r="P1402">
        <v>0</v>
      </c>
      <c r="Q1402">
        <v>0</v>
      </c>
      <c r="R1402">
        <v>0</v>
      </c>
    </row>
    <row r="1403" spans="1:18" ht="16" x14ac:dyDescent="0.2">
      <c r="A1403" s="130" t="s">
        <v>3909</v>
      </c>
      <c r="B1403" t="s">
        <v>102</v>
      </c>
      <c r="C1403" t="s">
        <v>1371</v>
      </c>
      <c r="D1403" t="s">
        <v>1372</v>
      </c>
      <c r="E1403">
        <v>4</v>
      </c>
      <c r="F1403">
        <v>4</v>
      </c>
      <c r="G1403">
        <v>1</v>
      </c>
      <c r="H1403">
        <v>2.0095938293614002</v>
      </c>
      <c r="I1403" t="s">
        <v>957</v>
      </c>
      <c r="J1403" t="s">
        <v>5010</v>
      </c>
      <c r="K1403">
        <v>3.5714285714285698E-2</v>
      </c>
      <c r="L1403" t="s">
        <v>959</v>
      </c>
      <c r="M1403">
        <v>2.1897810218978102</v>
      </c>
      <c r="N1403" t="s">
        <v>960</v>
      </c>
      <c r="O1403">
        <v>0</v>
      </c>
      <c r="P1403" t="s">
        <v>5018</v>
      </c>
      <c r="Q1403">
        <v>0</v>
      </c>
      <c r="R1403" t="s">
        <v>5019</v>
      </c>
    </row>
    <row r="1404" spans="1:18" ht="16" x14ac:dyDescent="0.2">
      <c r="A1404" s="130" t="s">
        <v>3909</v>
      </c>
      <c r="B1404" t="s">
        <v>102</v>
      </c>
      <c r="C1404" t="s">
        <v>1792</v>
      </c>
      <c r="D1404" t="s">
        <v>4275</v>
      </c>
      <c r="E1404">
        <v>4</v>
      </c>
      <c r="F1404">
        <v>4</v>
      </c>
      <c r="G1404">
        <v>1</v>
      </c>
      <c r="H1404">
        <v>3.3475418968775998</v>
      </c>
      <c r="I1404" t="s">
        <v>957</v>
      </c>
      <c r="J1404" t="s">
        <v>3993</v>
      </c>
      <c r="K1404">
        <v>0.16428571428571401</v>
      </c>
      <c r="L1404" t="s">
        <v>959</v>
      </c>
      <c r="M1404">
        <v>9.4890510948905096</v>
      </c>
      <c r="N1404" t="s">
        <v>960</v>
      </c>
      <c r="O1404">
        <v>0</v>
      </c>
      <c r="P1404">
        <v>0</v>
      </c>
      <c r="Q1404">
        <v>0</v>
      </c>
      <c r="R1404">
        <v>0</v>
      </c>
    </row>
    <row r="1405" spans="1:18" ht="16" x14ac:dyDescent="0.2">
      <c r="A1405" s="130" t="s">
        <v>3909</v>
      </c>
      <c r="B1405" t="s">
        <v>102</v>
      </c>
      <c r="C1405" t="s">
        <v>1197</v>
      </c>
      <c r="D1405" t="s">
        <v>1198</v>
      </c>
      <c r="E1405" t="s">
        <v>1438</v>
      </c>
      <c r="F1405">
        <v>8</v>
      </c>
      <c r="G1405">
        <v>2</v>
      </c>
      <c r="H1405">
        <v>2.2035840564687499</v>
      </c>
      <c r="I1405" t="s">
        <v>957</v>
      </c>
      <c r="J1405" t="s">
        <v>4186</v>
      </c>
      <c r="K1405">
        <v>0.4</v>
      </c>
      <c r="L1405" t="s">
        <v>1004</v>
      </c>
      <c r="M1405">
        <v>5.8394160583941597</v>
      </c>
      <c r="N1405" t="s">
        <v>1005</v>
      </c>
      <c r="O1405">
        <v>0</v>
      </c>
      <c r="P1405">
        <v>0</v>
      </c>
      <c r="Q1405">
        <v>0</v>
      </c>
      <c r="R1405">
        <v>0</v>
      </c>
    </row>
    <row r="1406" spans="1:18" ht="16" x14ac:dyDescent="0.2">
      <c r="A1406" s="130" t="s">
        <v>3909</v>
      </c>
      <c r="B1406" t="s">
        <v>102</v>
      </c>
      <c r="C1406" t="s">
        <v>1629</v>
      </c>
      <c r="D1406" t="s">
        <v>1630</v>
      </c>
      <c r="E1406" t="s">
        <v>1052</v>
      </c>
      <c r="F1406">
        <v>2</v>
      </c>
      <c r="G1406">
        <v>2</v>
      </c>
      <c r="H1406">
        <v>1.61880449377122</v>
      </c>
      <c r="I1406" t="s">
        <v>957</v>
      </c>
      <c r="J1406" t="s">
        <v>4402</v>
      </c>
      <c r="K1406">
        <v>8.5714285714285701E-2</v>
      </c>
      <c r="L1406" t="s">
        <v>959</v>
      </c>
      <c r="M1406">
        <v>2.9197080291970798</v>
      </c>
      <c r="N1406" t="s">
        <v>960</v>
      </c>
      <c r="O1406">
        <v>0</v>
      </c>
      <c r="P1406">
        <v>0</v>
      </c>
      <c r="Q1406">
        <v>0</v>
      </c>
      <c r="R1406">
        <v>0</v>
      </c>
    </row>
    <row r="1407" spans="1:18" ht="16" x14ac:dyDescent="0.2">
      <c r="A1407" s="130" t="s">
        <v>3909</v>
      </c>
      <c r="B1407" t="s">
        <v>102</v>
      </c>
      <c r="C1407" t="s">
        <v>1100</v>
      </c>
      <c r="D1407" t="s">
        <v>1101</v>
      </c>
      <c r="E1407" t="s">
        <v>1022</v>
      </c>
      <c r="F1407">
        <v>3</v>
      </c>
      <c r="G1407">
        <v>2</v>
      </c>
      <c r="H1407">
        <v>2.48659474313191</v>
      </c>
      <c r="I1407" t="s">
        <v>957</v>
      </c>
      <c r="J1407" t="s">
        <v>4256</v>
      </c>
      <c r="K1407">
        <v>0.13571428571428601</v>
      </c>
      <c r="L1407" t="s">
        <v>959</v>
      </c>
      <c r="M1407">
        <v>3.6496350364963499</v>
      </c>
      <c r="N1407" t="s">
        <v>960</v>
      </c>
      <c r="O1407">
        <v>0</v>
      </c>
      <c r="P1407">
        <v>0</v>
      </c>
      <c r="Q1407">
        <v>0</v>
      </c>
      <c r="R1407">
        <v>0</v>
      </c>
    </row>
    <row r="1408" spans="1:18" ht="16" x14ac:dyDescent="0.2">
      <c r="A1408" s="130" t="s">
        <v>3909</v>
      </c>
      <c r="B1408" t="s">
        <v>102</v>
      </c>
      <c r="C1408" t="s">
        <v>1802</v>
      </c>
      <c r="D1408" t="s">
        <v>1803</v>
      </c>
      <c r="E1408" t="s">
        <v>1022</v>
      </c>
      <c r="F1408">
        <v>3</v>
      </c>
      <c r="G1408">
        <v>2</v>
      </c>
      <c r="H1408">
        <v>1.6491138382846</v>
      </c>
      <c r="I1408" t="s">
        <v>957</v>
      </c>
      <c r="J1408" t="s">
        <v>4179</v>
      </c>
      <c r="K1408">
        <v>0.1</v>
      </c>
      <c r="L1408" t="s">
        <v>959</v>
      </c>
      <c r="M1408">
        <v>6.5693430656934302</v>
      </c>
      <c r="N1408" t="s">
        <v>960</v>
      </c>
      <c r="O1408">
        <v>0</v>
      </c>
      <c r="P1408">
        <v>0</v>
      </c>
      <c r="Q1408">
        <v>0</v>
      </c>
      <c r="R1408">
        <v>0</v>
      </c>
    </row>
    <row r="1409" spans="1:18" ht="16" x14ac:dyDescent="0.2">
      <c r="A1409" s="130" t="s">
        <v>3909</v>
      </c>
      <c r="B1409" t="s">
        <v>102</v>
      </c>
      <c r="C1409" t="s">
        <v>1124</v>
      </c>
      <c r="D1409" t="s">
        <v>1125</v>
      </c>
      <c r="E1409" t="s">
        <v>4743</v>
      </c>
      <c r="F1409">
        <v>13</v>
      </c>
      <c r="G1409">
        <v>2</v>
      </c>
      <c r="H1409">
        <v>4.0987608826611197</v>
      </c>
      <c r="I1409" t="s">
        <v>957</v>
      </c>
      <c r="J1409" t="s">
        <v>4744</v>
      </c>
      <c r="K1409">
        <v>5.7142857142857099E-2</v>
      </c>
      <c r="L1409" t="s">
        <v>959</v>
      </c>
      <c r="M1409">
        <v>8.7591240875912408</v>
      </c>
      <c r="N1409" t="s">
        <v>960</v>
      </c>
      <c r="O1409">
        <v>0</v>
      </c>
      <c r="P1409">
        <v>0</v>
      </c>
      <c r="Q1409">
        <v>0</v>
      </c>
      <c r="R1409">
        <v>0</v>
      </c>
    </row>
    <row r="1410" spans="1:18" ht="16" x14ac:dyDescent="0.2">
      <c r="A1410" s="130" t="s">
        <v>3909</v>
      </c>
      <c r="B1410" t="s">
        <v>102</v>
      </c>
      <c r="C1410" t="s">
        <v>1512</v>
      </c>
      <c r="D1410" t="s">
        <v>1513</v>
      </c>
      <c r="E1410">
        <v>4</v>
      </c>
      <c r="F1410">
        <v>4</v>
      </c>
      <c r="G1410">
        <v>1</v>
      </c>
      <c r="H1410">
        <v>1.6006956442640401</v>
      </c>
      <c r="I1410" t="s">
        <v>957</v>
      </c>
      <c r="J1410" t="s">
        <v>4751</v>
      </c>
      <c r="K1410">
        <v>0.185714285714286</v>
      </c>
      <c r="L1410" t="s">
        <v>959</v>
      </c>
      <c r="M1410">
        <v>9.4890510948905096</v>
      </c>
      <c r="N1410" t="s">
        <v>960</v>
      </c>
      <c r="O1410">
        <v>0</v>
      </c>
      <c r="P1410">
        <v>0</v>
      </c>
      <c r="Q1410">
        <v>0</v>
      </c>
      <c r="R1410">
        <v>0</v>
      </c>
    </row>
    <row r="1411" spans="1:18" ht="16" x14ac:dyDescent="0.2">
      <c r="A1411" s="130" t="s">
        <v>3909</v>
      </c>
      <c r="B1411" t="s">
        <v>102</v>
      </c>
      <c r="C1411" t="s">
        <v>2672</v>
      </c>
      <c r="D1411" t="s">
        <v>2673</v>
      </c>
      <c r="E1411" t="s">
        <v>1052</v>
      </c>
      <c r="F1411">
        <v>2</v>
      </c>
      <c r="G1411">
        <v>2</v>
      </c>
      <c r="H1411">
        <v>3.17709899930234</v>
      </c>
      <c r="I1411" t="s">
        <v>957</v>
      </c>
      <c r="J1411" t="s">
        <v>4915</v>
      </c>
      <c r="K1411">
        <v>9.2857142857142902E-2</v>
      </c>
      <c r="L1411" t="s">
        <v>959</v>
      </c>
      <c r="M1411">
        <v>2.1897810218978102</v>
      </c>
      <c r="N1411" t="s">
        <v>960</v>
      </c>
      <c r="O1411">
        <v>0</v>
      </c>
      <c r="P1411">
        <v>0</v>
      </c>
      <c r="Q1411">
        <v>0</v>
      </c>
      <c r="R1411">
        <v>0</v>
      </c>
    </row>
    <row r="1412" spans="1:18" ht="16" x14ac:dyDescent="0.2">
      <c r="A1412" s="130" t="s">
        <v>3909</v>
      </c>
      <c r="B1412" t="s">
        <v>106</v>
      </c>
      <c r="C1412" t="s">
        <v>2310</v>
      </c>
      <c r="D1412" t="s">
        <v>2311</v>
      </c>
      <c r="E1412">
        <v>3</v>
      </c>
      <c r="F1412">
        <v>3</v>
      </c>
      <c r="G1412">
        <v>1</v>
      </c>
      <c r="H1412">
        <v>1.58421710894903</v>
      </c>
      <c r="I1412" t="s">
        <v>957</v>
      </c>
      <c r="J1412" t="s">
        <v>4698</v>
      </c>
      <c r="K1412">
        <v>0.128571428571429</v>
      </c>
      <c r="L1412" t="s">
        <v>959</v>
      </c>
      <c r="M1412">
        <v>8.7591240875912408</v>
      </c>
      <c r="N1412" t="s">
        <v>960</v>
      </c>
      <c r="O1412">
        <v>0</v>
      </c>
      <c r="P1412">
        <v>0</v>
      </c>
      <c r="Q1412">
        <v>0</v>
      </c>
      <c r="R1412">
        <v>0</v>
      </c>
    </row>
    <row r="1413" spans="1:18" ht="16" x14ac:dyDescent="0.2">
      <c r="A1413" s="130" t="s">
        <v>3909</v>
      </c>
      <c r="B1413" t="s">
        <v>106</v>
      </c>
      <c r="C1413" t="s">
        <v>3305</v>
      </c>
      <c r="D1413" t="s">
        <v>3306</v>
      </c>
      <c r="E1413">
        <v>4</v>
      </c>
      <c r="F1413">
        <v>4</v>
      </c>
      <c r="G1413">
        <v>1</v>
      </c>
      <c r="H1413">
        <v>2.3729564286217801</v>
      </c>
      <c r="I1413" t="s">
        <v>957</v>
      </c>
      <c r="J1413" t="s">
        <v>4112</v>
      </c>
      <c r="K1413">
        <v>0.16428571428571401</v>
      </c>
      <c r="L1413" t="s">
        <v>959</v>
      </c>
      <c r="M1413">
        <v>8.7591240875912408</v>
      </c>
      <c r="N1413" t="s">
        <v>960</v>
      </c>
      <c r="O1413">
        <v>0</v>
      </c>
      <c r="P1413">
        <v>0</v>
      </c>
      <c r="Q1413">
        <v>0</v>
      </c>
      <c r="R1413">
        <v>0</v>
      </c>
    </row>
    <row r="1414" spans="1:18" ht="16" x14ac:dyDescent="0.2">
      <c r="A1414" s="130" t="s">
        <v>3909</v>
      </c>
      <c r="B1414" t="s">
        <v>106</v>
      </c>
      <c r="C1414" t="s">
        <v>1402</v>
      </c>
      <c r="D1414" t="s">
        <v>1403</v>
      </c>
      <c r="E1414">
        <v>3</v>
      </c>
      <c r="F1414">
        <v>3</v>
      </c>
      <c r="G1414">
        <v>1</v>
      </c>
      <c r="H1414">
        <v>1.61704468155938</v>
      </c>
      <c r="I1414" t="s">
        <v>957</v>
      </c>
      <c r="J1414" t="s">
        <v>4310</v>
      </c>
      <c r="K1414">
        <v>0.185714285714286</v>
      </c>
      <c r="L1414" t="s">
        <v>959</v>
      </c>
      <c r="M1414">
        <v>9.4890510948905096</v>
      </c>
      <c r="N1414" t="s">
        <v>960</v>
      </c>
      <c r="O1414">
        <v>0</v>
      </c>
      <c r="P1414">
        <v>0</v>
      </c>
      <c r="Q1414">
        <v>0</v>
      </c>
      <c r="R1414">
        <v>0</v>
      </c>
    </row>
    <row r="1415" spans="1:18" ht="16" x14ac:dyDescent="0.2">
      <c r="A1415" s="130" t="s">
        <v>3909</v>
      </c>
      <c r="B1415" t="s">
        <v>106</v>
      </c>
      <c r="C1415" t="s">
        <v>1124</v>
      </c>
      <c r="D1415" t="s">
        <v>1125</v>
      </c>
      <c r="E1415">
        <v>3</v>
      </c>
      <c r="F1415">
        <v>3</v>
      </c>
      <c r="G1415">
        <v>1</v>
      </c>
      <c r="H1415">
        <v>0.64890202350747195</v>
      </c>
      <c r="I1415" t="s">
        <v>957</v>
      </c>
      <c r="J1415" t="s">
        <v>1126</v>
      </c>
      <c r="K1415">
        <v>5.7142857142857099E-2</v>
      </c>
      <c r="L1415" t="s">
        <v>959</v>
      </c>
      <c r="M1415">
        <v>8.7591240875912408</v>
      </c>
      <c r="N1415" t="s">
        <v>960</v>
      </c>
      <c r="O1415">
        <v>0</v>
      </c>
      <c r="P1415">
        <v>0</v>
      </c>
      <c r="Q1415">
        <v>0</v>
      </c>
      <c r="R1415">
        <v>0</v>
      </c>
    </row>
    <row r="1416" spans="1:18" ht="16" x14ac:dyDescent="0.2">
      <c r="A1416" s="130" t="s">
        <v>3909</v>
      </c>
      <c r="B1416" t="s">
        <v>106</v>
      </c>
      <c r="C1416" t="s">
        <v>4965</v>
      </c>
      <c r="D1416" t="s">
        <v>4966</v>
      </c>
      <c r="E1416">
        <v>5</v>
      </c>
      <c r="F1416">
        <v>5</v>
      </c>
      <c r="G1416">
        <v>1</v>
      </c>
      <c r="H1416">
        <v>2.8243795952914699</v>
      </c>
      <c r="I1416" t="s">
        <v>957</v>
      </c>
      <c r="J1416" t="s">
        <v>4967</v>
      </c>
      <c r="K1416">
        <v>7.1428571428571397E-2</v>
      </c>
      <c r="L1416" t="s">
        <v>959</v>
      </c>
      <c r="M1416">
        <v>0.72992700729926996</v>
      </c>
      <c r="N1416" t="s">
        <v>960</v>
      </c>
      <c r="O1416">
        <v>0</v>
      </c>
      <c r="P1416">
        <v>0</v>
      </c>
      <c r="Q1416">
        <v>0</v>
      </c>
      <c r="R1416">
        <v>0</v>
      </c>
    </row>
    <row r="1417" spans="1:18" ht="16" x14ac:dyDescent="0.2">
      <c r="A1417" s="130" t="s">
        <v>3909</v>
      </c>
      <c r="B1417" t="s">
        <v>106</v>
      </c>
      <c r="C1417" t="s">
        <v>3830</v>
      </c>
      <c r="D1417" t="s">
        <v>3831</v>
      </c>
      <c r="E1417" t="s">
        <v>1039</v>
      </c>
      <c r="F1417">
        <v>3</v>
      </c>
      <c r="G1417">
        <v>2</v>
      </c>
      <c r="H1417">
        <v>3.3510825794344199</v>
      </c>
      <c r="I1417" t="s">
        <v>957</v>
      </c>
      <c r="J1417" t="s">
        <v>4135</v>
      </c>
      <c r="K1417">
        <v>0.17142857142857101</v>
      </c>
      <c r="L1417" t="s">
        <v>959</v>
      </c>
      <c r="M1417">
        <v>8.7591240875912408</v>
      </c>
      <c r="N1417" t="s">
        <v>960</v>
      </c>
      <c r="O1417">
        <v>0</v>
      </c>
      <c r="P1417">
        <v>0</v>
      </c>
      <c r="Q1417">
        <v>0</v>
      </c>
      <c r="R1417">
        <v>0</v>
      </c>
    </row>
    <row r="1418" spans="1:18" ht="16" x14ac:dyDescent="0.2">
      <c r="A1418" s="130" t="s">
        <v>3909</v>
      </c>
      <c r="B1418" t="s">
        <v>106</v>
      </c>
      <c r="C1418" t="s">
        <v>1972</v>
      </c>
      <c r="D1418" t="s">
        <v>1973</v>
      </c>
      <c r="E1418">
        <v>3</v>
      </c>
      <c r="F1418">
        <v>3</v>
      </c>
      <c r="G1418">
        <v>1</v>
      </c>
      <c r="H1418">
        <v>3.2574981866963602</v>
      </c>
      <c r="I1418" t="s">
        <v>957</v>
      </c>
      <c r="J1418" t="s">
        <v>3373</v>
      </c>
      <c r="K1418">
        <v>8.5714285714285701E-2</v>
      </c>
      <c r="L1418" t="s">
        <v>959</v>
      </c>
      <c r="M1418">
        <v>2.9197080291970798</v>
      </c>
      <c r="N1418" t="s">
        <v>960</v>
      </c>
      <c r="O1418">
        <v>0</v>
      </c>
      <c r="P1418">
        <v>0</v>
      </c>
      <c r="Q1418">
        <v>0</v>
      </c>
      <c r="R1418">
        <v>0</v>
      </c>
    </row>
    <row r="1419" spans="1:18" ht="16" x14ac:dyDescent="0.2">
      <c r="A1419" s="130" t="s">
        <v>3909</v>
      </c>
      <c r="B1419" t="s">
        <v>110</v>
      </c>
      <c r="C1419" t="s">
        <v>1376</v>
      </c>
      <c r="D1419" t="s">
        <v>1377</v>
      </c>
      <c r="E1419">
        <v>6</v>
      </c>
      <c r="F1419">
        <v>6</v>
      </c>
      <c r="G1419">
        <v>1</v>
      </c>
      <c r="H1419">
        <v>2.5590789062704302</v>
      </c>
      <c r="I1419" t="s">
        <v>957</v>
      </c>
      <c r="J1419" t="s">
        <v>4825</v>
      </c>
      <c r="K1419">
        <v>0.17142857142857101</v>
      </c>
      <c r="L1419" t="s">
        <v>959</v>
      </c>
      <c r="M1419">
        <v>9.4890510948905096</v>
      </c>
      <c r="N1419" t="s">
        <v>960</v>
      </c>
      <c r="O1419">
        <v>0</v>
      </c>
      <c r="P1419">
        <v>0</v>
      </c>
      <c r="Q1419">
        <v>0</v>
      </c>
      <c r="R1419">
        <v>0</v>
      </c>
    </row>
    <row r="1420" spans="1:18" ht="16" x14ac:dyDescent="0.2">
      <c r="A1420" s="130" t="s">
        <v>3909</v>
      </c>
      <c r="B1420" t="s">
        <v>110</v>
      </c>
      <c r="C1420" t="s">
        <v>3697</v>
      </c>
      <c r="D1420" t="s">
        <v>3698</v>
      </c>
      <c r="E1420">
        <v>4</v>
      </c>
      <c r="F1420">
        <v>4</v>
      </c>
      <c r="G1420">
        <v>1</v>
      </c>
      <c r="H1420">
        <v>3.9978852760879802</v>
      </c>
      <c r="I1420" t="s">
        <v>957</v>
      </c>
      <c r="J1420" t="s">
        <v>4523</v>
      </c>
      <c r="K1420">
        <v>0.192857142857143</v>
      </c>
      <c r="L1420" t="s">
        <v>959</v>
      </c>
      <c r="M1420">
        <v>5.10948905109489</v>
      </c>
      <c r="N1420" t="s">
        <v>960</v>
      </c>
      <c r="O1420">
        <v>0</v>
      </c>
      <c r="P1420">
        <v>0</v>
      </c>
      <c r="Q1420">
        <v>0</v>
      </c>
      <c r="R1420">
        <v>0</v>
      </c>
    </row>
    <row r="1421" spans="1:18" ht="16" x14ac:dyDescent="0.2">
      <c r="A1421" s="130" t="s">
        <v>3909</v>
      </c>
      <c r="B1421" t="s">
        <v>110</v>
      </c>
      <c r="C1421" t="s">
        <v>2310</v>
      </c>
      <c r="D1421" t="s">
        <v>2311</v>
      </c>
      <c r="E1421">
        <v>4</v>
      </c>
      <c r="F1421">
        <v>4</v>
      </c>
      <c r="G1421">
        <v>1</v>
      </c>
      <c r="H1421">
        <v>2.2289566300329402</v>
      </c>
      <c r="I1421" t="s">
        <v>957</v>
      </c>
      <c r="J1421" t="s">
        <v>4043</v>
      </c>
      <c r="K1421">
        <v>0.128571428571429</v>
      </c>
      <c r="L1421" t="s">
        <v>959</v>
      </c>
      <c r="M1421">
        <v>8.7591240875912408</v>
      </c>
      <c r="N1421" t="s">
        <v>960</v>
      </c>
      <c r="O1421">
        <v>0</v>
      </c>
      <c r="P1421">
        <v>0</v>
      </c>
      <c r="Q1421">
        <v>0</v>
      </c>
      <c r="R1421">
        <v>0</v>
      </c>
    </row>
    <row r="1422" spans="1:18" ht="16" x14ac:dyDescent="0.2">
      <c r="A1422" s="130" t="s">
        <v>3909</v>
      </c>
      <c r="B1422" t="s">
        <v>110</v>
      </c>
      <c r="C1422" t="s">
        <v>2230</v>
      </c>
      <c r="D1422" t="s">
        <v>2231</v>
      </c>
      <c r="E1422" t="s">
        <v>1230</v>
      </c>
      <c r="F1422">
        <v>4</v>
      </c>
      <c r="G1422">
        <v>2</v>
      </c>
      <c r="H1422">
        <v>3.9126830866809499</v>
      </c>
      <c r="I1422" t="s">
        <v>957</v>
      </c>
      <c r="J1422" t="s">
        <v>4357</v>
      </c>
      <c r="K1422">
        <v>0.157142857142857</v>
      </c>
      <c r="L1422" t="s">
        <v>959</v>
      </c>
      <c r="M1422">
        <v>4.3795620437956204</v>
      </c>
      <c r="N1422" t="s">
        <v>960</v>
      </c>
      <c r="O1422">
        <v>0</v>
      </c>
      <c r="P1422">
        <v>0</v>
      </c>
      <c r="Q1422">
        <v>0</v>
      </c>
      <c r="R1422">
        <v>0</v>
      </c>
    </row>
    <row r="1423" spans="1:18" ht="16" x14ac:dyDescent="0.2">
      <c r="A1423" s="130" t="s">
        <v>3909</v>
      </c>
      <c r="B1423" t="s">
        <v>110</v>
      </c>
      <c r="C1423" t="s">
        <v>1814</v>
      </c>
      <c r="D1423" t="s">
        <v>1815</v>
      </c>
      <c r="E1423">
        <v>3</v>
      </c>
      <c r="F1423">
        <v>3</v>
      </c>
      <c r="G1423">
        <v>1</v>
      </c>
      <c r="H1423">
        <v>3.37763827441939</v>
      </c>
      <c r="I1423" t="s">
        <v>957</v>
      </c>
      <c r="J1423" t="s">
        <v>4563</v>
      </c>
      <c r="K1423">
        <v>0.157142857142857</v>
      </c>
      <c r="L1423" t="s">
        <v>959</v>
      </c>
      <c r="M1423">
        <v>5.8394160583941597</v>
      </c>
      <c r="N1423" t="s">
        <v>960</v>
      </c>
      <c r="O1423">
        <v>0</v>
      </c>
      <c r="P1423">
        <v>0</v>
      </c>
      <c r="Q1423">
        <v>0</v>
      </c>
      <c r="R1423">
        <v>0</v>
      </c>
    </row>
    <row r="1424" spans="1:18" ht="16" x14ac:dyDescent="0.2">
      <c r="A1424" s="130" t="s">
        <v>3909</v>
      </c>
      <c r="B1424" t="s">
        <v>110</v>
      </c>
      <c r="C1424" t="s">
        <v>3679</v>
      </c>
      <c r="D1424" t="s">
        <v>3961</v>
      </c>
      <c r="E1424" t="s">
        <v>1576</v>
      </c>
      <c r="F1424">
        <v>4</v>
      </c>
      <c r="G1424">
        <v>3</v>
      </c>
      <c r="H1424">
        <v>1.8655393005702601</v>
      </c>
      <c r="I1424" t="s">
        <v>957</v>
      </c>
      <c r="J1424" t="s">
        <v>3962</v>
      </c>
      <c r="K1424">
        <v>1.4285714285714299E-2</v>
      </c>
      <c r="L1424" t="s">
        <v>959</v>
      </c>
      <c r="M1424">
        <v>1.4598540145985399</v>
      </c>
      <c r="N1424" t="s">
        <v>960</v>
      </c>
      <c r="O1424">
        <v>0</v>
      </c>
      <c r="P1424">
        <v>0</v>
      </c>
      <c r="Q1424">
        <v>0</v>
      </c>
      <c r="R1424">
        <v>0</v>
      </c>
    </row>
    <row r="1425" spans="1:18" ht="16" x14ac:dyDescent="0.2">
      <c r="A1425" s="130" t="s">
        <v>3909</v>
      </c>
      <c r="B1425" t="s">
        <v>110</v>
      </c>
      <c r="C1425" t="s">
        <v>3092</v>
      </c>
      <c r="D1425" t="s">
        <v>3093</v>
      </c>
      <c r="E1425" t="s">
        <v>1230</v>
      </c>
      <c r="F1425">
        <v>4</v>
      </c>
      <c r="G1425">
        <v>2</v>
      </c>
      <c r="H1425">
        <v>4.0337744370232302</v>
      </c>
      <c r="I1425" t="s">
        <v>957</v>
      </c>
      <c r="J1425" t="s">
        <v>4286</v>
      </c>
      <c r="K1425">
        <v>9.2857142857142902E-2</v>
      </c>
      <c r="L1425" t="s">
        <v>959</v>
      </c>
      <c r="M1425">
        <v>5.10948905109489</v>
      </c>
      <c r="N1425" t="s">
        <v>960</v>
      </c>
      <c r="O1425">
        <v>0</v>
      </c>
      <c r="P1425">
        <v>0</v>
      </c>
      <c r="Q1425">
        <v>0</v>
      </c>
      <c r="R1425">
        <v>0</v>
      </c>
    </row>
    <row r="1426" spans="1:18" ht="16" x14ac:dyDescent="0.2">
      <c r="A1426" s="130" t="s">
        <v>3909</v>
      </c>
      <c r="B1426" t="s">
        <v>110</v>
      </c>
      <c r="C1426" t="s">
        <v>1503</v>
      </c>
      <c r="D1426" t="s">
        <v>1504</v>
      </c>
      <c r="E1426">
        <v>3</v>
      </c>
      <c r="F1426">
        <v>3</v>
      </c>
      <c r="G1426">
        <v>1</v>
      </c>
      <c r="H1426">
        <v>3.97992642665616</v>
      </c>
      <c r="I1426" t="s">
        <v>957</v>
      </c>
      <c r="J1426" t="s">
        <v>4223</v>
      </c>
      <c r="K1426">
        <v>6.4285714285714293E-2</v>
      </c>
      <c r="L1426" t="s">
        <v>959</v>
      </c>
      <c r="M1426">
        <v>2.1897810218978102</v>
      </c>
      <c r="N1426" t="s">
        <v>960</v>
      </c>
      <c r="O1426">
        <v>0</v>
      </c>
      <c r="P1426">
        <v>0</v>
      </c>
      <c r="Q1426">
        <v>0</v>
      </c>
      <c r="R1426">
        <v>0</v>
      </c>
    </row>
    <row r="1427" spans="1:18" ht="16" x14ac:dyDescent="0.2">
      <c r="A1427" s="130" t="s">
        <v>3909</v>
      </c>
      <c r="B1427" t="s">
        <v>110</v>
      </c>
      <c r="C1427" t="s">
        <v>2773</v>
      </c>
      <c r="D1427" t="s">
        <v>2774</v>
      </c>
      <c r="E1427" t="s">
        <v>1039</v>
      </c>
      <c r="F1427">
        <v>3</v>
      </c>
      <c r="G1427">
        <v>2</v>
      </c>
      <c r="H1427">
        <v>2.8880964799170998</v>
      </c>
      <c r="I1427" t="s">
        <v>957</v>
      </c>
      <c r="J1427" t="s">
        <v>4508</v>
      </c>
      <c r="K1427">
        <v>0.20714285714285699</v>
      </c>
      <c r="L1427" t="s">
        <v>959</v>
      </c>
      <c r="M1427">
        <v>8.0291970802919703</v>
      </c>
      <c r="N1427" t="s">
        <v>960</v>
      </c>
      <c r="O1427">
        <v>0</v>
      </c>
      <c r="P1427">
        <v>0</v>
      </c>
      <c r="Q1427">
        <v>0</v>
      </c>
      <c r="R1427">
        <v>0</v>
      </c>
    </row>
    <row r="1428" spans="1:18" ht="16" x14ac:dyDescent="0.2">
      <c r="A1428" s="130" t="s">
        <v>3909</v>
      </c>
      <c r="B1428" t="s">
        <v>110</v>
      </c>
      <c r="C1428" t="s">
        <v>1402</v>
      </c>
      <c r="D1428" t="s">
        <v>1403</v>
      </c>
      <c r="E1428" t="s">
        <v>1074</v>
      </c>
      <c r="F1428">
        <v>6</v>
      </c>
      <c r="G1428">
        <v>2</v>
      </c>
      <c r="H1428">
        <v>3.6565604961387801</v>
      </c>
      <c r="I1428" t="s">
        <v>957</v>
      </c>
      <c r="J1428" t="s">
        <v>4720</v>
      </c>
      <c r="K1428">
        <v>0.185714285714286</v>
      </c>
      <c r="L1428" t="s">
        <v>959</v>
      </c>
      <c r="M1428">
        <v>9.4890510948905096</v>
      </c>
      <c r="N1428" t="s">
        <v>960</v>
      </c>
      <c r="O1428">
        <v>0</v>
      </c>
      <c r="P1428">
        <v>0</v>
      </c>
      <c r="Q1428">
        <v>0</v>
      </c>
      <c r="R1428">
        <v>0</v>
      </c>
    </row>
    <row r="1429" spans="1:18" ht="16" x14ac:dyDescent="0.2">
      <c r="A1429" s="130" t="s">
        <v>3909</v>
      </c>
      <c r="B1429" t="s">
        <v>110</v>
      </c>
      <c r="C1429" t="s">
        <v>2245</v>
      </c>
      <c r="D1429" t="s">
        <v>2246</v>
      </c>
      <c r="E1429">
        <v>3</v>
      </c>
      <c r="F1429">
        <v>3</v>
      </c>
      <c r="G1429">
        <v>1</v>
      </c>
      <c r="H1429">
        <v>2.9060072922344098</v>
      </c>
      <c r="I1429" t="s">
        <v>957</v>
      </c>
      <c r="J1429" t="s">
        <v>4772</v>
      </c>
      <c r="K1429">
        <v>0.16428571428571401</v>
      </c>
      <c r="L1429" t="s">
        <v>959</v>
      </c>
      <c r="M1429">
        <v>5.8394160583941597</v>
      </c>
      <c r="N1429" t="s">
        <v>960</v>
      </c>
      <c r="O1429">
        <v>0</v>
      </c>
      <c r="P1429">
        <v>0</v>
      </c>
      <c r="Q1429">
        <v>0</v>
      </c>
      <c r="R1429">
        <v>0</v>
      </c>
    </row>
    <row r="1430" spans="1:18" ht="16" x14ac:dyDescent="0.2">
      <c r="A1430" s="130" t="s">
        <v>3909</v>
      </c>
      <c r="B1430" t="s">
        <v>110</v>
      </c>
      <c r="C1430" t="s">
        <v>3600</v>
      </c>
      <c r="D1430" t="s">
        <v>3601</v>
      </c>
      <c r="E1430">
        <v>4</v>
      </c>
      <c r="F1430">
        <v>4</v>
      </c>
      <c r="G1430">
        <v>1</v>
      </c>
      <c r="H1430">
        <v>3.9130498032719401</v>
      </c>
      <c r="I1430" t="s">
        <v>957</v>
      </c>
      <c r="J1430" t="s">
        <v>4455</v>
      </c>
      <c r="K1430">
        <v>0.114285714285714</v>
      </c>
      <c r="L1430" t="s">
        <v>959</v>
      </c>
      <c r="M1430">
        <v>4.3795620437956204</v>
      </c>
      <c r="N1430" t="s">
        <v>960</v>
      </c>
      <c r="O1430">
        <v>0</v>
      </c>
      <c r="P1430">
        <v>0</v>
      </c>
      <c r="Q1430">
        <v>0</v>
      </c>
      <c r="R1430">
        <v>0</v>
      </c>
    </row>
    <row r="1431" spans="1:18" ht="16" x14ac:dyDescent="0.2">
      <c r="A1431" s="130" t="s">
        <v>3909</v>
      </c>
      <c r="B1431" t="s">
        <v>110</v>
      </c>
      <c r="C1431" t="s">
        <v>2794</v>
      </c>
      <c r="D1431" t="s">
        <v>2795</v>
      </c>
      <c r="E1431" t="s">
        <v>1102</v>
      </c>
      <c r="F1431">
        <v>4</v>
      </c>
      <c r="G1431">
        <v>2</v>
      </c>
      <c r="H1431">
        <v>3.6507573912503002</v>
      </c>
      <c r="I1431" t="s">
        <v>957</v>
      </c>
      <c r="J1431" t="s">
        <v>4519</v>
      </c>
      <c r="K1431">
        <v>0.114285714285714</v>
      </c>
      <c r="L1431" t="s">
        <v>959</v>
      </c>
      <c r="M1431">
        <v>2.9197080291970798</v>
      </c>
      <c r="N1431" t="s">
        <v>960</v>
      </c>
      <c r="O1431">
        <v>0</v>
      </c>
      <c r="P1431">
        <v>0</v>
      </c>
      <c r="Q1431">
        <v>0</v>
      </c>
      <c r="R1431">
        <v>0</v>
      </c>
    </row>
    <row r="1432" spans="1:18" ht="16" x14ac:dyDescent="0.2">
      <c r="A1432" s="130" t="s">
        <v>3909</v>
      </c>
      <c r="B1432" t="s">
        <v>110</v>
      </c>
      <c r="C1432" t="s">
        <v>3332</v>
      </c>
      <c r="D1432" t="s">
        <v>3333</v>
      </c>
      <c r="E1432" t="s">
        <v>1102</v>
      </c>
      <c r="F1432">
        <v>4</v>
      </c>
      <c r="G1432">
        <v>2</v>
      </c>
      <c r="H1432">
        <v>4.0800932603403703</v>
      </c>
      <c r="I1432" t="s">
        <v>957</v>
      </c>
      <c r="J1432" t="s">
        <v>4904</v>
      </c>
      <c r="K1432">
        <v>0.185714285714286</v>
      </c>
      <c r="L1432" t="s">
        <v>959</v>
      </c>
      <c r="M1432">
        <v>4.3795620437956204</v>
      </c>
      <c r="N1432" t="s">
        <v>960</v>
      </c>
      <c r="O1432">
        <v>0</v>
      </c>
      <c r="P1432">
        <v>0</v>
      </c>
      <c r="Q1432">
        <v>0</v>
      </c>
      <c r="R1432">
        <v>0</v>
      </c>
    </row>
    <row r="1433" spans="1:18" ht="16" x14ac:dyDescent="0.2">
      <c r="A1433" s="130" t="s">
        <v>3909</v>
      </c>
      <c r="B1433" t="s">
        <v>110</v>
      </c>
      <c r="C1433" t="s">
        <v>2233</v>
      </c>
      <c r="D1433" t="s">
        <v>2234</v>
      </c>
      <c r="E1433">
        <v>3</v>
      </c>
      <c r="F1433">
        <v>3</v>
      </c>
      <c r="G1433">
        <v>1</v>
      </c>
      <c r="H1433">
        <v>2.0085888063495898</v>
      </c>
      <c r="I1433" t="s">
        <v>957</v>
      </c>
      <c r="J1433" t="s">
        <v>4520</v>
      </c>
      <c r="K1433">
        <v>0.16428571428571401</v>
      </c>
      <c r="L1433" t="s">
        <v>959</v>
      </c>
      <c r="M1433">
        <v>8.0291970802919703</v>
      </c>
      <c r="N1433" t="s">
        <v>960</v>
      </c>
      <c r="O1433">
        <v>0</v>
      </c>
      <c r="P1433">
        <v>0</v>
      </c>
      <c r="Q1433">
        <v>0</v>
      </c>
      <c r="R1433">
        <v>0</v>
      </c>
    </row>
    <row r="1434" spans="1:18" ht="16" x14ac:dyDescent="0.2">
      <c r="A1434" s="130" t="s">
        <v>3909</v>
      </c>
      <c r="B1434" t="s">
        <v>110</v>
      </c>
      <c r="C1434" t="s">
        <v>1459</v>
      </c>
      <c r="D1434" t="s">
        <v>4170</v>
      </c>
      <c r="E1434">
        <v>5</v>
      </c>
      <c r="F1434">
        <v>5</v>
      </c>
      <c r="G1434">
        <v>1</v>
      </c>
      <c r="H1434">
        <v>1.3057254092721799</v>
      </c>
      <c r="I1434" t="s">
        <v>957</v>
      </c>
      <c r="J1434" t="s">
        <v>4879</v>
      </c>
      <c r="K1434">
        <v>7.1428571428571397E-2</v>
      </c>
      <c r="L1434" t="s">
        <v>959</v>
      </c>
      <c r="M1434">
        <v>8.0291970802919703</v>
      </c>
      <c r="N1434" t="s">
        <v>960</v>
      </c>
      <c r="O1434">
        <v>0</v>
      </c>
      <c r="P1434" t="s">
        <v>5017</v>
      </c>
      <c r="Q1434">
        <v>0</v>
      </c>
      <c r="R1434" t="s">
        <v>5019</v>
      </c>
    </row>
    <row r="1435" spans="1:18" ht="16" x14ac:dyDescent="0.2">
      <c r="A1435" s="130" t="s">
        <v>3909</v>
      </c>
      <c r="B1435" t="s">
        <v>110</v>
      </c>
      <c r="C1435" t="s">
        <v>1649</v>
      </c>
      <c r="D1435" t="s">
        <v>1650</v>
      </c>
      <c r="E1435">
        <v>3</v>
      </c>
      <c r="F1435">
        <v>3</v>
      </c>
      <c r="G1435">
        <v>1</v>
      </c>
      <c r="H1435">
        <v>2.5655407312427698</v>
      </c>
      <c r="I1435" t="s">
        <v>957</v>
      </c>
      <c r="J1435" t="s">
        <v>5002</v>
      </c>
      <c r="K1435">
        <v>0.2</v>
      </c>
      <c r="L1435" t="s">
        <v>959</v>
      </c>
      <c r="M1435">
        <v>8.7591240875912408</v>
      </c>
      <c r="N1435" t="s">
        <v>960</v>
      </c>
      <c r="O1435">
        <v>0</v>
      </c>
      <c r="P1435">
        <v>0</v>
      </c>
      <c r="Q1435">
        <v>0</v>
      </c>
      <c r="R1435">
        <v>0</v>
      </c>
    </row>
    <row r="1436" spans="1:18" ht="16" x14ac:dyDescent="0.2">
      <c r="A1436" s="130" t="s">
        <v>3909</v>
      </c>
      <c r="B1436" t="s">
        <v>110</v>
      </c>
      <c r="C1436" t="s">
        <v>3035</v>
      </c>
      <c r="D1436" t="s">
        <v>3036</v>
      </c>
      <c r="E1436" t="s">
        <v>1052</v>
      </c>
      <c r="F1436">
        <v>2</v>
      </c>
      <c r="G1436">
        <v>2</v>
      </c>
      <c r="H1436">
        <v>2.1330903384110802</v>
      </c>
      <c r="I1436" t="s">
        <v>957</v>
      </c>
      <c r="J1436" t="s">
        <v>4863</v>
      </c>
      <c r="K1436">
        <v>0.20714285714285699</v>
      </c>
      <c r="L1436" t="s">
        <v>959</v>
      </c>
      <c r="M1436">
        <v>3.6496350364963499</v>
      </c>
      <c r="N1436" t="s">
        <v>960</v>
      </c>
      <c r="O1436">
        <v>0</v>
      </c>
      <c r="P1436">
        <v>0</v>
      </c>
      <c r="Q1436">
        <v>0</v>
      </c>
      <c r="R1436">
        <v>0</v>
      </c>
    </row>
    <row r="1437" spans="1:18" ht="16" x14ac:dyDescent="0.2">
      <c r="A1437" s="130" t="s">
        <v>3909</v>
      </c>
      <c r="B1437" t="s">
        <v>110</v>
      </c>
      <c r="C1437" t="s">
        <v>2814</v>
      </c>
      <c r="D1437" t="s">
        <v>2815</v>
      </c>
      <c r="E1437">
        <v>3</v>
      </c>
      <c r="F1437">
        <v>3</v>
      </c>
      <c r="G1437">
        <v>1</v>
      </c>
      <c r="H1437">
        <v>2.0945802780162301</v>
      </c>
      <c r="I1437" t="s">
        <v>957</v>
      </c>
      <c r="J1437" t="s">
        <v>4064</v>
      </c>
      <c r="K1437">
        <v>0.15</v>
      </c>
      <c r="L1437" t="s">
        <v>959</v>
      </c>
      <c r="M1437">
        <v>7.2992700729926998</v>
      </c>
      <c r="N1437" t="s">
        <v>960</v>
      </c>
      <c r="O1437">
        <v>0</v>
      </c>
      <c r="P1437">
        <v>0</v>
      </c>
      <c r="Q1437">
        <v>0</v>
      </c>
      <c r="R1437">
        <v>0</v>
      </c>
    </row>
    <row r="1438" spans="1:18" ht="16" x14ac:dyDescent="0.2">
      <c r="A1438" s="130" t="s">
        <v>3909</v>
      </c>
      <c r="B1438" t="s">
        <v>110</v>
      </c>
      <c r="C1438" t="s">
        <v>3308</v>
      </c>
      <c r="D1438" t="s">
        <v>3309</v>
      </c>
      <c r="E1438">
        <v>4</v>
      </c>
      <c r="F1438">
        <v>4</v>
      </c>
      <c r="G1438">
        <v>1</v>
      </c>
      <c r="H1438">
        <v>3.0780918443332599</v>
      </c>
      <c r="I1438" t="s">
        <v>957</v>
      </c>
      <c r="J1438" t="s">
        <v>3310</v>
      </c>
      <c r="K1438">
        <v>7.8571428571428598E-2</v>
      </c>
      <c r="L1438" t="s">
        <v>959</v>
      </c>
      <c r="M1438">
        <v>3.6496350364963499</v>
      </c>
      <c r="N1438" t="s">
        <v>960</v>
      </c>
      <c r="O1438">
        <v>0</v>
      </c>
      <c r="P1438">
        <v>0</v>
      </c>
      <c r="Q1438">
        <v>0</v>
      </c>
      <c r="R1438">
        <v>0</v>
      </c>
    </row>
    <row r="1439" spans="1:18" ht="16" x14ac:dyDescent="0.2">
      <c r="A1439" s="130" t="s">
        <v>3909</v>
      </c>
      <c r="B1439" t="s">
        <v>114</v>
      </c>
      <c r="C1439" t="s">
        <v>2893</v>
      </c>
      <c r="D1439" t="s">
        <v>2894</v>
      </c>
      <c r="E1439">
        <v>3</v>
      </c>
      <c r="F1439">
        <v>3</v>
      </c>
      <c r="G1439">
        <v>1</v>
      </c>
      <c r="H1439">
        <v>2.1202548404772799</v>
      </c>
      <c r="I1439" t="s">
        <v>957</v>
      </c>
      <c r="J1439" t="s">
        <v>4394</v>
      </c>
      <c r="K1439">
        <v>0.2</v>
      </c>
      <c r="L1439" t="s">
        <v>959</v>
      </c>
      <c r="M1439">
        <v>8.7591240875912408</v>
      </c>
      <c r="N1439" t="s">
        <v>960</v>
      </c>
      <c r="O1439" t="s">
        <v>5018</v>
      </c>
      <c r="P1439">
        <v>0</v>
      </c>
      <c r="Q1439">
        <v>0</v>
      </c>
      <c r="R1439">
        <v>0</v>
      </c>
    </row>
    <row r="1440" spans="1:18" ht="16" x14ac:dyDescent="0.2">
      <c r="A1440" s="130" t="s">
        <v>3909</v>
      </c>
      <c r="B1440" t="s">
        <v>114</v>
      </c>
      <c r="C1440" t="s">
        <v>4106</v>
      </c>
      <c r="D1440" t="s">
        <v>4107</v>
      </c>
      <c r="E1440">
        <v>3</v>
      </c>
      <c r="F1440">
        <v>3</v>
      </c>
      <c r="G1440">
        <v>1</v>
      </c>
      <c r="H1440">
        <v>3.34396102024709</v>
      </c>
      <c r="I1440" t="s">
        <v>957</v>
      </c>
      <c r="J1440" t="s">
        <v>4437</v>
      </c>
      <c r="K1440">
        <v>0.11764705882352899</v>
      </c>
      <c r="L1440" t="s">
        <v>1099</v>
      </c>
      <c r="M1440">
        <v>2.1897810218978102</v>
      </c>
      <c r="N1440" t="s">
        <v>973</v>
      </c>
      <c r="O1440" t="s">
        <v>5018</v>
      </c>
      <c r="P1440">
        <v>0</v>
      </c>
      <c r="Q1440">
        <v>0</v>
      </c>
      <c r="R1440">
        <v>0</v>
      </c>
    </row>
    <row r="1441" spans="1:18" ht="16" x14ac:dyDescent="0.2">
      <c r="A1441" s="130" t="s">
        <v>3909</v>
      </c>
      <c r="B1441" t="s">
        <v>114</v>
      </c>
      <c r="C1441" t="s">
        <v>2310</v>
      </c>
      <c r="D1441" t="s">
        <v>2311</v>
      </c>
      <c r="E1441">
        <v>4</v>
      </c>
      <c r="F1441">
        <v>4</v>
      </c>
      <c r="G1441">
        <v>1</v>
      </c>
      <c r="H1441">
        <v>2.79815695875463</v>
      </c>
      <c r="I1441" t="s">
        <v>957</v>
      </c>
      <c r="J1441" t="s">
        <v>4249</v>
      </c>
      <c r="K1441">
        <v>0.17647058823529399</v>
      </c>
      <c r="L1441" t="s">
        <v>1099</v>
      </c>
      <c r="M1441">
        <v>8.7591240875912408</v>
      </c>
      <c r="N1441" t="s">
        <v>973</v>
      </c>
      <c r="O1441" t="s">
        <v>5018</v>
      </c>
      <c r="P1441">
        <v>0</v>
      </c>
      <c r="Q1441">
        <v>0</v>
      </c>
      <c r="R1441">
        <v>0</v>
      </c>
    </row>
    <row r="1442" spans="1:18" ht="16" x14ac:dyDescent="0.2">
      <c r="A1442" s="130" t="s">
        <v>3909</v>
      </c>
      <c r="B1442" t="s">
        <v>114</v>
      </c>
      <c r="C1442" t="s">
        <v>3192</v>
      </c>
      <c r="D1442" t="s">
        <v>3193</v>
      </c>
      <c r="E1442">
        <v>4</v>
      </c>
      <c r="F1442">
        <v>4</v>
      </c>
      <c r="G1442">
        <v>1</v>
      </c>
      <c r="H1442">
        <v>2.1988560373167001</v>
      </c>
      <c r="I1442" t="s">
        <v>957</v>
      </c>
      <c r="J1442" t="s">
        <v>4055</v>
      </c>
      <c r="K1442">
        <v>0.11764705882352899</v>
      </c>
      <c r="L1442" t="s">
        <v>1099</v>
      </c>
      <c r="M1442">
        <v>5.10948905109489</v>
      </c>
      <c r="N1442" t="s">
        <v>973</v>
      </c>
      <c r="O1442" t="s">
        <v>5018</v>
      </c>
      <c r="P1442" t="s">
        <v>5018</v>
      </c>
      <c r="Q1442">
        <v>0</v>
      </c>
      <c r="R1442" t="s">
        <v>5019</v>
      </c>
    </row>
    <row r="1443" spans="1:18" ht="16" x14ac:dyDescent="0.2">
      <c r="A1443" s="130" t="s">
        <v>3909</v>
      </c>
      <c r="B1443" t="s">
        <v>114</v>
      </c>
      <c r="C1443" t="s">
        <v>2412</v>
      </c>
      <c r="D1443" t="s">
        <v>2413</v>
      </c>
      <c r="E1443">
        <v>3</v>
      </c>
      <c r="F1443">
        <v>3</v>
      </c>
      <c r="G1443">
        <v>1</v>
      </c>
      <c r="H1443">
        <v>1.5947795768883699</v>
      </c>
      <c r="I1443" t="s">
        <v>957</v>
      </c>
      <c r="J1443" t="s">
        <v>4844</v>
      </c>
      <c r="K1443">
        <v>0.17647058823529399</v>
      </c>
      <c r="L1443" t="s">
        <v>1099</v>
      </c>
      <c r="M1443">
        <v>2.9197080291970798</v>
      </c>
      <c r="N1443" t="s">
        <v>973</v>
      </c>
      <c r="O1443" t="s">
        <v>5018</v>
      </c>
      <c r="P1443">
        <v>0</v>
      </c>
      <c r="Q1443">
        <v>0</v>
      </c>
      <c r="R1443">
        <v>0</v>
      </c>
    </row>
    <row r="1444" spans="1:18" ht="16" x14ac:dyDescent="0.2">
      <c r="A1444" s="130" t="s">
        <v>3909</v>
      </c>
      <c r="B1444" t="s">
        <v>114</v>
      </c>
      <c r="C1444" t="s">
        <v>2971</v>
      </c>
      <c r="D1444" t="s">
        <v>2972</v>
      </c>
      <c r="E1444">
        <v>9</v>
      </c>
      <c r="F1444">
        <v>9</v>
      </c>
      <c r="G1444">
        <v>1</v>
      </c>
      <c r="H1444">
        <v>2.98903104188348</v>
      </c>
      <c r="I1444" t="s">
        <v>957</v>
      </c>
      <c r="J1444" t="s">
        <v>4345</v>
      </c>
      <c r="K1444">
        <v>0.17647058823529399</v>
      </c>
      <c r="L1444" t="s">
        <v>1099</v>
      </c>
      <c r="M1444">
        <v>5.10948905109489</v>
      </c>
      <c r="N1444" t="s">
        <v>973</v>
      </c>
      <c r="O1444" t="s">
        <v>5018</v>
      </c>
      <c r="P1444">
        <v>0</v>
      </c>
      <c r="Q1444">
        <v>0</v>
      </c>
      <c r="R1444">
        <v>0</v>
      </c>
    </row>
    <row r="1445" spans="1:18" ht="16" x14ac:dyDescent="0.2">
      <c r="A1445" s="130" t="s">
        <v>3909</v>
      </c>
      <c r="B1445" t="s">
        <v>114</v>
      </c>
      <c r="C1445" t="s">
        <v>3070</v>
      </c>
      <c r="D1445" t="s">
        <v>3071</v>
      </c>
      <c r="E1445">
        <v>5</v>
      </c>
      <c r="F1445">
        <v>5</v>
      </c>
      <c r="G1445">
        <v>1</v>
      </c>
      <c r="H1445">
        <v>3.8962773955318699</v>
      </c>
      <c r="I1445" t="s">
        <v>957</v>
      </c>
      <c r="J1445" t="s">
        <v>4962</v>
      </c>
      <c r="K1445">
        <v>0.11764705882352899</v>
      </c>
      <c r="L1445" t="s">
        <v>1099</v>
      </c>
      <c r="M1445">
        <v>5.8394160583941597</v>
      </c>
      <c r="N1445" t="s">
        <v>973</v>
      </c>
      <c r="O1445" t="s">
        <v>5018</v>
      </c>
      <c r="P1445">
        <v>0</v>
      </c>
      <c r="Q1445">
        <v>0</v>
      </c>
      <c r="R1445">
        <v>0</v>
      </c>
    </row>
    <row r="1446" spans="1:18" ht="16" x14ac:dyDescent="0.2">
      <c r="A1446" s="130" t="s">
        <v>3909</v>
      </c>
      <c r="B1446" t="s">
        <v>114</v>
      </c>
      <c r="C1446" t="s">
        <v>1054</v>
      </c>
      <c r="D1446" t="s">
        <v>3928</v>
      </c>
      <c r="E1446">
        <v>6</v>
      </c>
      <c r="F1446">
        <v>6</v>
      </c>
      <c r="G1446">
        <v>1</v>
      </c>
      <c r="H1446">
        <v>3.3893375569635502</v>
      </c>
      <c r="I1446" t="s">
        <v>957</v>
      </c>
      <c r="J1446" t="s">
        <v>4436</v>
      </c>
      <c r="K1446">
        <v>0.23529411764705899</v>
      </c>
      <c r="L1446" t="s">
        <v>1099</v>
      </c>
      <c r="M1446">
        <v>5.10948905109489</v>
      </c>
      <c r="N1446" t="s">
        <v>973</v>
      </c>
      <c r="O1446" t="s">
        <v>5018</v>
      </c>
      <c r="P1446">
        <v>0</v>
      </c>
      <c r="Q1446">
        <v>0</v>
      </c>
      <c r="R1446">
        <v>0</v>
      </c>
    </row>
    <row r="1447" spans="1:18" ht="16" x14ac:dyDescent="0.2">
      <c r="A1447" s="130" t="s">
        <v>3909</v>
      </c>
      <c r="B1447" t="s">
        <v>114</v>
      </c>
      <c r="C1447" t="s">
        <v>1150</v>
      </c>
      <c r="D1447" t="s">
        <v>1151</v>
      </c>
      <c r="E1447">
        <v>6</v>
      </c>
      <c r="F1447">
        <v>6</v>
      </c>
      <c r="G1447">
        <v>1</v>
      </c>
      <c r="H1447">
        <v>3.35510905288587</v>
      </c>
      <c r="I1447" t="s">
        <v>957</v>
      </c>
      <c r="J1447" t="s">
        <v>4701</v>
      </c>
      <c r="K1447">
        <v>0.17647058823529399</v>
      </c>
      <c r="L1447" t="s">
        <v>1099</v>
      </c>
      <c r="M1447">
        <v>5.10948905109489</v>
      </c>
      <c r="N1447" t="s">
        <v>973</v>
      </c>
      <c r="O1447" t="s">
        <v>5018</v>
      </c>
      <c r="P1447">
        <v>0</v>
      </c>
      <c r="Q1447">
        <v>0</v>
      </c>
      <c r="R1447">
        <v>0</v>
      </c>
    </row>
    <row r="1448" spans="1:18" ht="16" x14ac:dyDescent="0.2">
      <c r="A1448" s="130" t="s">
        <v>3909</v>
      </c>
      <c r="B1448" t="s">
        <v>114</v>
      </c>
      <c r="C1448" t="s">
        <v>1024</v>
      </c>
      <c r="D1448" t="s">
        <v>1025</v>
      </c>
      <c r="E1448">
        <v>5</v>
      </c>
      <c r="F1448">
        <v>5</v>
      </c>
      <c r="G1448">
        <v>1</v>
      </c>
      <c r="H1448">
        <v>3.7428513755654498</v>
      </c>
      <c r="I1448" t="s">
        <v>957</v>
      </c>
      <c r="J1448" t="s">
        <v>4783</v>
      </c>
      <c r="K1448">
        <v>0.23529411764705899</v>
      </c>
      <c r="L1448" t="s">
        <v>1099</v>
      </c>
      <c r="M1448">
        <v>1.4598540145985399</v>
      </c>
      <c r="N1448" t="s">
        <v>973</v>
      </c>
      <c r="O1448" t="s">
        <v>5018</v>
      </c>
      <c r="P1448">
        <v>0</v>
      </c>
      <c r="Q1448">
        <v>0</v>
      </c>
      <c r="R1448">
        <v>0</v>
      </c>
    </row>
    <row r="1449" spans="1:18" ht="16" x14ac:dyDescent="0.2">
      <c r="A1449" s="130" t="s">
        <v>3909</v>
      </c>
      <c r="B1449" t="s">
        <v>114</v>
      </c>
      <c r="C1449" t="s">
        <v>3477</v>
      </c>
      <c r="D1449" t="s">
        <v>3478</v>
      </c>
      <c r="E1449">
        <v>3</v>
      </c>
      <c r="F1449">
        <v>3</v>
      </c>
      <c r="G1449">
        <v>1</v>
      </c>
      <c r="H1449">
        <v>3.4277028397571501</v>
      </c>
      <c r="I1449" t="s">
        <v>957</v>
      </c>
      <c r="J1449" t="s">
        <v>4664</v>
      </c>
      <c r="K1449">
        <v>0.17647058823529399</v>
      </c>
      <c r="L1449" t="s">
        <v>1099</v>
      </c>
      <c r="M1449">
        <v>6.5693430656934302</v>
      </c>
      <c r="N1449" t="s">
        <v>973</v>
      </c>
      <c r="O1449" t="s">
        <v>5018</v>
      </c>
      <c r="P1449">
        <v>0</v>
      </c>
      <c r="Q1449">
        <v>0</v>
      </c>
      <c r="R1449">
        <v>0</v>
      </c>
    </row>
    <row r="1450" spans="1:18" ht="16" x14ac:dyDescent="0.2">
      <c r="A1450" s="130" t="s">
        <v>3909</v>
      </c>
      <c r="B1450" t="s">
        <v>114</v>
      </c>
      <c r="C1450" t="s">
        <v>3925</v>
      </c>
      <c r="D1450" t="s">
        <v>3926</v>
      </c>
      <c r="E1450">
        <v>3</v>
      </c>
      <c r="F1450">
        <v>3</v>
      </c>
      <c r="G1450">
        <v>1</v>
      </c>
      <c r="H1450">
        <v>1.8266598340264699</v>
      </c>
      <c r="I1450" t="s">
        <v>957</v>
      </c>
      <c r="J1450" t="s">
        <v>4694</v>
      </c>
      <c r="K1450">
        <v>0.23529411764705899</v>
      </c>
      <c r="L1450" t="s">
        <v>1099</v>
      </c>
      <c r="M1450">
        <v>8.0291970802919703</v>
      </c>
      <c r="N1450" t="s">
        <v>973</v>
      </c>
      <c r="O1450" t="s">
        <v>5018</v>
      </c>
      <c r="P1450">
        <v>0</v>
      </c>
      <c r="Q1450">
        <v>0</v>
      </c>
      <c r="R1450">
        <v>0</v>
      </c>
    </row>
    <row r="1451" spans="1:18" ht="16" x14ac:dyDescent="0.2">
      <c r="A1451" s="130" t="s">
        <v>3909</v>
      </c>
      <c r="B1451" t="s">
        <v>114</v>
      </c>
      <c r="C1451" t="s">
        <v>3524</v>
      </c>
      <c r="D1451" t="s">
        <v>3525</v>
      </c>
      <c r="E1451">
        <v>4</v>
      </c>
      <c r="F1451">
        <v>4</v>
      </c>
      <c r="G1451">
        <v>1</v>
      </c>
      <c r="H1451">
        <v>3.4878406109161499</v>
      </c>
      <c r="I1451" t="s">
        <v>957</v>
      </c>
      <c r="J1451" t="s">
        <v>4862</v>
      </c>
      <c r="K1451">
        <v>0.11764705882352899</v>
      </c>
      <c r="L1451" t="s">
        <v>1099</v>
      </c>
      <c r="M1451">
        <v>5.8394160583941597</v>
      </c>
      <c r="N1451" t="s">
        <v>973</v>
      </c>
      <c r="O1451" t="s">
        <v>5018</v>
      </c>
      <c r="P1451">
        <v>0</v>
      </c>
      <c r="Q1451">
        <v>0</v>
      </c>
      <c r="R1451">
        <v>0</v>
      </c>
    </row>
    <row r="1452" spans="1:18" ht="16" x14ac:dyDescent="0.2">
      <c r="A1452" s="130" t="s">
        <v>3909</v>
      </c>
      <c r="B1452" t="s">
        <v>114</v>
      </c>
      <c r="C1452" t="s">
        <v>4262</v>
      </c>
      <c r="D1452" t="s">
        <v>4263</v>
      </c>
      <c r="E1452">
        <v>4</v>
      </c>
      <c r="F1452">
        <v>4</v>
      </c>
      <c r="G1452">
        <v>1</v>
      </c>
      <c r="H1452">
        <v>3.5582998135537798</v>
      </c>
      <c r="I1452" t="s">
        <v>957</v>
      </c>
      <c r="J1452" t="s">
        <v>4474</v>
      </c>
      <c r="K1452">
        <v>0.11764705882352899</v>
      </c>
      <c r="L1452" t="s">
        <v>1099</v>
      </c>
      <c r="M1452">
        <v>5.8394160583941597</v>
      </c>
      <c r="N1452" t="s">
        <v>973</v>
      </c>
      <c r="O1452" t="s">
        <v>5018</v>
      </c>
      <c r="P1452">
        <v>0</v>
      </c>
      <c r="Q1452">
        <v>0</v>
      </c>
      <c r="R1452">
        <v>0</v>
      </c>
    </row>
    <row r="1453" spans="1:18" ht="16" x14ac:dyDescent="0.2">
      <c r="A1453" s="130" t="s">
        <v>3909</v>
      </c>
      <c r="B1453" t="s">
        <v>118</v>
      </c>
      <c r="C1453" t="s">
        <v>1724</v>
      </c>
      <c r="D1453" t="s">
        <v>1725</v>
      </c>
      <c r="E1453">
        <v>3</v>
      </c>
      <c r="F1453">
        <v>3</v>
      </c>
      <c r="G1453">
        <v>1</v>
      </c>
      <c r="H1453">
        <v>3.0847753087074001</v>
      </c>
      <c r="I1453" t="s">
        <v>957</v>
      </c>
      <c r="J1453" t="s">
        <v>4625</v>
      </c>
      <c r="K1453">
        <v>0.128571428571429</v>
      </c>
      <c r="L1453" t="s">
        <v>959</v>
      </c>
      <c r="M1453">
        <v>5.10948905109489</v>
      </c>
      <c r="N1453" t="s">
        <v>960</v>
      </c>
      <c r="O1453">
        <v>0</v>
      </c>
      <c r="P1453">
        <v>0</v>
      </c>
      <c r="Q1453">
        <v>0</v>
      </c>
      <c r="R1453">
        <v>0</v>
      </c>
    </row>
    <row r="1454" spans="1:18" ht="16" x14ac:dyDescent="0.2">
      <c r="A1454" s="130" t="s">
        <v>3909</v>
      </c>
      <c r="B1454" t="s">
        <v>118</v>
      </c>
      <c r="C1454" t="s">
        <v>1547</v>
      </c>
      <c r="D1454" t="s">
        <v>1548</v>
      </c>
      <c r="E1454" t="s">
        <v>2326</v>
      </c>
      <c r="F1454">
        <v>23</v>
      </c>
      <c r="G1454">
        <v>2</v>
      </c>
      <c r="H1454">
        <v>3.4878139882141501</v>
      </c>
      <c r="I1454" t="s">
        <v>957</v>
      </c>
      <c r="J1454" t="s">
        <v>4018</v>
      </c>
      <c r="K1454">
        <v>0.33333333333333298</v>
      </c>
      <c r="L1454" t="s">
        <v>1004</v>
      </c>
      <c r="M1454">
        <v>8.0291970802919703</v>
      </c>
      <c r="N1454" t="s">
        <v>1005</v>
      </c>
      <c r="O1454">
        <v>0</v>
      </c>
      <c r="P1454">
        <v>0</v>
      </c>
      <c r="Q1454">
        <v>0</v>
      </c>
      <c r="R1454">
        <v>0</v>
      </c>
    </row>
    <row r="1455" spans="1:18" ht="16" x14ac:dyDescent="0.2">
      <c r="A1455" s="130" t="s">
        <v>3909</v>
      </c>
      <c r="B1455" t="s">
        <v>118</v>
      </c>
      <c r="C1455" t="s">
        <v>2230</v>
      </c>
      <c r="D1455" t="s">
        <v>2231</v>
      </c>
      <c r="E1455">
        <v>3</v>
      </c>
      <c r="F1455">
        <v>3</v>
      </c>
      <c r="G1455">
        <v>1</v>
      </c>
      <c r="H1455">
        <v>2.83438459822557</v>
      </c>
      <c r="I1455" t="s">
        <v>957</v>
      </c>
      <c r="J1455" t="s">
        <v>4210</v>
      </c>
      <c r="K1455">
        <v>0.157142857142857</v>
      </c>
      <c r="L1455" t="s">
        <v>959</v>
      </c>
      <c r="M1455">
        <v>4.3795620437956204</v>
      </c>
      <c r="N1455" t="s">
        <v>960</v>
      </c>
      <c r="O1455">
        <v>0</v>
      </c>
      <c r="P1455">
        <v>0</v>
      </c>
      <c r="Q1455">
        <v>0</v>
      </c>
      <c r="R1455">
        <v>0</v>
      </c>
    </row>
    <row r="1456" spans="1:18" ht="16" x14ac:dyDescent="0.2">
      <c r="A1456" s="130" t="s">
        <v>3909</v>
      </c>
      <c r="B1456" t="s">
        <v>118</v>
      </c>
      <c r="C1456" t="s">
        <v>1540</v>
      </c>
      <c r="D1456" t="s">
        <v>1541</v>
      </c>
      <c r="E1456" t="s">
        <v>1442</v>
      </c>
      <c r="F1456">
        <v>5</v>
      </c>
      <c r="G1456">
        <v>2</v>
      </c>
      <c r="H1456">
        <v>2.0124611797498102</v>
      </c>
      <c r="I1456" t="s">
        <v>957</v>
      </c>
      <c r="J1456" t="s">
        <v>4870</v>
      </c>
      <c r="K1456">
        <v>0.33333333333333298</v>
      </c>
      <c r="L1456" t="s">
        <v>1004</v>
      </c>
      <c r="M1456">
        <v>2.1897810218978102</v>
      </c>
      <c r="N1456" t="s">
        <v>1005</v>
      </c>
      <c r="O1456">
        <v>0</v>
      </c>
      <c r="P1456">
        <v>0</v>
      </c>
      <c r="Q1456">
        <v>0</v>
      </c>
      <c r="R1456">
        <v>0</v>
      </c>
    </row>
    <row r="1457" spans="1:18" ht="16" x14ac:dyDescent="0.2">
      <c r="A1457" s="130" t="s">
        <v>3909</v>
      </c>
      <c r="B1457" t="s">
        <v>118</v>
      </c>
      <c r="C1457" t="s">
        <v>4028</v>
      </c>
      <c r="D1457" t="s">
        <v>4029</v>
      </c>
      <c r="E1457" t="s">
        <v>985</v>
      </c>
      <c r="F1457">
        <v>7</v>
      </c>
      <c r="G1457">
        <v>2</v>
      </c>
      <c r="H1457">
        <v>2.6785084048942802</v>
      </c>
      <c r="I1457" t="s">
        <v>957</v>
      </c>
      <c r="J1457" t="s">
        <v>4030</v>
      </c>
      <c r="K1457">
        <v>0.6</v>
      </c>
      <c r="L1457" t="s">
        <v>1004</v>
      </c>
      <c r="M1457">
        <v>1.4598540145985399</v>
      </c>
      <c r="N1457" t="s">
        <v>1005</v>
      </c>
      <c r="O1457">
        <v>0</v>
      </c>
      <c r="P1457">
        <v>0</v>
      </c>
      <c r="Q1457">
        <v>0</v>
      </c>
      <c r="R1457">
        <v>0</v>
      </c>
    </row>
    <row r="1458" spans="1:18" ht="16" x14ac:dyDescent="0.2">
      <c r="A1458" s="130" t="s">
        <v>3909</v>
      </c>
      <c r="B1458" t="s">
        <v>118</v>
      </c>
      <c r="C1458" t="s">
        <v>3044</v>
      </c>
      <c r="D1458" t="s">
        <v>3045</v>
      </c>
      <c r="E1458" t="s">
        <v>1052</v>
      </c>
      <c r="F1458">
        <v>2</v>
      </c>
      <c r="G1458">
        <v>2</v>
      </c>
      <c r="H1458">
        <v>1.32164987575522</v>
      </c>
      <c r="I1458" t="s">
        <v>957</v>
      </c>
      <c r="J1458" t="s">
        <v>3133</v>
      </c>
      <c r="K1458">
        <v>0.16428571428571401</v>
      </c>
      <c r="L1458" t="s">
        <v>959</v>
      </c>
      <c r="M1458">
        <v>8.7591240875912408</v>
      </c>
      <c r="N1458" t="s">
        <v>960</v>
      </c>
      <c r="O1458">
        <v>0</v>
      </c>
      <c r="P1458">
        <v>0</v>
      </c>
      <c r="Q1458">
        <v>0</v>
      </c>
      <c r="R1458">
        <v>0</v>
      </c>
    </row>
    <row r="1459" spans="1:18" ht="16" x14ac:dyDescent="0.2">
      <c r="A1459" s="130" t="s">
        <v>3909</v>
      </c>
      <c r="B1459" t="s">
        <v>118</v>
      </c>
      <c r="C1459" t="s">
        <v>3254</v>
      </c>
      <c r="D1459" t="s">
        <v>3255</v>
      </c>
      <c r="E1459" t="s">
        <v>1442</v>
      </c>
      <c r="F1459">
        <v>5</v>
      </c>
      <c r="G1459">
        <v>2</v>
      </c>
      <c r="H1459">
        <v>3.6616942497937401</v>
      </c>
      <c r="I1459" t="s">
        <v>957</v>
      </c>
      <c r="J1459" t="s">
        <v>4839</v>
      </c>
      <c r="K1459">
        <v>0.2</v>
      </c>
      <c r="L1459" t="s">
        <v>1004</v>
      </c>
      <c r="M1459">
        <v>2.1897810218978102</v>
      </c>
      <c r="N1459" t="s">
        <v>1005</v>
      </c>
      <c r="O1459">
        <v>0</v>
      </c>
      <c r="P1459">
        <v>0</v>
      </c>
      <c r="Q1459">
        <v>0</v>
      </c>
      <c r="R1459">
        <v>0</v>
      </c>
    </row>
    <row r="1460" spans="1:18" ht="16" x14ac:dyDescent="0.2">
      <c r="A1460" s="130" t="s">
        <v>3909</v>
      </c>
      <c r="B1460" t="s">
        <v>118</v>
      </c>
      <c r="C1460" t="s">
        <v>1480</v>
      </c>
      <c r="D1460" t="s">
        <v>2208</v>
      </c>
      <c r="E1460">
        <v>4</v>
      </c>
      <c r="F1460">
        <v>4</v>
      </c>
      <c r="G1460">
        <v>1</v>
      </c>
      <c r="H1460">
        <v>1.9189710475216499</v>
      </c>
      <c r="I1460" t="s">
        <v>957</v>
      </c>
      <c r="J1460" t="s">
        <v>4051</v>
      </c>
      <c r="K1460">
        <v>0.13571428571428601</v>
      </c>
      <c r="L1460" t="s">
        <v>959</v>
      </c>
      <c r="M1460">
        <v>8.0291970802919703</v>
      </c>
      <c r="N1460" t="s">
        <v>960</v>
      </c>
      <c r="O1460">
        <v>0</v>
      </c>
      <c r="P1460">
        <v>0</v>
      </c>
      <c r="Q1460">
        <v>0</v>
      </c>
      <c r="R1460" t="s">
        <v>5019</v>
      </c>
    </row>
    <row r="1461" spans="1:18" ht="16" x14ac:dyDescent="0.2">
      <c r="A1461" s="130" t="s">
        <v>3909</v>
      </c>
      <c r="B1461" t="s">
        <v>118</v>
      </c>
      <c r="C1461" t="s">
        <v>2529</v>
      </c>
      <c r="D1461" t="s">
        <v>2530</v>
      </c>
      <c r="E1461" t="s">
        <v>1216</v>
      </c>
      <c r="F1461">
        <v>7</v>
      </c>
      <c r="G1461">
        <v>2</v>
      </c>
      <c r="H1461">
        <v>0.44223415513233999</v>
      </c>
      <c r="I1461" t="s">
        <v>957</v>
      </c>
      <c r="J1461" t="s">
        <v>3692</v>
      </c>
      <c r="K1461">
        <v>0.266666666666667</v>
      </c>
      <c r="L1461" t="s">
        <v>1004</v>
      </c>
      <c r="M1461">
        <v>3.6496350364963499</v>
      </c>
      <c r="N1461" t="s">
        <v>1005</v>
      </c>
      <c r="O1461">
        <v>0</v>
      </c>
      <c r="P1461">
        <v>0</v>
      </c>
      <c r="Q1461">
        <v>0</v>
      </c>
      <c r="R1461">
        <v>0</v>
      </c>
    </row>
    <row r="1462" spans="1:18" ht="16" x14ac:dyDescent="0.2">
      <c r="A1462" s="130" t="s">
        <v>3909</v>
      </c>
      <c r="B1462" t="s">
        <v>118</v>
      </c>
      <c r="C1462" t="s">
        <v>1398</v>
      </c>
      <c r="D1462" t="s">
        <v>4432</v>
      </c>
      <c r="E1462" t="s">
        <v>4760</v>
      </c>
      <c r="F1462">
        <v>17</v>
      </c>
      <c r="G1462">
        <v>2</v>
      </c>
      <c r="H1462">
        <v>2.3453970310867001</v>
      </c>
      <c r="I1462" t="s">
        <v>957</v>
      </c>
      <c r="J1462" t="s">
        <v>4761</v>
      </c>
      <c r="K1462">
        <v>0.6</v>
      </c>
      <c r="L1462" t="s">
        <v>1004</v>
      </c>
      <c r="M1462">
        <v>7.2992700729926998</v>
      </c>
      <c r="N1462" t="s">
        <v>982</v>
      </c>
      <c r="O1462">
        <v>0</v>
      </c>
      <c r="P1462">
        <v>0</v>
      </c>
      <c r="Q1462">
        <v>0</v>
      </c>
      <c r="R1462">
        <v>0</v>
      </c>
    </row>
    <row r="1463" spans="1:18" ht="16" x14ac:dyDescent="0.2">
      <c r="A1463" s="130" t="s">
        <v>3909</v>
      </c>
      <c r="B1463" t="s">
        <v>118</v>
      </c>
      <c r="C1463" t="s">
        <v>3386</v>
      </c>
      <c r="D1463" t="s">
        <v>3387</v>
      </c>
      <c r="E1463" t="s">
        <v>1646</v>
      </c>
      <c r="F1463">
        <v>8</v>
      </c>
      <c r="G1463">
        <v>2</v>
      </c>
      <c r="H1463">
        <v>2.3070491262617101</v>
      </c>
      <c r="I1463" t="s">
        <v>957</v>
      </c>
      <c r="J1463" t="s">
        <v>4659</v>
      </c>
      <c r="K1463">
        <v>0.266666666666667</v>
      </c>
      <c r="L1463" t="s">
        <v>1004</v>
      </c>
      <c r="M1463">
        <v>3.6496350364963499</v>
      </c>
      <c r="N1463" t="s">
        <v>1005</v>
      </c>
      <c r="O1463">
        <v>0</v>
      </c>
      <c r="P1463">
        <v>0</v>
      </c>
      <c r="Q1463">
        <v>0</v>
      </c>
      <c r="R1463">
        <v>0</v>
      </c>
    </row>
    <row r="1464" spans="1:18" ht="16" x14ac:dyDescent="0.2">
      <c r="A1464" s="130" t="s">
        <v>3909</v>
      </c>
      <c r="B1464" t="s">
        <v>118</v>
      </c>
      <c r="C1464" t="s">
        <v>1869</v>
      </c>
      <c r="D1464" t="s">
        <v>1870</v>
      </c>
      <c r="E1464" t="s">
        <v>2857</v>
      </c>
      <c r="F1464">
        <v>6</v>
      </c>
      <c r="G1464">
        <v>2</v>
      </c>
      <c r="H1464">
        <v>1.9150605273905199</v>
      </c>
      <c r="I1464" t="s">
        <v>957</v>
      </c>
      <c r="J1464" t="s">
        <v>4217</v>
      </c>
      <c r="K1464">
        <v>0.266666666666667</v>
      </c>
      <c r="L1464" t="s">
        <v>1004</v>
      </c>
      <c r="M1464">
        <v>6.5693430656934302</v>
      </c>
      <c r="N1464" t="s">
        <v>1005</v>
      </c>
      <c r="O1464">
        <v>0</v>
      </c>
      <c r="P1464">
        <v>0</v>
      </c>
      <c r="Q1464">
        <v>0</v>
      </c>
      <c r="R1464">
        <v>0</v>
      </c>
    </row>
    <row r="1465" spans="1:18" ht="16" x14ac:dyDescent="0.2">
      <c r="A1465" s="130" t="s">
        <v>3909</v>
      </c>
      <c r="B1465" t="s">
        <v>118</v>
      </c>
      <c r="C1465" t="s">
        <v>1147</v>
      </c>
      <c r="D1465" t="s">
        <v>1148</v>
      </c>
      <c r="E1465" t="s">
        <v>4025</v>
      </c>
      <c r="F1465">
        <v>13</v>
      </c>
      <c r="G1465">
        <v>2</v>
      </c>
      <c r="H1465">
        <v>1.4800910009849899</v>
      </c>
      <c r="I1465" t="s">
        <v>957</v>
      </c>
      <c r="J1465" t="s">
        <v>4026</v>
      </c>
      <c r="K1465">
        <v>0.33333333333333298</v>
      </c>
      <c r="L1465" t="s">
        <v>1004</v>
      </c>
      <c r="M1465">
        <v>6.5693430656934302</v>
      </c>
      <c r="N1465" t="s">
        <v>1005</v>
      </c>
      <c r="O1465">
        <v>0</v>
      </c>
      <c r="P1465">
        <v>0</v>
      </c>
      <c r="Q1465">
        <v>0</v>
      </c>
      <c r="R1465">
        <v>0</v>
      </c>
    </row>
    <row r="1466" spans="1:18" ht="16" x14ac:dyDescent="0.2">
      <c r="A1466" s="130" t="s">
        <v>3909</v>
      </c>
      <c r="B1466" t="s">
        <v>118</v>
      </c>
      <c r="C1466" t="s">
        <v>1941</v>
      </c>
      <c r="D1466" t="s">
        <v>1942</v>
      </c>
      <c r="E1466" t="s">
        <v>1074</v>
      </c>
      <c r="F1466">
        <v>6</v>
      </c>
      <c r="G1466">
        <v>2</v>
      </c>
      <c r="H1466">
        <v>3.5464316584799702</v>
      </c>
      <c r="I1466" t="s">
        <v>957</v>
      </c>
      <c r="J1466" t="s">
        <v>4060</v>
      </c>
      <c r="K1466">
        <v>0.266666666666667</v>
      </c>
      <c r="L1466" t="s">
        <v>1004</v>
      </c>
      <c r="M1466">
        <v>8.0291970802919703</v>
      </c>
      <c r="N1466" t="s">
        <v>1005</v>
      </c>
      <c r="O1466">
        <v>0</v>
      </c>
      <c r="P1466">
        <v>0</v>
      </c>
      <c r="Q1466">
        <v>0</v>
      </c>
      <c r="R1466">
        <v>0</v>
      </c>
    </row>
    <row r="1467" spans="1:18" ht="16" x14ac:dyDescent="0.2">
      <c r="A1467" s="130" t="s">
        <v>3909</v>
      </c>
      <c r="B1467" t="s">
        <v>122</v>
      </c>
      <c r="C1467" t="s">
        <v>1329</v>
      </c>
      <c r="D1467" t="s">
        <v>1330</v>
      </c>
      <c r="E1467">
        <v>5</v>
      </c>
      <c r="F1467">
        <v>5</v>
      </c>
      <c r="G1467">
        <v>1</v>
      </c>
      <c r="H1467">
        <v>3.7578644508113102</v>
      </c>
      <c r="I1467" t="s">
        <v>957</v>
      </c>
      <c r="J1467" t="s">
        <v>2331</v>
      </c>
      <c r="K1467">
        <v>0.14285714285714299</v>
      </c>
      <c r="L1467" t="s">
        <v>959</v>
      </c>
      <c r="M1467">
        <v>4.3795620437956204</v>
      </c>
      <c r="N1467" t="s">
        <v>960</v>
      </c>
      <c r="O1467" t="s">
        <v>5018</v>
      </c>
      <c r="P1467">
        <v>0</v>
      </c>
      <c r="Q1467">
        <v>0</v>
      </c>
      <c r="R1467">
        <v>0</v>
      </c>
    </row>
    <row r="1468" spans="1:18" ht="16" x14ac:dyDescent="0.2">
      <c r="A1468" s="130" t="s">
        <v>3909</v>
      </c>
      <c r="B1468" t="s">
        <v>122</v>
      </c>
      <c r="C1468" t="s">
        <v>1518</v>
      </c>
      <c r="D1468" t="s">
        <v>2033</v>
      </c>
      <c r="E1468">
        <v>8</v>
      </c>
      <c r="F1468">
        <v>8</v>
      </c>
      <c r="G1468">
        <v>1</v>
      </c>
      <c r="H1468">
        <v>3.19011707486069</v>
      </c>
      <c r="I1468" t="s">
        <v>957</v>
      </c>
      <c r="J1468" t="s">
        <v>4804</v>
      </c>
      <c r="K1468">
        <v>0.107142857142857</v>
      </c>
      <c r="L1468" t="s">
        <v>959</v>
      </c>
      <c r="M1468">
        <v>8.0291970802919703</v>
      </c>
      <c r="N1468" t="s">
        <v>960</v>
      </c>
      <c r="O1468" t="s">
        <v>5018</v>
      </c>
      <c r="P1468">
        <v>0</v>
      </c>
      <c r="Q1468">
        <v>0</v>
      </c>
      <c r="R1468">
        <v>0</v>
      </c>
    </row>
    <row r="1469" spans="1:18" ht="16" x14ac:dyDescent="0.2">
      <c r="A1469" s="130" t="s">
        <v>3909</v>
      </c>
      <c r="B1469" t="s">
        <v>122</v>
      </c>
      <c r="C1469" t="s">
        <v>3667</v>
      </c>
      <c r="D1469" t="s">
        <v>3668</v>
      </c>
      <c r="E1469">
        <v>3</v>
      </c>
      <c r="F1469">
        <v>3</v>
      </c>
      <c r="G1469">
        <v>1</v>
      </c>
      <c r="H1469">
        <v>2.7843213665473798</v>
      </c>
      <c r="I1469" t="s">
        <v>957</v>
      </c>
      <c r="J1469" t="s">
        <v>3670</v>
      </c>
      <c r="K1469">
        <v>2.1428571428571401E-2</v>
      </c>
      <c r="L1469" t="s">
        <v>959</v>
      </c>
      <c r="M1469">
        <v>1.4598540145985399</v>
      </c>
      <c r="N1469" t="s">
        <v>987</v>
      </c>
      <c r="O1469" t="s">
        <v>5018</v>
      </c>
      <c r="P1469">
        <v>0</v>
      </c>
      <c r="Q1469">
        <v>0</v>
      </c>
      <c r="R1469">
        <v>0</v>
      </c>
    </row>
    <row r="1470" spans="1:18" ht="16" x14ac:dyDescent="0.2">
      <c r="A1470" s="130" t="s">
        <v>3909</v>
      </c>
      <c r="B1470" t="s">
        <v>122</v>
      </c>
      <c r="C1470" t="s">
        <v>2255</v>
      </c>
      <c r="D1470" t="s">
        <v>2256</v>
      </c>
      <c r="E1470">
        <v>3</v>
      </c>
      <c r="F1470">
        <v>3</v>
      </c>
      <c r="G1470">
        <v>1</v>
      </c>
      <c r="H1470">
        <v>2.10229753710655</v>
      </c>
      <c r="I1470" t="s">
        <v>957</v>
      </c>
      <c r="J1470" t="s">
        <v>4832</v>
      </c>
      <c r="K1470">
        <v>1.4285714285714299E-2</v>
      </c>
      <c r="L1470" t="s">
        <v>959</v>
      </c>
      <c r="M1470">
        <v>1.4598540145985399</v>
      </c>
      <c r="N1470" t="s">
        <v>960</v>
      </c>
      <c r="O1470" t="s">
        <v>5018</v>
      </c>
      <c r="P1470">
        <v>0</v>
      </c>
      <c r="Q1470">
        <v>0</v>
      </c>
      <c r="R1470">
        <v>0</v>
      </c>
    </row>
    <row r="1471" spans="1:18" ht="16" x14ac:dyDescent="0.2">
      <c r="A1471" s="130" t="s">
        <v>3909</v>
      </c>
      <c r="B1471" t="s">
        <v>126</v>
      </c>
      <c r="C1471" t="s">
        <v>2893</v>
      </c>
      <c r="D1471" t="s">
        <v>2894</v>
      </c>
      <c r="E1471" t="s">
        <v>1039</v>
      </c>
      <c r="F1471">
        <v>3</v>
      </c>
      <c r="G1471">
        <v>2</v>
      </c>
      <c r="H1471">
        <v>2.1202548404772799</v>
      </c>
      <c r="I1471" t="s">
        <v>957</v>
      </c>
      <c r="J1471" t="s">
        <v>4401</v>
      </c>
      <c r="K1471">
        <v>0.2</v>
      </c>
      <c r="L1471" t="s">
        <v>959</v>
      </c>
      <c r="M1471">
        <v>8.7591240875912408</v>
      </c>
      <c r="N1471" t="s">
        <v>960</v>
      </c>
      <c r="O1471">
        <v>0</v>
      </c>
      <c r="P1471">
        <v>0</v>
      </c>
      <c r="Q1471">
        <v>0</v>
      </c>
      <c r="R1471">
        <v>0</v>
      </c>
    </row>
    <row r="1472" spans="1:18" ht="16" x14ac:dyDescent="0.2">
      <c r="A1472" s="130" t="s">
        <v>3909</v>
      </c>
      <c r="B1472" t="s">
        <v>126</v>
      </c>
      <c r="C1472" t="s">
        <v>4351</v>
      </c>
      <c r="D1472" t="s">
        <v>4352</v>
      </c>
      <c r="E1472" t="s">
        <v>2945</v>
      </c>
      <c r="F1472">
        <v>10</v>
      </c>
      <c r="G1472">
        <v>2</v>
      </c>
      <c r="H1472">
        <v>0.55892122049237503</v>
      </c>
      <c r="I1472" t="s">
        <v>957</v>
      </c>
      <c r="J1472" t="s">
        <v>4353</v>
      </c>
      <c r="K1472">
        <v>0.33333333333333298</v>
      </c>
      <c r="L1472" t="s">
        <v>1004</v>
      </c>
      <c r="M1472">
        <v>5.10948905109489</v>
      </c>
      <c r="N1472" t="s">
        <v>1005</v>
      </c>
      <c r="O1472">
        <v>0</v>
      </c>
      <c r="P1472">
        <v>0</v>
      </c>
      <c r="Q1472">
        <v>0</v>
      </c>
      <c r="R1472">
        <v>0</v>
      </c>
    </row>
    <row r="1473" spans="1:18" ht="16" x14ac:dyDescent="0.2">
      <c r="A1473" s="130" t="s">
        <v>3909</v>
      </c>
      <c r="B1473" t="s">
        <v>126</v>
      </c>
      <c r="C1473" t="s">
        <v>2316</v>
      </c>
      <c r="D1473" t="s">
        <v>2317</v>
      </c>
      <c r="E1473" t="s">
        <v>1052</v>
      </c>
      <c r="F1473">
        <v>2</v>
      </c>
      <c r="G1473">
        <v>2</v>
      </c>
      <c r="H1473">
        <v>1.40733116649844</v>
      </c>
      <c r="I1473" t="s">
        <v>957</v>
      </c>
      <c r="J1473" t="s">
        <v>4050</v>
      </c>
      <c r="K1473">
        <v>0.192857142857143</v>
      </c>
      <c r="L1473" t="s">
        <v>959</v>
      </c>
      <c r="M1473">
        <v>8.7591240875912408</v>
      </c>
      <c r="N1473" t="s">
        <v>960</v>
      </c>
      <c r="O1473">
        <v>0</v>
      </c>
      <c r="P1473">
        <v>0</v>
      </c>
      <c r="Q1473">
        <v>0</v>
      </c>
      <c r="R1473">
        <v>0</v>
      </c>
    </row>
    <row r="1474" spans="1:18" ht="16" x14ac:dyDescent="0.2">
      <c r="A1474" s="130" t="s">
        <v>3909</v>
      </c>
      <c r="B1474" t="s">
        <v>126</v>
      </c>
      <c r="C1474" t="s">
        <v>2952</v>
      </c>
      <c r="D1474" t="s">
        <v>2953</v>
      </c>
      <c r="E1474" t="s">
        <v>1022</v>
      </c>
      <c r="F1474">
        <v>3</v>
      </c>
      <c r="G1474">
        <v>2</v>
      </c>
      <c r="H1474">
        <v>2.8346033501396999</v>
      </c>
      <c r="I1474" t="s">
        <v>957</v>
      </c>
      <c r="J1474" t="s">
        <v>4071</v>
      </c>
      <c r="K1474">
        <v>0.107142857142857</v>
      </c>
      <c r="L1474" t="s">
        <v>959</v>
      </c>
      <c r="M1474">
        <v>5.10948905109489</v>
      </c>
      <c r="N1474" t="s">
        <v>960</v>
      </c>
      <c r="O1474">
        <v>0</v>
      </c>
      <c r="P1474">
        <v>0</v>
      </c>
      <c r="Q1474">
        <v>0</v>
      </c>
      <c r="R1474">
        <v>0</v>
      </c>
    </row>
    <row r="1475" spans="1:18" ht="16" x14ac:dyDescent="0.2">
      <c r="A1475" s="130" t="s">
        <v>3909</v>
      </c>
      <c r="B1475" t="s">
        <v>126</v>
      </c>
      <c r="C1475" t="s">
        <v>1960</v>
      </c>
      <c r="D1475" t="s">
        <v>1961</v>
      </c>
      <c r="E1475" t="s">
        <v>1039</v>
      </c>
      <c r="F1475">
        <v>3</v>
      </c>
      <c r="G1475">
        <v>2</v>
      </c>
      <c r="H1475">
        <v>2.4199824750617598</v>
      </c>
      <c r="I1475" t="s">
        <v>957</v>
      </c>
      <c r="J1475" t="s">
        <v>4540</v>
      </c>
      <c r="K1475">
        <v>8.5714285714285701E-2</v>
      </c>
      <c r="L1475" t="s">
        <v>959</v>
      </c>
      <c r="M1475">
        <v>4.3795620437956204</v>
      </c>
      <c r="N1475" t="s">
        <v>960</v>
      </c>
      <c r="O1475">
        <v>0</v>
      </c>
      <c r="P1475">
        <v>0</v>
      </c>
      <c r="Q1475">
        <v>0</v>
      </c>
      <c r="R1475">
        <v>0</v>
      </c>
    </row>
    <row r="1476" spans="1:18" ht="16" x14ac:dyDescent="0.2">
      <c r="A1476" s="130" t="s">
        <v>3909</v>
      </c>
      <c r="B1476" t="s">
        <v>126</v>
      </c>
      <c r="C1476" t="s">
        <v>3433</v>
      </c>
      <c r="D1476" t="s">
        <v>3434</v>
      </c>
      <c r="E1476" t="s">
        <v>1052</v>
      </c>
      <c r="F1476">
        <v>2</v>
      </c>
      <c r="G1476">
        <v>2</v>
      </c>
      <c r="H1476">
        <v>2.25568099718532</v>
      </c>
      <c r="I1476" t="s">
        <v>957</v>
      </c>
      <c r="J1476" t="s">
        <v>4299</v>
      </c>
      <c r="K1476">
        <v>9.2857142857142902E-2</v>
      </c>
      <c r="L1476" t="s">
        <v>959</v>
      </c>
      <c r="M1476">
        <v>2.9197080291970798</v>
      </c>
      <c r="N1476" t="s">
        <v>960</v>
      </c>
      <c r="O1476">
        <v>0</v>
      </c>
      <c r="P1476">
        <v>0</v>
      </c>
      <c r="Q1476">
        <v>0</v>
      </c>
      <c r="R1476">
        <v>0</v>
      </c>
    </row>
    <row r="1477" spans="1:18" ht="16" x14ac:dyDescent="0.2">
      <c r="A1477" s="130" t="s">
        <v>3909</v>
      </c>
      <c r="B1477" t="s">
        <v>126</v>
      </c>
      <c r="C1477" t="s">
        <v>2322</v>
      </c>
      <c r="D1477" t="s">
        <v>2323</v>
      </c>
      <c r="E1477" t="s">
        <v>1432</v>
      </c>
      <c r="F1477">
        <v>6</v>
      </c>
      <c r="G1477">
        <v>2</v>
      </c>
      <c r="H1477">
        <v>2.5171823327982699</v>
      </c>
      <c r="I1477" t="s">
        <v>957</v>
      </c>
      <c r="J1477" t="s">
        <v>4514</v>
      </c>
      <c r="K1477">
        <v>0.33333333333333298</v>
      </c>
      <c r="L1477" t="s">
        <v>1004</v>
      </c>
      <c r="M1477">
        <v>6.5693430656934302</v>
      </c>
      <c r="N1477" t="s">
        <v>1005</v>
      </c>
      <c r="O1477">
        <v>0</v>
      </c>
      <c r="P1477">
        <v>0</v>
      </c>
      <c r="Q1477">
        <v>0</v>
      </c>
      <c r="R1477">
        <v>0</v>
      </c>
    </row>
    <row r="1478" spans="1:18" ht="16" x14ac:dyDescent="0.2">
      <c r="A1478" s="130" t="s">
        <v>3909</v>
      </c>
      <c r="B1478" t="s">
        <v>126</v>
      </c>
      <c r="C1478" t="s">
        <v>1518</v>
      </c>
      <c r="D1478" t="s">
        <v>1519</v>
      </c>
      <c r="E1478" t="s">
        <v>1059</v>
      </c>
      <c r="F1478">
        <v>4</v>
      </c>
      <c r="G1478">
        <v>2</v>
      </c>
      <c r="H1478">
        <v>1.2600548860945</v>
      </c>
      <c r="I1478" t="s">
        <v>957</v>
      </c>
      <c r="J1478" t="s">
        <v>4005</v>
      </c>
      <c r="K1478">
        <v>0.107142857142857</v>
      </c>
      <c r="L1478" t="s">
        <v>959</v>
      </c>
      <c r="M1478">
        <v>8.0291970802919703</v>
      </c>
      <c r="N1478" t="s">
        <v>960</v>
      </c>
      <c r="O1478">
        <v>0</v>
      </c>
      <c r="P1478">
        <v>0</v>
      </c>
      <c r="Q1478">
        <v>0</v>
      </c>
      <c r="R1478">
        <v>0</v>
      </c>
    </row>
    <row r="1479" spans="1:18" ht="16" x14ac:dyDescent="0.2">
      <c r="A1479" s="130" t="s">
        <v>3909</v>
      </c>
      <c r="B1479" t="s">
        <v>126</v>
      </c>
      <c r="C1479" t="s">
        <v>3664</v>
      </c>
      <c r="D1479" t="s">
        <v>3665</v>
      </c>
      <c r="E1479">
        <v>3</v>
      </c>
      <c r="F1479">
        <v>3</v>
      </c>
      <c r="G1479">
        <v>1</v>
      </c>
      <c r="H1479">
        <v>3.8496809309165099</v>
      </c>
      <c r="I1479" t="s">
        <v>957</v>
      </c>
      <c r="J1479" t="s">
        <v>4806</v>
      </c>
      <c r="K1479">
        <v>0.128571428571429</v>
      </c>
      <c r="L1479" t="s">
        <v>959</v>
      </c>
      <c r="M1479">
        <v>4.3795620437956204</v>
      </c>
      <c r="N1479" t="s">
        <v>960</v>
      </c>
      <c r="O1479">
        <v>0</v>
      </c>
      <c r="P1479">
        <v>0</v>
      </c>
      <c r="Q1479">
        <v>0</v>
      </c>
      <c r="R1479">
        <v>0</v>
      </c>
    </row>
    <row r="1480" spans="1:18" ht="16" x14ac:dyDescent="0.2">
      <c r="A1480" s="130" t="s">
        <v>3909</v>
      </c>
      <c r="B1480" t="s">
        <v>126</v>
      </c>
      <c r="C1480" t="s">
        <v>1615</v>
      </c>
      <c r="D1480" t="s">
        <v>1616</v>
      </c>
      <c r="E1480" t="s">
        <v>4001</v>
      </c>
      <c r="F1480">
        <v>12</v>
      </c>
      <c r="G1480">
        <v>3</v>
      </c>
      <c r="H1480">
        <v>0.85518044820461203</v>
      </c>
      <c r="I1480" t="s">
        <v>957</v>
      </c>
      <c r="J1480" t="s">
        <v>4002</v>
      </c>
      <c r="K1480">
        <v>7.1428571428571397E-2</v>
      </c>
      <c r="L1480" t="s">
        <v>959</v>
      </c>
      <c r="M1480">
        <v>5.8394160583941597</v>
      </c>
      <c r="N1480" t="s">
        <v>960</v>
      </c>
      <c r="O1480">
        <v>0</v>
      </c>
      <c r="P1480" t="s">
        <v>5018</v>
      </c>
      <c r="Q1480">
        <v>0</v>
      </c>
      <c r="R1480">
        <v>0</v>
      </c>
    </row>
    <row r="1481" spans="1:18" ht="16" x14ac:dyDescent="0.2">
      <c r="A1481" s="130" t="s">
        <v>3909</v>
      </c>
      <c r="B1481" t="s">
        <v>126</v>
      </c>
      <c r="C1481" t="s">
        <v>2278</v>
      </c>
      <c r="D1481" t="s">
        <v>2279</v>
      </c>
      <c r="E1481" t="s">
        <v>1039</v>
      </c>
      <c r="F1481">
        <v>3</v>
      </c>
      <c r="G1481">
        <v>2</v>
      </c>
      <c r="H1481">
        <v>3.9033312185795102</v>
      </c>
      <c r="I1481" t="s">
        <v>957</v>
      </c>
      <c r="J1481" t="s">
        <v>3923</v>
      </c>
      <c r="K1481">
        <v>0.13571428571428601</v>
      </c>
      <c r="L1481" t="s">
        <v>959</v>
      </c>
      <c r="M1481">
        <v>2.9197080291970798</v>
      </c>
      <c r="N1481" t="s">
        <v>960</v>
      </c>
      <c r="O1481">
        <v>0</v>
      </c>
      <c r="P1481">
        <v>0</v>
      </c>
      <c r="Q1481">
        <v>0</v>
      </c>
      <c r="R1481">
        <v>0</v>
      </c>
    </row>
    <row r="1482" spans="1:18" ht="16" x14ac:dyDescent="0.2">
      <c r="A1482" s="130" t="s">
        <v>3909</v>
      </c>
      <c r="B1482" t="s">
        <v>126</v>
      </c>
      <c r="C1482" t="s">
        <v>2424</v>
      </c>
      <c r="D1482" t="s">
        <v>2425</v>
      </c>
      <c r="E1482" t="s">
        <v>1039</v>
      </c>
      <c r="F1482">
        <v>3</v>
      </c>
      <c r="G1482">
        <v>2</v>
      </c>
      <c r="H1482">
        <v>1.9413997032017001</v>
      </c>
      <c r="I1482" t="s">
        <v>957</v>
      </c>
      <c r="J1482" t="s">
        <v>4840</v>
      </c>
      <c r="K1482">
        <v>0.16428571428571401</v>
      </c>
      <c r="L1482" t="s">
        <v>959</v>
      </c>
      <c r="M1482">
        <v>8.0291970802919703</v>
      </c>
      <c r="N1482" t="s">
        <v>960</v>
      </c>
      <c r="O1482">
        <v>0</v>
      </c>
      <c r="P1482">
        <v>0</v>
      </c>
      <c r="Q1482">
        <v>0</v>
      </c>
      <c r="R1482">
        <v>0</v>
      </c>
    </row>
    <row r="1483" spans="1:18" ht="16" x14ac:dyDescent="0.2">
      <c r="A1483" s="130" t="s">
        <v>3909</v>
      </c>
      <c r="B1483" t="s">
        <v>126</v>
      </c>
      <c r="C1483" t="s">
        <v>1332</v>
      </c>
      <c r="D1483" t="s">
        <v>1333</v>
      </c>
      <c r="E1483" t="s">
        <v>1022</v>
      </c>
      <c r="F1483">
        <v>3</v>
      </c>
      <c r="G1483">
        <v>2</v>
      </c>
      <c r="H1483">
        <v>1.28980549324195</v>
      </c>
      <c r="I1483" t="s">
        <v>957</v>
      </c>
      <c r="J1483" t="s">
        <v>4302</v>
      </c>
      <c r="K1483">
        <v>0.114285714285714</v>
      </c>
      <c r="L1483" t="s">
        <v>959</v>
      </c>
      <c r="M1483">
        <v>9.4890510948905096</v>
      </c>
      <c r="N1483" t="s">
        <v>960</v>
      </c>
      <c r="O1483">
        <v>0</v>
      </c>
      <c r="P1483">
        <v>0</v>
      </c>
      <c r="Q1483">
        <v>0</v>
      </c>
      <c r="R1483">
        <v>0</v>
      </c>
    </row>
    <row r="1484" spans="1:18" ht="16" x14ac:dyDescent="0.2">
      <c r="A1484" s="130" t="s">
        <v>3909</v>
      </c>
      <c r="B1484" t="s">
        <v>126</v>
      </c>
      <c r="C1484" t="s">
        <v>3914</v>
      </c>
      <c r="D1484" t="s">
        <v>3915</v>
      </c>
      <c r="E1484">
        <v>4</v>
      </c>
      <c r="F1484">
        <v>4</v>
      </c>
      <c r="G1484">
        <v>1</v>
      </c>
      <c r="H1484">
        <v>3.0033088197225299</v>
      </c>
      <c r="I1484" t="s">
        <v>957</v>
      </c>
      <c r="J1484" t="s">
        <v>4175</v>
      </c>
      <c r="K1484">
        <v>0.121428571428571</v>
      </c>
      <c r="L1484" t="s">
        <v>959</v>
      </c>
      <c r="M1484">
        <v>5.8394160583941597</v>
      </c>
      <c r="N1484" t="s">
        <v>960</v>
      </c>
      <c r="O1484">
        <v>0</v>
      </c>
      <c r="P1484">
        <v>0</v>
      </c>
      <c r="Q1484">
        <v>0</v>
      </c>
      <c r="R1484">
        <v>0</v>
      </c>
    </row>
    <row r="1485" spans="1:18" ht="16" x14ac:dyDescent="0.2">
      <c r="A1485" s="130" t="s">
        <v>3909</v>
      </c>
      <c r="B1485" t="s">
        <v>126</v>
      </c>
      <c r="C1485" t="s">
        <v>1629</v>
      </c>
      <c r="D1485" t="s">
        <v>1630</v>
      </c>
      <c r="E1485" t="s">
        <v>1052</v>
      </c>
      <c r="F1485">
        <v>2</v>
      </c>
      <c r="G1485">
        <v>2</v>
      </c>
      <c r="H1485">
        <v>1.61880449377122</v>
      </c>
      <c r="I1485" t="s">
        <v>957</v>
      </c>
      <c r="J1485" t="s">
        <v>4242</v>
      </c>
      <c r="K1485">
        <v>8.5714285714285701E-2</v>
      </c>
      <c r="L1485" t="s">
        <v>959</v>
      </c>
      <c r="M1485">
        <v>2.9197080291970798</v>
      </c>
      <c r="N1485" t="s">
        <v>960</v>
      </c>
      <c r="O1485">
        <v>0</v>
      </c>
      <c r="P1485">
        <v>0</v>
      </c>
      <c r="Q1485">
        <v>0</v>
      </c>
      <c r="R1485">
        <v>0</v>
      </c>
    </row>
    <row r="1486" spans="1:18" ht="16" x14ac:dyDescent="0.2">
      <c r="A1486" s="130" t="s">
        <v>3909</v>
      </c>
      <c r="B1486" t="s">
        <v>126</v>
      </c>
      <c r="C1486" t="s">
        <v>2699</v>
      </c>
      <c r="D1486" t="s">
        <v>2700</v>
      </c>
      <c r="E1486" t="s">
        <v>1022</v>
      </c>
      <c r="F1486">
        <v>3</v>
      </c>
      <c r="G1486">
        <v>2</v>
      </c>
      <c r="H1486">
        <v>3.3903202631881801</v>
      </c>
      <c r="I1486" t="s">
        <v>957</v>
      </c>
      <c r="J1486" t="s">
        <v>2701</v>
      </c>
      <c r="K1486">
        <v>0.157142857142857</v>
      </c>
      <c r="L1486" t="s">
        <v>959</v>
      </c>
      <c r="M1486">
        <v>6.5693430656934302</v>
      </c>
      <c r="N1486" t="s">
        <v>960</v>
      </c>
      <c r="O1486">
        <v>0</v>
      </c>
      <c r="P1486">
        <v>0</v>
      </c>
      <c r="Q1486">
        <v>0</v>
      </c>
      <c r="R1486">
        <v>0</v>
      </c>
    </row>
    <row r="1487" spans="1:18" ht="16" x14ac:dyDescent="0.2">
      <c r="A1487" s="130" t="s">
        <v>3909</v>
      </c>
      <c r="B1487" t="s">
        <v>126</v>
      </c>
      <c r="C1487" t="s">
        <v>2105</v>
      </c>
      <c r="D1487" t="s">
        <v>2106</v>
      </c>
      <c r="E1487">
        <v>3</v>
      </c>
      <c r="F1487">
        <v>3</v>
      </c>
      <c r="G1487">
        <v>1</v>
      </c>
      <c r="H1487">
        <v>3.02687459218967</v>
      </c>
      <c r="I1487" t="s">
        <v>957</v>
      </c>
      <c r="J1487" t="s">
        <v>4483</v>
      </c>
      <c r="K1487">
        <v>0.13571428571428601</v>
      </c>
      <c r="L1487" t="s">
        <v>959</v>
      </c>
      <c r="M1487">
        <v>8.0291970802919703</v>
      </c>
      <c r="N1487" t="s">
        <v>960</v>
      </c>
      <c r="O1487">
        <v>0</v>
      </c>
      <c r="P1487">
        <v>0</v>
      </c>
      <c r="Q1487">
        <v>0</v>
      </c>
      <c r="R1487">
        <v>0</v>
      </c>
    </row>
    <row r="1488" spans="1:18" ht="16" x14ac:dyDescent="0.2">
      <c r="A1488" s="130" t="s">
        <v>3909</v>
      </c>
      <c r="B1488" t="s">
        <v>126</v>
      </c>
      <c r="C1488" t="s">
        <v>3830</v>
      </c>
      <c r="D1488" t="s">
        <v>3831</v>
      </c>
      <c r="E1488" t="s">
        <v>3197</v>
      </c>
      <c r="F1488">
        <v>6</v>
      </c>
      <c r="G1488">
        <v>3</v>
      </c>
      <c r="H1488">
        <v>3.3510825794344199</v>
      </c>
      <c r="I1488" t="s">
        <v>957</v>
      </c>
      <c r="J1488" t="s">
        <v>4756</v>
      </c>
      <c r="K1488">
        <v>0.17142857142857101</v>
      </c>
      <c r="L1488" t="s">
        <v>959</v>
      </c>
      <c r="M1488">
        <v>8.7591240875912408</v>
      </c>
      <c r="N1488" t="s">
        <v>982</v>
      </c>
      <c r="O1488">
        <v>0</v>
      </c>
      <c r="P1488">
        <v>0</v>
      </c>
      <c r="Q1488">
        <v>0</v>
      </c>
      <c r="R1488">
        <v>0</v>
      </c>
    </row>
    <row r="1489" spans="1:18" ht="16" x14ac:dyDescent="0.2">
      <c r="A1489" s="130" t="s">
        <v>3909</v>
      </c>
      <c r="B1489" t="s">
        <v>126</v>
      </c>
      <c r="C1489" t="s">
        <v>1512</v>
      </c>
      <c r="D1489" t="s">
        <v>1513</v>
      </c>
      <c r="E1489" t="s">
        <v>1022</v>
      </c>
      <c r="F1489">
        <v>3</v>
      </c>
      <c r="G1489">
        <v>2</v>
      </c>
      <c r="H1489">
        <v>1.1038056438273101</v>
      </c>
      <c r="I1489" t="s">
        <v>957</v>
      </c>
      <c r="J1489" t="s">
        <v>4562</v>
      </c>
      <c r="K1489">
        <v>0.185714285714286</v>
      </c>
      <c r="L1489" t="s">
        <v>959</v>
      </c>
      <c r="M1489">
        <v>9.4890510948905096</v>
      </c>
      <c r="N1489" t="s">
        <v>960</v>
      </c>
      <c r="O1489">
        <v>0</v>
      </c>
      <c r="P1489">
        <v>0</v>
      </c>
      <c r="Q1489">
        <v>0</v>
      </c>
      <c r="R1489">
        <v>0</v>
      </c>
    </row>
    <row r="1490" spans="1:18" ht="16" x14ac:dyDescent="0.2">
      <c r="A1490" s="130" t="s">
        <v>3909</v>
      </c>
      <c r="B1490" t="s">
        <v>126</v>
      </c>
      <c r="C1490" t="s">
        <v>2249</v>
      </c>
      <c r="D1490" t="s">
        <v>2250</v>
      </c>
      <c r="E1490" t="s">
        <v>1052</v>
      </c>
      <c r="F1490">
        <v>2</v>
      </c>
      <c r="G1490">
        <v>2</v>
      </c>
      <c r="H1490">
        <v>2.94180338569101</v>
      </c>
      <c r="I1490" t="s">
        <v>957</v>
      </c>
      <c r="J1490" t="s">
        <v>2251</v>
      </c>
      <c r="K1490">
        <v>0.17857142857142899</v>
      </c>
      <c r="L1490" t="s">
        <v>959</v>
      </c>
      <c r="M1490">
        <v>6.5693430656934302</v>
      </c>
      <c r="N1490" t="s">
        <v>960</v>
      </c>
      <c r="O1490">
        <v>0</v>
      </c>
      <c r="P1490">
        <v>0</v>
      </c>
      <c r="Q1490">
        <v>0</v>
      </c>
      <c r="R1490">
        <v>0</v>
      </c>
    </row>
    <row r="1491" spans="1:18" ht="16" x14ac:dyDescent="0.2">
      <c r="A1491" s="130" t="s">
        <v>3909</v>
      </c>
      <c r="B1491" t="s">
        <v>126</v>
      </c>
      <c r="C1491" t="s">
        <v>4834</v>
      </c>
      <c r="D1491" t="s">
        <v>4835</v>
      </c>
      <c r="E1491">
        <v>3</v>
      </c>
      <c r="F1491">
        <v>3</v>
      </c>
      <c r="G1491">
        <v>1</v>
      </c>
      <c r="H1491">
        <v>2.8731232524265899</v>
      </c>
      <c r="I1491" t="s">
        <v>957</v>
      </c>
      <c r="J1491" t="s">
        <v>4836</v>
      </c>
      <c r="K1491">
        <v>2.1428571428571401E-2</v>
      </c>
      <c r="L1491" t="s">
        <v>959</v>
      </c>
      <c r="M1491">
        <v>0.72992700729926996</v>
      </c>
      <c r="N1491" t="s">
        <v>960</v>
      </c>
      <c r="O1491">
        <v>0</v>
      </c>
      <c r="P1491">
        <v>0</v>
      </c>
      <c r="Q1491">
        <v>0</v>
      </c>
      <c r="R1491" t="s">
        <v>5019</v>
      </c>
    </row>
    <row r="1492" spans="1:18" ht="16" x14ac:dyDescent="0.2">
      <c r="A1492" s="130" t="s">
        <v>3909</v>
      </c>
      <c r="B1492" t="s">
        <v>130</v>
      </c>
      <c r="C1492" t="s">
        <v>53</v>
      </c>
      <c r="D1492" t="s">
        <v>3970</v>
      </c>
      <c r="E1492">
        <v>4</v>
      </c>
      <c r="F1492">
        <v>4</v>
      </c>
      <c r="G1492">
        <v>1</v>
      </c>
      <c r="H1492">
        <v>1.1129100452498699</v>
      </c>
      <c r="I1492" t="s">
        <v>957</v>
      </c>
      <c r="J1492" t="s">
        <v>3971</v>
      </c>
      <c r="K1492">
        <v>4.2857142857142899E-2</v>
      </c>
      <c r="L1492" t="s">
        <v>959</v>
      </c>
      <c r="M1492">
        <v>2.1897810218978102</v>
      </c>
      <c r="N1492" t="s">
        <v>960</v>
      </c>
      <c r="O1492">
        <v>0</v>
      </c>
      <c r="P1492">
        <v>0</v>
      </c>
      <c r="Q1492">
        <v>0</v>
      </c>
      <c r="R1492">
        <v>0</v>
      </c>
    </row>
    <row r="1493" spans="1:18" ht="16" x14ac:dyDescent="0.2">
      <c r="A1493" s="130" t="s">
        <v>3909</v>
      </c>
      <c r="B1493" t="s">
        <v>130</v>
      </c>
      <c r="C1493" t="s">
        <v>1490</v>
      </c>
      <c r="D1493" t="s">
        <v>1491</v>
      </c>
      <c r="E1493" t="s">
        <v>4083</v>
      </c>
      <c r="F1493">
        <v>12</v>
      </c>
      <c r="G1493">
        <v>2</v>
      </c>
      <c r="H1493">
        <v>3.2996006376860798</v>
      </c>
      <c r="I1493" t="s">
        <v>957</v>
      </c>
      <c r="J1493" t="s">
        <v>4084</v>
      </c>
      <c r="K1493">
        <v>0.33333333333333298</v>
      </c>
      <c r="L1493" t="s">
        <v>1004</v>
      </c>
      <c r="M1493">
        <v>2.1897810218978102</v>
      </c>
      <c r="N1493" t="s">
        <v>1005</v>
      </c>
      <c r="O1493">
        <v>0</v>
      </c>
      <c r="P1493">
        <v>0</v>
      </c>
      <c r="Q1493">
        <v>0</v>
      </c>
      <c r="R1493">
        <v>0</v>
      </c>
    </row>
    <row r="1494" spans="1:18" ht="16" x14ac:dyDescent="0.2">
      <c r="A1494" s="130" t="s">
        <v>3909</v>
      </c>
      <c r="B1494" t="s">
        <v>130</v>
      </c>
      <c r="C1494" t="s">
        <v>450</v>
      </c>
      <c r="D1494" t="s">
        <v>1456</v>
      </c>
      <c r="E1494">
        <v>2</v>
      </c>
      <c r="F1494">
        <v>2</v>
      </c>
      <c r="G1494">
        <v>1</v>
      </c>
      <c r="H1494">
        <v>1.4801624874252299</v>
      </c>
      <c r="I1494" t="s">
        <v>957</v>
      </c>
      <c r="J1494" t="s">
        <v>4509</v>
      </c>
      <c r="K1494">
        <v>4.2857142857142899E-2</v>
      </c>
      <c r="L1494" t="s">
        <v>959</v>
      </c>
      <c r="M1494">
        <v>4.3795620437956204</v>
      </c>
      <c r="N1494" t="s">
        <v>960</v>
      </c>
      <c r="O1494">
        <v>0</v>
      </c>
      <c r="P1494">
        <v>0</v>
      </c>
      <c r="Q1494">
        <v>0</v>
      </c>
      <c r="R1494">
        <v>0</v>
      </c>
    </row>
    <row r="1495" spans="1:18" ht="16" x14ac:dyDescent="0.2">
      <c r="A1495" s="130" t="s">
        <v>3909</v>
      </c>
      <c r="B1495" t="s">
        <v>130</v>
      </c>
      <c r="C1495" t="s">
        <v>2091</v>
      </c>
      <c r="D1495" t="s">
        <v>2092</v>
      </c>
      <c r="E1495">
        <v>3</v>
      </c>
      <c r="F1495">
        <v>3</v>
      </c>
      <c r="G1495">
        <v>1</v>
      </c>
      <c r="H1495">
        <v>3.8002282059560799</v>
      </c>
      <c r="I1495" t="s">
        <v>957</v>
      </c>
      <c r="J1495" t="s">
        <v>4572</v>
      </c>
      <c r="K1495">
        <v>0.14285714285714299</v>
      </c>
      <c r="L1495" t="s">
        <v>959</v>
      </c>
      <c r="M1495">
        <v>6.5693430656934302</v>
      </c>
      <c r="N1495" t="s">
        <v>960</v>
      </c>
      <c r="O1495">
        <v>0</v>
      </c>
      <c r="P1495">
        <v>0</v>
      </c>
      <c r="Q1495">
        <v>0</v>
      </c>
      <c r="R1495">
        <v>0</v>
      </c>
    </row>
    <row r="1496" spans="1:18" ht="16" x14ac:dyDescent="0.2">
      <c r="A1496" s="130" t="s">
        <v>3909</v>
      </c>
      <c r="B1496" t="s">
        <v>134</v>
      </c>
      <c r="C1496" t="s">
        <v>3645</v>
      </c>
      <c r="D1496" t="s">
        <v>3646</v>
      </c>
      <c r="E1496" t="s">
        <v>1039</v>
      </c>
      <c r="F1496">
        <v>3</v>
      </c>
      <c r="G1496">
        <v>2</v>
      </c>
      <c r="H1496">
        <v>2.1551974631325002</v>
      </c>
      <c r="I1496" t="s">
        <v>957</v>
      </c>
      <c r="J1496" t="s">
        <v>3647</v>
      </c>
      <c r="K1496">
        <v>0.14285714285714299</v>
      </c>
      <c r="L1496" t="s">
        <v>959</v>
      </c>
      <c r="M1496">
        <v>5.8394160583941597</v>
      </c>
      <c r="N1496" t="s">
        <v>960</v>
      </c>
      <c r="O1496">
        <v>0</v>
      </c>
      <c r="P1496">
        <v>0</v>
      </c>
      <c r="Q1496">
        <v>0</v>
      </c>
      <c r="R1496">
        <v>0</v>
      </c>
    </row>
    <row r="1497" spans="1:18" ht="16" x14ac:dyDescent="0.2">
      <c r="A1497" s="130" t="s">
        <v>3909</v>
      </c>
      <c r="B1497" t="s">
        <v>134</v>
      </c>
      <c r="C1497" t="s">
        <v>997</v>
      </c>
      <c r="D1497" t="s">
        <v>998</v>
      </c>
      <c r="E1497">
        <v>6</v>
      </c>
      <c r="F1497">
        <v>6</v>
      </c>
      <c r="G1497">
        <v>1</v>
      </c>
      <c r="H1497">
        <v>3.4402381168496801</v>
      </c>
      <c r="I1497" t="s">
        <v>957</v>
      </c>
      <c r="J1497" t="s">
        <v>999</v>
      </c>
      <c r="K1497">
        <v>7.8571428571428598E-2</v>
      </c>
      <c r="L1497" t="s">
        <v>959</v>
      </c>
      <c r="M1497">
        <v>8.0291970802919703</v>
      </c>
      <c r="N1497" t="s">
        <v>960</v>
      </c>
      <c r="O1497">
        <v>0</v>
      </c>
      <c r="P1497">
        <v>0</v>
      </c>
      <c r="Q1497">
        <v>0</v>
      </c>
      <c r="R1497">
        <v>0</v>
      </c>
    </row>
    <row r="1498" spans="1:18" ht="16" x14ac:dyDescent="0.2">
      <c r="A1498" s="130" t="s">
        <v>3909</v>
      </c>
      <c r="B1498" t="s">
        <v>134</v>
      </c>
      <c r="C1498" t="s">
        <v>1547</v>
      </c>
      <c r="D1498" t="s">
        <v>1548</v>
      </c>
      <c r="E1498">
        <v>13</v>
      </c>
      <c r="F1498">
        <v>13</v>
      </c>
      <c r="G1498">
        <v>1</v>
      </c>
      <c r="H1498">
        <v>3.9793195235968901</v>
      </c>
      <c r="I1498" t="s">
        <v>957</v>
      </c>
      <c r="J1498" t="s">
        <v>4215</v>
      </c>
      <c r="K1498">
        <v>5.7142857142857099E-2</v>
      </c>
      <c r="L1498" t="s">
        <v>959</v>
      </c>
      <c r="M1498">
        <v>8.0291970802919703</v>
      </c>
      <c r="N1498" t="s">
        <v>960</v>
      </c>
      <c r="O1498">
        <v>0</v>
      </c>
      <c r="P1498">
        <v>0</v>
      </c>
      <c r="Q1498">
        <v>0</v>
      </c>
      <c r="R1498">
        <v>0</v>
      </c>
    </row>
    <row r="1499" spans="1:18" ht="16" x14ac:dyDescent="0.2">
      <c r="A1499" s="130" t="s">
        <v>3909</v>
      </c>
      <c r="B1499" t="s">
        <v>134</v>
      </c>
      <c r="C1499" t="s">
        <v>2339</v>
      </c>
      <c r="D1499" t="s">
        <v>2340</v>
      </c>
      <c r="E1499">
        <v>3</v>
      </c>
      <c r="F1499">
        <v>3</v>
      </c>
      <c r="G1499">
        <v>1</v>
      </c>
      <c r="H1499">
        <v>2.7179570728619602</v>
      </c>
      <c r="I1499" t="s">
        <v>957</v>
      </c>
      <c r="J1499" t="s">
        <v>4708</v>
      </c>
      <c r="K1499">
        <v>0.1</v>
      </c>
      <c r="L1499" t="s">
        <v>959</v>
      </c>
      <c r="M1499">
        <v>5.10948905109489</v>
      </c>
      <c r="N1499" t="s">
        <v>960</v>
      </c>
      <c r="O1499">
        <v>0</v>
      </c>
      <c r="P1499">
        <v>0</v>
      </c>
      <c r="Q1499">
        <v>0</v>
      </c>
      <c r="R1499">
        <v>0</v>
      </c>
    </row>
    <row r="1500" spans="1:18" ht="16" x14ac:dyDescent="0.2">
      <c r="A1500" s="130" t="s">
        <v>3909</v>
      </c>
      <c r="B1500" t="s">
        <v>134</v>
      </c>
      <c r="C1500" t="s">
        <v>2684</v>
      </c>
      <c r="D1500" t="s">
        <v>2685</v>
      </c>
      <c r="E1500" t="s">
        <v>1052</v>
      </c>
      <c r="F1500">
        <v>2</v>
      </c>
      <c r="G1500">
        <v>2</v>
      </c>
      <c r="H1500">
        <v>3.9551131021978301</v>
      </c>
      <c r="I1500" t="s">
        <v>957</v>
      </c>
      <c r="J1500" t="s">
        <v>2686</v>
      </c>
      <c r="K1500">
        <v>0.121428571428571</v>
      </c>
      <c r="L1500" t="s">
        <v>959</v>
      </c>
      <c r="M1500">
        <v>2.1897810218978102</v>
      </c>
      <c r="N1500" t="s">
        <v>960</v>
      </c>
      <c r="O1500">
        <v>0</v>
      </c>
      <c r="P1500">
        <v>0</v>
      </c>
      <c r="Q1500">
        <v>0</v>
      </c>
      <c r="R1500">
        <v>0</v>
      </c>
    </row>
    <row r="1501" spans="1:18" ht="16" x14ac:dyDescent="0.2">
      <c r="A1501" s="130" t="s">
        <v>3909</v>
      </c>
      <c r="B1501" t="s">
        <v>134</v>
      </c>
      <c r="C1501" t="s">
        <v>4073</v>
      </c>
      <c r="D1501" t="s">
        <v>4074</v>
      </c>
      <c r="E1501" t="s">
        <v>1052</v>
      </c>
      <c r="F1501">
        <v>2</v>
      </c>
      <c r="G1501">
        <v>2</v>
      </c>
      <c r="H1501">
        <v>3.7737864636387699</v>
      </c>
      <c r="I1501" t="s">
        <v>957</v>
      </c>
      <c r="J1501" t="s">
        <v>4282</v>
      </c>
      <c r="K1501">
        <v>0.121428571428571</v>
      </c>
      <c r="L1501" t="s">
        <v>959</v>
      </c>
      <c r="M1501">
        <v>2.9197080291970798</v>
      </c>
      <c r="N1501" t="s">
        <v>960</v>
      </c>
      <c r="O1501">
        <v>0</v>
      </c>
      <c r="P1501">
        <v>0</v>
      </c>
      <c r="Q1501">
        <v>0</v>
      </c>
      <c r="R1501">
        <v>0</v>
      </c>
    </row>
    <row r="1502" spans="1:18" ht="16" x14ac:dyDescent="0.2">
      <c r="A1502" s="130" t="s">
        <v>3909</v>
      </c>
      <c r="B1502" t="s">
        <v>134</v>
      </c>
      <c r="C1502" t="s">
        <v>1150</v>
      </c>
      <c r="D1502" t="s">
        <v>1151</v>
      </c>
      <c r="E1502" t="s">
        <v>1052</v>
      </c>
      <c r="F1502">
        <v>2</v>
      </c>
      <c r="G1502">
        <v>2</v>
      </c>
      <c r="H1502">
        <v>2.3884825742388398</v>
      </c>
      <c r="I1502" t="s">
        <v>957</v>
      </c>
      <c r="J1502" t="s">
        <v>4581</v>
      </c>
      <c r="K1502">
        <v>0.121428571428571</v>
      </c>
      <c r="L1502" t="s">
        <v>959</v>
      </c>
      <c r="M1502">
        <v>5.10948905109489</v>
      </c>
      <c r="N1502" t="s">
        <v>960</v>
      </c>
      <c r="O1502">
        <v>0</v>
      </c>
      <c r="P1502">
        <v>0</v>
      </c>
      <c r="Q1502">
        <v>0</v>
      </c>
      <c r="R1502">
        <v>0</v>
      </c>
    </row>
    <row r="1503" spans="1:18" ht="16" x14ac:dyDescent="0.2">
      <c r="A1503" s="130" t="s">
        <v>3909</v>
      </c>
      <c r="B1503" t="s">
        <v>134</v>
      </c>
      <c r="C1503" t="s">
        <v>3301</v>
      </c>
      <c r="D1503" t="s">
        <v>3302</v>
      </c>
      <c r="E1503">
        <v>4</v>
      </c>
      <c r="F1503">
        <v>4</v>
      </c>
      <c r="G1503">
        <v>1</v>
      </c>
      <c r="H1503">
        <v>2.3551301346723501</v>
      </c>
      <c r="I1503" t="s">
        <v>957</v>
      </c>
      <c r="J1503" t="s">
        <v>4134</v>
      </c>
      <c r="K1503">
        <v>0.128571428571429</v>
      </c>
      <c r="L1503" t="s">
        <v>959</v>
      </c>
      <c r="M1503">
        <v>7.2992700729926998</v>
      </c>
      <c r="N1503" t="s">
        <v>960</v>
      </c>
      <c r="O1503">
        <v>0</v>
      </c>
      <c r="P1503">
        <v>0</v>
      </c>
      <c r="Q1503">
        <v>0</v>
      </c>
      <c r="R1503">
        <v>0</v>
      </c>
    </row>
    <row r="1504" spans="1:18" ht="16" x14ac:dyDescent="0.2">
      <c r="A1504" s="130" t="s">
        <v>3909</v>
      </c>
      <c r="B1504" t="s">
        <v>134</v>
      </c>
      <c r="C1504" t="s">
        <v>1512</v>
      </c>
      <c r="D1504" t="s">
        <v>1513</v>
      </c>
      <c r="E1504">
        <v>3</v>
      </c>
      <c r="F1504">
        <v>3</v>
      </c>
      <c r="G1504">
        <v>1</v>
      </c>
      <c r="H1504">
        <v>1.1038056438273101</v>
      </c>
      <c r="I1504" t="s">
        <v>957</v>
      </c>
      <c r="J1504" t="s">
        <v>4562</v>
      </c>
      <c r="K1504">
        <v>0.185714285714286</v>
      </c>
      <c r="L1504" t="s">
        <v>959</v>
      </c>
      <c r="M1504">
        <v>9.4890510948905096</v>
      </c>
      <c r="N1504" t="s">
        <v>960</v>
      </c>
      <c r="O1504">
        <v>0</v>
      </c>
      <c r="P1504">
        <v>0</v>
      </c>
      <c r="Q1504">
        <v>0</v>
      </c>
      <c r="R1504">
        <v>0</v>
      </c>
    </row>
    <row r="1505" spans="1:18" ht="16" x14ac:dyDescent="0.2">
      <c r="A1505" s="130" t="s">
        <v>3909</v>
      </c>
      <c r="B1505" t="s">
        <v>138</v>
      </c>
      <c r="C1505" t="s">
        <v>2520</v>
      </c>
      <c r="D1505" t="s">
        <v>2521</v>
      </c>
      <c r="E1505" t="s">
        <v>1022</v>
      </c>
      <c r="F1505">
        <v>3</v>
      </c>
      <c r="G1505">
        <v>2</v>
      </c>
      <c r="H1505">
        <v>3.5697784531732899</v>
      </c>
      <c r="I1505" t="s">
        <v>957</v>
      </c>
      <c r="J1505" t="s">
        <v>4370</v>
      </c>
      <c r="K1505">
        <v>0.157142857142857</v>
      </c>
      <c r="L1505" t="s">
        <v>959</v>
      </c>
      <c r="M1505">
        <v>5.10948905109489</v>
      </c>
      <c r="N1505" t="s">
        <v>960</v>
      </c>
      <c r="O1505">
        <v>0</v>
      </c>
      <c r="P1505">
        <v>0</v>
      </c>
      <c r="Q1505">
        <v>0</v>
      </c>
      <c r="R1505">
        <v>0</v>
      </c>
    </row>
    <row r="1506" spans="1:18" ht="16" x14ac:dyDescent="0.2">
      <c r="A1506" s="130" t="s">
        <v>3909</v>
      </c>
      <c r="B1506" t="s">
        <v>138</v>
      </c>
      <c r="C1506" t="s">
        <v>3011</v>
      </c>
      <c r="D1506" t="s">
        <v>3012</v>
      </c>
      <c r="E1506" t="s">
        <v>1052</v>
      </c>
      <c r="F1506">
        <v>2</v>
      </c>
      <c r="G1506">
        <v>2</v>
      </c>
      <c r="H1506">
        <v>1.5648371098317599</v>
      </c>
      <c r="I1506" t="s">
        <v>957</v>
      </c>
      <c r="J1506" t="s">
        <v>4729</v>
      </c>
      <c r="K1506">
        <v>7.8571428571428598E-2</v>
      </c>
      <c r="L1506" t="s">
        <v>959</v>
      </c>
      <c r="M1506">
        <v>2.1897810218978102</v>
      </c>
      <c r="N1506" t="s">
        <v>960</v>
      </c>
      <c r="O1506">
        <v>0</v>
      </c>
      <c r="P1506">
        <v>0</v>
      </c>
      <c r="Q1506">
        <v>0</v>
      </c>
      <c r="R1506">
        <v>0</v>
      </c>
    </row>
    <row r="1507" spans="1:18" ht="16" x14ac:dyDescent="0.2">
      <c r="A1507" s="130" t="s">
        <v>3909</v>
      </c>
      <c r="B1507" t="s">
        <v>138</v>
      </c>
      <c r="C1507" t="s">
        <v>2893</v>
      </c>
      <c r="D1507" t="s">
        <v>2894</v>
      </c>
      <c r="E1507">
        <v>3</v>
      </c>
      <c r="F1507">
        <v>3</v>
      </c>
      <c r="G1507">
        <v>1</v>
      </c>
      <c r="H1507">
        <v>2.9907406987377398</v>
      </c>
      <c r="I1507" t="s">
        <v>957</v>
      </c>
      <c r="J1507" t="s">
        <v>4394</v>
      </c>
      <c r="K1507">
        <v>0.2</v>
      </c>
      <c r="L1507" t="s">
        <v>959</v>
      </c>
      <c r="M1507">
        <v>8.7591240875912408</v>
      </c>
      <c r="N1507" t="s">
        <v>960</v>
      </c>
      <c r="O1507">
        <v>0</v>
      </c>
      <c r="P1507">
        <v>0</v>
      </c>
      <c r="Q1507">
        <v>0</v>
      </c>
      <c r="R1507">
        <v>0</v>
      </c>
    </row>
    <row r="1508" spans="1:18" ht="16" x14ac:dyDescent="0.2">
      <c r="A1508" s="130" t="s">
        <v>3909</v>
      </c>
      <c r="B1508" t="s">
        <v>138</v>
      </c>
      <c r="C1508" t="s">
        <v>1960</v>
      </c>
      <c r="D1508" t="s">
        <v>1961</v>
      </c>
      <c r="E1508">
        <v>4</v>
      </c>
      <c r="F1508">
        <v>4</v>
      </c>
      <c r="G1508">
        <v>1</v>
      </c>
      <c r="H1508">
        <v>3.31155496587398</v>
      </c>
      <c r="I1508" t="s">
        <v>957</v>
      </c>
      <c r="J1508" t="s">
        <v>4540</v>
      </c>
      <c r="K1508">
        <v>8.5714285714285701E-2</v>
      </c>
      <c r="L1508" t="s">
        <v>959</v>
      </c>
      <c r="M1508">
        <v>4.3795620437956204</v>
      </c>
      <c r="N1508" t="s">
        <v>960</v>
      </c>
      <c r="O1508">
        <v>0</v>
      </c>
      <c r="P1508">
        <v>0</v>
      </c>
      <c r="Q1508">
        <v>0</v>
      </c>
      <c r="R1508">
        <v>0</v>
      </c>
    </row>
    <row r="1509" spans="1:18" ht="16" x14ac:dyDescent="0.2">
      <c r="A1509" s="130" t="s">
        <v>3909</v>
      </c>
      <c r="B1509" t="s">
        <v>138</v>
      </c>
      <c r="C1509" t="s">
        <v>2757</v>
      </c>
      <c r="D1509" t="s">
        <v>2758</v>
      </c>
      <c r="E1509" t="s">
        <v>1052</v>
      </c>
      <c r="F1509">
        <v>2</v>
      </c>
      <c r="G1509">
        <v>2</v>
      </c>
      <c r="H1509">
        <v>2.7012502807307301</v>
      </c>
      <c r="I1509" t="s">
        <v>957</v>
      </c>
      <c r="J1509" t="s">
        <v>4961</v>
      </c>
      <c r="K1509">
        <v>0.114285714285714</v>
      </c>
      <c r="L1509" t="s">
        <v>959</v>
      </c>
      <c r="M1509">
        <v>2.1897810218978102</v>
      </c>
      <c r="N1509" t="s">
        <v>960</v>
      </c>
      <c r="O1509">
        <v>0</v>
      </c>
      <c r="P1509">
        <v>0</v>
      </c>
      <c r="Q1509">
        <v>0</v>
      </c>
      <c r="R1509">
        <v>0</v>
      </c>
    </row>
    <row r="1510" spans="1:18" ht="16" x14ac:dyDescent="0.2">
      <c r="A1510" s="130" t="s">
        <v>3909</v>
      </c>
      <c r="B1510" t="s">
        <v>138</v>
      </c>
      <c r="C1510" t="s">
        <v>3092</v>
      </c>
      <c r="D1510" t="s">
        <v>3093</v>
      </c>
      <c r="E1510">
        <v>4</v>
      </c>
      <c r="F1510">
        <v>4</v>
      </c>
      <c r="G1510">
        <v>1</v>
      </c>
      <c r="H1510">
        <v>4.0337744370232302</v>
      </c>
      <c r="I1510" t="s">
        <v>957</v>
      </c>
      <c r="J1510" t="s">
        <v>4587</v>
      </c>
      <c r="K1510">
        <v>9.2857142857142902E-2</v>
      </c>
      <c r="L1510" t="s">
        <v>959</v>
      </c>
      <c r="M1510">
        <v>5.10948905109489</v>
      </c>
      <c r="N1510" t="s">
        <v>960</v>
      </c>
      <c r="O1510">
        <v>0</v>
      </c>
      <c r="P1510">
        <v>0</v>
      </c>
      <c r="Q1510">
        <v>0</v>
      </c>
      <c r="R1510">
        <v>0</v>
      </c>
    </row>
    <row r="1511" spans="1:18" ht="16" x14ac:dyDescent="0.2">
      <c r="A1511" s="130" t="s">
        <v>3909</v>
      </c>
      <c r="B1511" t="s">
        <v>138</v>
      </c>
      <c r="C1511" t="s">
        <v>1332</v>
      </c>
      <c r="D1511" t="s">
        <v>1333</v>
      </c>
      <c r="E1511">
        <v>7</v>
      </c>
      <c r="F1511">
        <v>7</v>
      </c>
      <c r="G1511">
        <v>1</v>
      </c>
      <c r="H1511">
        <v>3.3956103801675899</v>
      </c>
      <c r="I1511" t="s">
        <v>957</v>
      </c>
      <c r="J1511" t="s">
        <v>1335</v>
      </c>
      <c r="K1511">
        <v>0.114285714285714</v>
      </c>
      <c r="L1511" t="s">
        <v>959</v>
      </c>
      <c r="M1511">
        <v>9.4890510948905096</v>
      </c>
      <c r="N1511" t="s">
        <v>960</v>
      </c>
      <c r="O1511">
        <v>0</v>
      </c>
      <c r="P1511">
        <v>0</v>
      </c>
      <c r="Q1511">
        <v>0</v>
      </c>
      <c r="R1511">
        <v>0</v>
      </c>
    </row>
    <row r="1512" spans="1:18" ht="16" x14ac:dyDescent="0.2">
      <c r="A1512" s="130" t="s">
        <v>3909</v>
      </c>
      <c r="B1512" t="s">
        <v>138</v>
      </c>
      <c r="C1512" t="s">
        <v>3914</v>
      </c>
      <c r="D1512" t="s">
        <v>3915</v>
      </c>
      <c r="E1512">
        <v>4</v>
      </c>
      <c r="F1512">
        <v>4</v>
      </c>
      <c r="G1512">
        <v>1</v>
      </c>
      <c r="H1512">
        <v>3.0033088197225299</v>
      </c>
      <c r="I1512" t="s">
        <v>957</v>
      </c>
      <c r="J1512" t="s">
        <v>4184</v>
      </c>
      <c r="K1512">
        <v>0.121428571428571</v>
      </c>
      <c r="L1512" t="s">
        <v>959</v>
      </c>
      <c r="M1512">
        <v>5.8394160583941597</v>
      </c>
      <c r="N1512" t="s">
        <v>960</v>
      </c>
      <c r="O1512">
        <v>0</v>
      </c>
      <c r="P1512">
        <v>0</v>
      </c>
      <c r="Q1512">
        <v>0</v>
      </c>
      <c r="R1512">
        <v>0</v>
      </c>
    </row>
    <row r="1513" spans="1:18" ht="16" x14ac:dyDescent="0.2">
      <c r="A1513" s="130" t="s">
        <v>3909</v>
      </c>
      <c r="B1513" t="s">
        <v>138</v>
      </c>
      <c r="C1513" t="s">
        <v>2233</v>
      </c>
      <c r="D1513" t="s">
        <v>2234</v>
      </c>
      <c r="E1513" t="s">
        <v>1576</v>
      </c>
      <c r="F1513">
        <v>4</v>
      </c>
      <c r="G1513">
        <v>3</v>
      </c>
      <c r="H1513">
        <v>2.8074593543295498</v>
      </c>
      <c r="I1513" t="s">
        <v>957</v>
      </c>
      <c r="J1513" t="s">
        <v>4674</v>
      </c>
      <c r="K1513">
        <v>0.16428571428571401</v>
      </c>
      <c r="L1513" t="s">
        <v>959</v>
      </c>
      <c r="M1513">
        <v>8.0291970802919703</v>
      </c>
      <c r="N1513" t="s">
        <v>960</v>
      </c>
      <c r="O1513">
        <v>0</v>
      </c>
      <c r="P1513">
        <v>0</v>
      </c>
      <c r="Q1513">
        <v>0</v>
      </c>
      <c r="R1513">
        <v>0</v>
      </c>
    </row>
    <row r="1514" spans="1:18" ht="16" x14ac:dyDescent="0.2">
      <c r="A1514" s="130" t="s">
        <v>3909</v>
      </c>
      <c r="B1514" t="s">
        <v>138</v>
      </c>
      <c r="C1514" t="s">
        <v>1869</v>
      </c>
      <c r="D1514" t="s">
        <v>1870</v>
      </c>
      <c r="E1514" t="s">
        <v>1052</v>
      </c>
      <c r="F1514">
        <v>2</v>
      </c>
      <c r="G1514">
        <v>2</v>
      </c>
      <c r="H1514">
        <v>1.42059600267852</v>
      </c>
      <c r="I1514" t="s">
        <v>957</v>
      </c>
      <c r="J1514" t="s">
        <v>4931</v>
      </c>
      <c r="K1514">
        <v>0.13571428571428601</v>
      </c>
      <c r="L1514" t="s">
        <v>959</v>
      </c>
      <c r="M1514">
        <v>6.5693430656934302</v>
      </c>
      <c r="N1514" t="s">
        <v>960</v>
      </c>
      <c r="O1514">
        <v>0</v>
      </c>
      <c r="P1514">
        <v>0</v>
      </c>
      <c r="Q1514">
        <v>0</v>
      </c>
      <c r="R1514">
        <v>0</v>
      </c>
    </row>
    <row r="1515" spans="1:18" ht="16" x14ac:dyDescent="0.2">
      <c r="A1515" s="130" t="s">
        <v>3909</v>
      </c>
      <c r="B1515" t="s">
        <v>138</v>
      </c>
      <c r="C1515" t="s">
        <v>2105</v>
      </c>
      <c r="D1515" t="s">
        <v>2106</v>
      </c>
      <c r="E1515" t="s">
        <v>1039</v>
      </c>
      <c r="F1515">
        <v>3</v>
      </c>
      <c r="G1515">
        <v>2</v>
      </c>
      <c r="H1515">
        <v>3.02687459218967</v>
      </c>
      <c r="I1515" t="s">
        <v>957</v>
      </c>
      <c r="J1515" t="s">
        <v>4483</v>
      </c>
      <c r="K1515">
        <v>0.13571428571428601</v>
      </c>
      <c r="L1515" t="s">
        <v>959</v>
      </c>
      <c r="M1515">
        <v>8.0291970802919703</v>
      </c>
      <c r="N1515" t="s">
        <v>960</v>
      </c>
      <c r="O1515">
        <v>0</v>
      </c>
      <c r="P1515">
        <v>0</v>
      </c>
      <c r="Q1515">
        <v>0</v>
      </c>
      <c r="R1515">
        <v>0</v>
      </c>
    </row>
    <row r="1516" spans="1:18" ht="16" x14ac:dyDescent="0.2">
      <c r="A1516" s="130" t="s">
        <v>3909</v>
      </c>
      <c r="B1516" t="s">
        <v>138</v>
      </c>
      <c r="C1516" t="s">
        <v>2319</v>
      </c>
      <c r="D1516" t="s">
        <v>2320</v>
      </c>
      <c r="E1516">
        <v>3</v>
      </c>
      <c r="F1516">
        <v>3</v>
      </c>
      <c r="G1516">
        <v>1</v>
      </c>
      <c r="H1516">
        <v>3.0420277541913401</v>
      </c>
      <c r="I1516" t="s">
        <v>957</v>
      </c>
      <c r="J1516" t="s">
        <v>4399</v>
      </c>
      <c r="K1516">
        <v>0.157142857142857</v>
      </c>
      <c r="L1516" t="s">
        <v>959</v>
      </c>
      <c r="M1516">
        <v>2.9197080291970798</v>
      </c>
      <c r="N1516" t="s">
        <v>960</v>
      </c>
      <c r="O1516">
        <v>0</v>
      </c>
      <c r="P1516">
        <v>0</v>
      </c>
      <c r="Q1516">
        <v>0</v>
      </c>
      <c r="R1516">
        <v>0</v>
      </c>
    </row>
    <row r="1517" spans="1:18" ht="16" x14ac:dyDescent="0.2">
      <c r="A1517" s="130" t="s">
        <v>3909</v>
      </c>
      <c r="B1517" t="s">
        <v>138</v>
      </c>
      <c r="C1517" t="s">
        <v>1941</v>
      </c>
      <c r="D1517" t="s">
        <v>1942</v>
      </c>
      <c r="E1517">
        <v>3</v>
      </c>
      <c r="F1517">
        <v>3</v>
      </c>
      <c r="G1517">
        <v>1</v>
      </c>
      <c r="H1517">
        <v>2.2507809515464801</v>
      </c>
      <c r="I1517" t="s">
        <v>957</v>
      </c>
      <c r="J1517" t="s">
        <v>4636</v>
      </c>
      <c r="K1517">
        <v>0.121428571428571</v>
      </c>
      <c r="L1517" t="s">
        <v>959</v>
      </c>
      <c r="M1517">
        <v>8.0291970802919703</v>
      </c>
      <c r="N1517" t="s">
        <v>960</v>
      </c>
      <c r="O1517">
        <v>0</v>
      </c>
      <c r="P1517">
        <v>0</v>
      </c>
      <c r="Q1517">
        <v>0</v>
      </c>
      <c r="R1517">
        <v>0</v>
      </c>
    </row>
    <row r="1518" spans="1:18" ht="16" x14ac:dyDescent="0.2">
      <c r="A1518" s="130" t="s">
        <v>3909</v>
      </c>
      <c r="B1518" t="s">
        <v>142</v>
      </c>
      <c r="C1518" t="s">
        <v>2893</v>
      </c>
      <c r="D1518" t="s">
        <v>2894</v>
      </c>
      <c r="E1518">
        <v>4</v>
      </c>
      <c r="F1518">
        <v>4</v>
      </c>
      <c r="G1518">
        <v>1</v>
      </c>
      <c r="H1518">
        <v>3.86122655699821</v>
      </c>
      <c r="I1518" t="s">
        <v>957</v>
      </c>
      <c r="J1518" t="s">
        <v>4297</v>
      </c>
      <c r="K1518">
        <v>0.2</v>
      </c>
      <c r="L1518" t="s">
        <v>959</v>
      </c>
      <c r="M1518">
        <v>8.7591240875912408</v>
      </c>
      <c r="N1518" t="s">
        <v>960</v>
      </c>
      <c r="O1518">
        <v>0</v>
      </c>
      <c r="P1518">
        <v>0</v>
      </c>
      <c r="Q1518">
        <v>0</v>
      </c>
      <c r="R1518">
        <v>0</v>
      </c>
    </row>
    <row r="1519" spans="1:18" ht="16" x14ac:dyDescent="0.2">
      <c r="A1519" s="130" t="s">
        <v>3909</v>
      </c>
      <c r="B1519" t="s">
        <v>142</v>
      </c>
      <c r="C1519" t="s">
        <v>983</v>
      </c>
      <c r="D1519" t="s">
        <v>984</v>
      </c>
      <c r="E1519">
        <v>3</v>
      </c>
      <c r="F1519">
        <v>3</v>
      </c>
      <c r="G1519">
        <v>1</v>
      </c>
      <c r="H1519">
        <v>1.63718248629803</v>
      </c>
      <c r="I1519" t="s">
        <v>957</v>
      </c>
      <c r="J1519" t="s">
        <v>4240</v>
      </c>
      <c r="K1519">
        <v>0.128571428571429</v>
      </c>
      <c r="L1519" t="s">
        <v>959</v>
      </c>
      <c r="M1519">
        <v>8.7591240875912408</v>
      </c>
      <c r="N1519" t="s">
        <v>960</v>
      </c>
      <c r="O1519">
        <v>0</v>
      </c>
      <c r="P1519">
        <v>0</v>
      </c>
      <c r="Q1519">
        <v>0</v>
      </c>
      <c r="R1519">
        <v>0</v>
      </c>
    </row>
    <row r="1520" spans="1:18" ht="16" x14ac:dyDescent="0.2">
      <c r="A1520" s="130" t="s">
        <v>3909</v>
      </c>
      <c r="B1520" t="s">
        <v>142</v>
      </c>
      <c r="C1520" t="s">
        <v>3192</v>
      </c>
      <c r="D1520" t="s">
        <v>3193</v>
      </c>
      <c r="E1520">
        <v>3</v>
      </c>
      <c r="F1520">
        <v>3</v>
      </c>
      <c r="G1520">
        <v>1</v>
      </c>
      <c r="H1520">
        <v>3.4899203515319401</v>
      </c>
      <c r="I1520" t="s">
        <v>957</v>
      </c>
      <c r="J1520" t="s">
        <v>4160</v>
      </c>
      <c r="K1520">
        <v>0.107142857142857</v>
      </c>
      <c r="L1520" t="s">
        <v>959</v>
      </c>
      <c r="M1520">
        <v>5.10948905109489</v>
      </c>
      <c r="N1520" t="s">
        <v>960</v>
      </c>
      <c r="O1520">
        <v>0</v>
      </c>
      <c r="P1520" t="s">
        <v>5018</v>
      </c>
      <c r="Q1520">
        <v>0</v>
      </c>
      <c r="R1520" t="s">
        <v>5019</v>
      </c>
    </row>
    <row r="1521" spans="1:18" ht="16" x14ac:dyDescent="0.2">
      <c r="A1521" s="130" t="s">
        <v>3909</v>
      </c>
      <c r="B1521" t="s">
        <v>142</v>
      </c>
      <c r="C1521" t="s">
        <v>2316</v>
      </c>
      <c r="D1521" t="s">
        <v>2317</v>
      </c>
      <c r="E1521" t="s">
        <v>1052</v>
      </c>
      <c r="F1521">
        <v>2</v>
      </c>
      <c r="G1521">
        <v>2</v>
      </c>
      <c r="H1521">
        <v>1.40733116649844</v>
      </c>
      <c r="I1521" t="s">
        <v>957</v>
      </c>
      <c r="J1521" t="s">
        <v>3981</v>
      </c>
      <c r="K1521">
        <v>0.192857142857143</v>
      </c>
      <c r="L1521" t="s">
        <v>959</v>
      </c>
      <c r="M1521">
        <v>8.7591240875912408</v>
      </c>
      <c r="N1521" t="s">
        <v>960</v>
      </c>
      <c r="O1521">
        <v>0</v>
      </c>
      <c r="P1521">
        <v>0</v>
      </c>
      <c r="Q1521">
        <v>0</v>
      </c>
      <c r="R1521">
        <v>0</v>
      </c>
    </row>
    <row r="1522" spans="1:18" ht="16" x14ac:dyDescent="0.2">
      <c r="A1522" s="130" t="s">
        <v>3909</v>
      </c>
      <c r="B1522" t="s">
        <v>142</v>
      </c>
      <c r="C1522" t="s">
        <v>3092</v>
      </c>
      <c r="D1522" t="s">
        <v>3093</v>
      </c>
      <c r="E1522">
        <v>3</v>
      </c>
      <c r="F1522">
        <v>3</v>
      </c>
      <c r="G1522">
        <v>1</v>
      </c>
      <c r="H1522">
        <v>3.1676265517728401</v>
      </c>
      <c r="I1522" t="s">
        <v>957</v>
      </c>
      <c r="J1522" t="s">
        <v>4603</v>
      </c>
      <c r="K1522">
        <v>9.2857142857142902E-2</v>
      </c>
      <c r="L1522" t="s">
        <v>959</v>
      </c>
      <c r="M1522">
        <v>5.10948905109489</v>
      </c>
      <c r="N1522" t="s">
        <v>960</v>
      </c>
      <c r="O1522">
        <v>0</v>
      </c>
      <c r="P1522">
        <v>0</v>
      </c>
      <c r="Q1522">
        <v>0</v>
      </c>
      <c r="R1522">
        <v>0</v>
      </c>
    </row>
    <row r="1523" spans="1:18" ht="16" x14ac:dyDescent="0.2">
      <c r="A1523" s="130" t="s">
        <v>3909</v>
      </c>
      <c r="B1523" t="s">
        <v>142</v>
      </c>
      <c r="C1523" t="s">
        <v>4073</v>
      </c>
      <c r="D1523" t="s">
        <v>4074</v>
      </c>
      <c r="E1523" t="s">
        <v>1052</v>
      </c>
      <c r="F1523">
        <v>2</v>
      </c>
      <c r="G1523">
        <v>2</v>
      </c>
      <c r="H1523">
        <v>3.7737864636387699</v>
      </c>
      <c r="I1523" t="s">
        <v>957</v>
      </c>
      <c r="J1523" t="s">
        <v>4075</v>
      </c>
      <c r="K1523">
        <v>0.121428571428571</v>
      </c>
      <c r="L1523" t="s">
        <v>959</v>
      </c>
      <c r="M1523">
        <v>2.9197080291970798</v>
      </c>
      <c r="N1523" t="s">
        <v>960</v>
      </c>
      <c r="O1523">
        <v>0</v>
      </c>
      <c r="P1523">
        <v>0</v>
      </c>
      <c r="Q1523">
        <v>0</v>
      </c>
      <c r="R1523">
        <v>0</v>
      </c>
    </row>
    <row r="1524" spans="1:18" ht="16" x14ac:dyDescent="0.2">
      <c r="A1524" s="130" t="s">
        <v>3909</v>
      </c>
      <c r="B1524" t="s">
        <v>142</v>
      </c>
      <c r="C1524" t="s">
        <v>2030</v>
      </c>
      <c r="D1524" t="s">
        <v>2031</v>
      </c>
      <c r="E1524" t="s">
        <v>1052</v>
      </c>
      <c r="F1524">
        <v>2</v>
      </c>
      <c r="G1524">
        <v>2</v>
      </c>
      <c r="H1524">
        <v>1.91819752863957</v>
      </c>
      <c r="I1524" t="s">
        <v>957</v>
      </c>
      <c r="J1524" t="s">
        <v>4305</v>
      </c>
      <c r="K1524">
        <v>0.128571428571429</v>
      </c>
      <c r="L1524" t="s">
        <v>959</v>
      </c>
      <c r="M1524">
        <v>5.8394160583941597</v>
      </c>
      <c r="N1524" t="s">
        <v>960</v>
      </c>
      <c r="O1524">
        <v>0</v>
      </c>
      <c r="P1524">
        <v>0</v>
      </c>
      <c r="Q1524">
        <v>0</v>
      </c>
      <c r="R1524">
        <v>0</v>
      </c>
    </row>
    <row r="1525" spans="1:18" ht="16" x14ac:dyDescent="0.2">
      <c r="A1525" s="130" t="s">
        <v>3909</v>
      </c>
      <c r="B1525" t="s">
        <v>142</v>
      </c>
      <c r="C1525" t="s">
        <v>1166</v>
      </c>
      <c r="D1525" t="s">
        <v>1167</v>
      </c>
      <c r="E1525">
        <v>3</v>
      </c>
      <c r="F1525">
        <v>3</v>
      </c>
      <c r="G1525">
        <v>1</v>
      </c>
      <c r="H1525">
        <v>1.7373386425067101</v>
      </c>
      <c r="I1525" t="s">
        <v>957</v>
      </c>
      <c r="J1525" t="s">
        <v>4746</v>
      </c>
      <c r="K1525">
        <v>0.114285714285714</v>
      </c>
      <c r="L1525" t="s">
        <v>959</v>
      </c>
      <c r="M1525">
        <v>2.9197080291970798</v>
      </c>
      <c r="N1525" t="s">
        <v>960</v>
      </c>
      <c r="O1525">
        <v>0</v>
      </c>
      <c r="P1525" t="s">
        <v>5018</v>
      </c>
      <c r="Q1525">
        <v>0</v>
      </c>
      <c r="R1525">
        <v>0</v>
      </c>
    </row>
    <row r="1526" spans="1:18" ht="16" x14ac:dyDescent="0.2">
      <c r="A1526" s="130" t="s">
        <v>3909</v>
      </c>
      <c r="B1526" t="s">
        <v>142</v>
      </c>
      <c r="C1526" t="s">
        <v>2713</v>
      </c>
      <c r="D1526" t="s">
        <v>2714</v>
      </c>
      <c r="E1526" t="s">
        <v>1052</v>
      </c>
      <c r="F1526">
        <v>2</v>
      </c>
      <c r="G1526">
        <v>2</v>
      </c>
      <c r="H1526">
        <v>3.3046083850426</v>
      </c>
      <c r="I1526" t="s">
        <v>957</v>
      </c>
      <c r="J1526" t="s">
        <v>4683</v>
      </c>
      <c r="K1526">
        <v>3.5714285714285698E-2</v>
      </c>
      <c r="L1526" t="s">
        <v>959</v>
      </c>
      <c r="M1526">
        <v>1.4598540145985399</v>
      </c>
      <c r="N1526" t="s">
        <v>960</v>
      </c>
      <c r="O1526">
        <v>0</v>
      </c>
      <c r="P1526">
        <v>0</v>
      </c>
      <c r="Q1526">
        <v>0</v>
      </c>
      <c r="R1526">
        <v>0</v>
      </c>
    </row>
    <row r="1527" spans="1:18" ht="16" x14ac:dyDescent="0.2">
      <c r="A1527" s="130" t="s">
        <v>3909</v>
      </c>
      <c r="B1527" t="s">
        <v>142</v>
      </c>
      <c r="C1527" t="s">
        <v>1869</v>
      </c>
      <c r="D1527" t="s">
        <v>1870</v>
      </c>
      <c r="E1527" t="s">
        <v>1022</v>
      </c>
      <c r="F1527">
        <v>3</v>
      </c>
      <c r="G1527">
        <v>2</v>
      </c>
      <c r="H1527">
        <v>3.1651875849153099</v>
      </c>
      <c r="I1527" t="s">
        <v>957</v>
      </c>
      <c r="J1527" t="s">
        <v>4366</v>
      </c>
      <c r="K1527">
        <v>0.13571428571428601</v>
      </c>
      <c r="L1527" t="s">
        <v>959</v>
      </c>
      <c r="M1527">
        <v>6.5693430656934302</v>
      </c>
      <c r="N1527" t="s">
        <v>960</v>
      </c>
      <c r="O1527">
        <v>0</v>
      </c>
      <c r="P1527">
        <v>0</v>
      </c>
      <c r="Q1527">
        <v>0</v>
      </c>
      <c r="R1527">
        <v>0</v>
      </c>
    </row>
    <row r="1528" spans="1:18" ht="16" x14ac:dyDescent="0.2">
      <c r="A1528" s="130" t="s">
        <v>3909</v>
      </c>
      <c r="B1528" t="s">
        <v>142</v>
      </c>
      <c r="C1528" t="s">
        <v>3301</v>
      </c>
      <c r="D1528" t="s">
        <v>3302</v>
      </c>
      <c r="E1528">
        <v>3</v>
      </c>
      <c r="F1528">
        <v>3</v>
      </c>
      <c r="G1528">
        <v>1</v>
      </c>
      <c r="H1528">
        <v>1.6863305021082</v>
      </c>
      <c r="I1528" t="s">
        <v>957</v>
      </c>
      <c r="J1528" t="s">
        <v>4854</v>
      </c>
      <c r="K1528">
        <v>0.128571428571429</v>
      </c>
      <c r="L1528" t="s">
        <v>959</v>
      </c>
      <c r="M1528">
        <v>7.2992700729926998</v>
      </c>
      <c r="N1528" t="s">
        <v>960</v>
      </c>
      <c r="O1528">
        <v>0</v>
      </c>
      <c r="P1528">
        <v>0</v>
      </c>
      <c r="Q1528">
        <v>0</v>
      </c>
      <c r="R1528">
        <v>0</v>
      </c>
    </row>
    <row r="1529" spans="1:18" ht="16" x14ac:dyDescent="0.2">
      <c r="A1529" s="130" t="s">
        <v>3909</v>
      </c>
      <c r="B1529" t="s">
        <v>142</v>
      </c>
      <c r="C1529" t="s">
        <v>2818</v>
      </c>
      <c r="D1529" t="s">
        <v>2819</v>
      </c>
      <c r="E1529">
        <v>3</v>
      </c>
      <c r="F1529">
        <v>3</v>
      </c>
      <c r="G1529">
        <v>1</v>
      </c>
      <c r="H1529">
        <v>2.8084722912370799</v>
      </c>
      <c r="I1529" t="s">
        <v>957</v>
      </c>
      <c r="J1529" t="s">
        <v>4211</v>
      </c>
      <c r="K1529">
        <v>0.13571428571428601</v>
      </c>
      <c r="L1529" t="s">
        <v>959</v>
      </c>
      <c r="M1529">
        <v>5.10948905109489</v>
      </c>
      <c r="N1529" t="s">
        <v>960</v>
      </c>
      <c r="O1529">
        <v>0</v>
      </c>
      <c r="P1529">
        <v>0</v>
      </c>
      <c r="Q1529">
        <v>0</v>
      </c>
      <c r="R1529">
        <v>0</v>
      </c>
    </row>
    <row r="1530" spans="1:18" ht="16" x14ac:dyDescent="0.2">
      <c r="A1530" s="130" t="s">
        <v>3909</v>
      </c>
      <c r="B1530" t="s">
        <v>142</v>
      </c>
      <c r="C1530" t="s">
        <v>3781</v>
      </c>
      <c r="D1530" t="s">
        <v>3782</v>
      </c>
      <c r="E1530" t="s">
        <v>1230</v>
      </c>
      <c r="F1530">
        <v>4</v>
      </c>
      <c r="G1530">
        <v>2</v>
      </c>
      <c r="H1530">
        <v>3.3242519961843802</v>
      </c>
      <c r="I1530" t="s">
        <v>957</v>
      </c>
      <c r="J1530" t="s">
        <v>3837</v>
      </c>
      <c r="K1530">
        <v>0.221428571428571</v>
      </c>
      <c r="L1530" t="s">
        <v>959</v>
      </c>
      <c r="M1530">
        <v>6.5693430656934302</v>
      </c>
      <c r="N1530" t="s">
        <v>960</v>
      </c>
      <c r="O1530">
        <v>0</v>
      </c>
      <c r="P1530">
        <v>0</v>
      </c>
      <c r="Q1530">
        <v>0</v>
      </c>
      <c r="R1530">
        <v>0</v>
      </c>
    </row>
    <row r="1531" spans="1:18" ht="16" x14ac:dyDescent="0.2">
      <c r="A1531" s="130" t="s">
        <v>3909</v>
      </c>
      <c r="B1531" t="s">
        <v>142</v>
      </c>
      <c r="C1531" t="s">
        <v>1941</v>
      </c>
      <c r="D1531" t="s">
        <v>1942</v>
      </c>
      <c r="E1531">
        <v>3</v>
      </c>
      <c r="F1531">
        <v>3</v>
      </c>
      <c r="G1531">
        <v>1</v>
      </c>
      <c r="H1531">
        <v>2.2507809515464801</v>
      </c>
      <c r="I1531" t="s">
        <v>957</v>
      </c>
      <c r="J1531" t="s">
        <v>1943</v>
      </c>
      <c r="K1531">
        <v>0.121428571428571</v>
      </c>
      <c r="L1531" t="s">
        <v>959</v>
      </c>
      <c r="M1531">
        <v>8.0291970802919703</v>
      </c>
      <c r="N1531" t="s">
        <v>960</v>
      </c>
      <c r="O1531">
        <v>0</v>
      </c>
      <c r="P1531">
        <v>0</v>
      </c>
      <c r="Q1531">
        <v>0</v>
      </c>
      <c r="R1531">
        <v>0</v>
      </c>
    </row>
    <row r="1532" spans="1:18" ht="16" x14ac:dyDescent="0.2">
      <c r="A1532" s="130" t="s">
        <v>3909</v>
      </c>
      <c r="B1532" t="s">
        <v>146</v>
      </c>
      <c r="C1532" t="s">
        <v>1329</v>
      </c>
      <c r="D1532" t="s">
        <v>1330</v>
      </c>
      <c r="E1532" t="s">
        <v>1052</v>
      </c>
      <c r="F1532">
        <v>2</v>
      </c>
      <c r="G1532">
        <v>2</v>
      </c>
      <c r="H1532">
        <v>1.3184470329739799</v>
      </c>
      <c r="I1532" t="s">
        <v>957</v>
      </c>
      <c r="J1532" t="s">
        <v>4438</v>
      </c>
      <c r="K1532">
        <v>0.14285714285714299</v>
      </c>
      <c r="L1532" t="s">
        <v>959</v>
      </c>
      <c r="M1532">
        <v>4.3795620437956204</v>
      </c>
      <c r="N1532" t="s">
        <v>960</v>
      </c>
      <c r="O1532" t="s">
        <v>5017</v>
      </c>
      <c r="P1532">
        <v>0</v>
      </c>
      <c r="Q1532">
        <v>0</v>
      </c>
      <c r="R1532">
        <v>0</v>
      </c>
    </row>
    <row r="1533" spans="1:18" ht="16" x14ac:dyDescent="0.2">
      <c r="A1533" s="130" t="s">
        <v>3909</v>
      </c>
      <c r="B1533" t="s">
        <v>146</v>
      </c>
      <c r="C1533" t="s">
        <v>272</v>
      </c>
      <c r="D1533" t="s">
        <v>3212</v>
      </c>
      <c r="E1533">
        <v>11</v>
      </c>
      <c r="F1533">
        <v>11</v>
      </c>
      <c r="G1533">
        <v>1</v>
      </c>
      <c r="H1533">
        <v>1.7827460320508299</v>
      </c>
      <c r="I1533" t="s">
        <v>957</v>
      </c>
      <c r="J1533" t="s">
        <v>3213</v>
      </c>
      <c r="K1533">
        <v>3.5714285714285698E-2</v>
      </c>
      <c r="L1533" t="s">
        <v>959</v>
      </c>
      <c r="M1533">
        <v>3.6496350364963499</v>
      </c>
      <c r="N1533" t="s">
        <v>960</v>
      </c>
      <c r="O1533" t="s">
        <v>5017</v>
      </c>
      <c r="P1533">
        <v>0</v>
      </c>
      <c r="Q1533">
        <v>0</v>
      </c>
      <c r="R1533">
        <v>0</v>
      </c>
    </row>
    <row r="1534" spans="1:18" ht="16" x14ac:dyDescent="0.2">
      <c r="A1534" s="130" t="s">
        <v>3909</v>
      </c>
      <c r="B1534" t="s">
        <v>146</v>
      </c>
      <c r="C1534" t="s">
        <v>1398</v>
      </c>
      <c r="D1534" t="s">
        <v>1399</v>
      </c>
      <c r="E1534" t="s">
        <v>1052</v>
      </c>
      <c r="F1534">
        <v>2</v>
      </c>
      <c r="G1534">
        <v>2</v>
      </c>
      <c r="H1534">
        <v>2.08543848290069</v>
      </c>
      <c r="I1534" t="s">
        <v>957</v>
      </c>
      <c r="J1534" t="s">
        <v>4258</v>
      </c>
      <c r="K1534">
        <v>0.17857142857142899</v>
      </c>
      <c r="L1534" t="s">
        <v>959</v>
      </c>
      <c r="M1534">
        <v>7.2992700729926998</v>
      </c>
      <c r="N1534" t="s">
        <v>960</v>
      </c>
      <c r="O1534" t="s">
        <v>5017</v>
      </c>
      <c r="P1534">
        <v>0</v>
      </c>
      <c r="Q1534">
        <v>0</v>
      </c>
      <c r="R1534">
        <v>0</v>
      </c>
    </row>
    <row r="1535" spans="1:18" ht="16" x14ac:dyDescent="0.2">
      <c r="A1535" s="130" t="s">
        <v>3909</v>
      </c>
      <c r="B1535" t="s">
        <v>146</v>
      </c>
      <c r="C1535" t="s">
        <v>3374</v>
      </c>
      <c r="D1535" t="s">
        <v>3375</v>
      </c>
      <c r="E1535" t="s">
        <v>1102</v>
      </c>
      <c r="F1535">
        <v>4</v>
      </c>
      <c r="G1535">
        <v>2</v>
      </c>
      <c r="H1535">
        <v>3.5622058580320202</v>
      </c>
      <c r="I1535" t="s">
        <v>957</v>
      </c>
      <c r="J1535" t="s">
        <v>4314</v>
      </c>
      <c r="K1535">
        <v>3.5714285714285698E-2</v>
      </c>
      <c r="L1535" t="s">
        <v>959</v>
      </c>
      <c r="M1535">
        <v>2.9197080291970798</v>
      </c>
      <c r="N1535" t="s">
        <v>960</v>
      </c>
      <c r="O1535" t="s">
        <v>5017</v>
      </c>
      <c r="P1535">
        <v>0</v>
      </c>
      <c r="Q1535">
        <v>0</v>
      </c>
      <c r="R1535">
        <v>0</v>
      </c>
    </row>
    <row r="1536" spans="1:18" ht="16" x14ac:dyDescent="0.2">
      <c r="A1536" s="130" t="s">
        <v>3909</v>
      </c>
      <c r="B1536" t="s">
        <v>150</v>
      </c>
      <c r="C1536" t="s">
        <v>1376</v>
      </c>
      <c r="D1536" t="s">
        <v>1377</v>
      </c>
      <c r="E1536" t="s">
        <v>1627</v>
      </c>
      <c r="F1536">
        <v>8</v>
      </c>
      <c r="G1536">
        <v>2</v>
      </c>
      <c r="H1536">
        <v>3.5313205531574301</v>
      </c>
      <c r="I1536" t="s">
        <v>957</v>
      </c>
      <c r="J1536" t="s">
        <v>4662</v>
      </c>
      <c r="K1536">
        <v>0.17142857142857101</v>
      </c>
      <c r="L1536" t="s">
        <v>959</v>
      </c>
      <c r="M1536">
        <v>9.4890510948905096</v>
      </c>
      <c r="N1536" t="s">
        <v>960</v>
      </c>
      <c r="O1536">
        <v>0</v>
      </c>
      <c r="P1536">
        <v>0</v>
      </c>
      <c r="Q1536">
        <v>0</v>
      </c>
      <c r="R1536">
        <v>0</v>
      </c>
    </row>
    <row r="1537" spans="1:18" ht="16" x14ac:dyDescent="0.2">
      <c r="A1537" s="130" t="s">
        <v>3909</v>
      </c>
      <c r="B1537" t="s">
        <v>150</v>
      </c>
      <c r="C1537" t="s">
        <v>2303</v>
      </c>
      <c r="D1537" t="s">
        <v>2304</v>
      </c>
      <c r="E1537" t="s">
        <v>1052</v>
      </c>
      <c r="F1537">
        <v>2</v>
      </c>
      <c r="G1537">
        <v>2</v>
      </c>
      <c r="H1537">
        <v>3.0577012291024799</v>
      </c>
      <c r="I1537" t="s">
        <v>957</v>
      </c>
      <c r="J1537" t="s">
        <v>4429</v>
      </c>
      <c r="K1537">
        <v>0.15</v>
      </c>
      <c r="L1537" t="s">
        <v>959</v>
      </c>
      <c r="M1537">
        <v>3.6496350364963499</v>
      </c>
      <c r="N1537" t="s">
        <v>960</v>
      </c>
      <c r="O1537">
        <v>0</v>
      </c>
      <c r="P1537">
        <v>0</v>
      </c>
      <c r="Q1537">
        <v>0</v>
      </c>
      <c r="R1537">
        <v>0</v>
      </c>
    </row>
    <row r="1538" spans="1:18" ht="16" x14ac:dyDescent="0.2">
      <c r="A1538" s="130" t="s">
        <v>3909</v>
      </c>
      <c r="B1538" t="s">
        <v>150</v>
      </c>
      <c r="C1538" t="s">
        <v>3697</v>
      </c>
      <c r="D1538" t="s">
        <v>4416</v>
      </c>
      <c r="E1538">
        <v>3</v>
      </c>
      <c r="F1538">
        <v>3</v>
      </c>
      <c r="G1538">
        <v>1</v>
      </c>
      <c r="H1538">
        <v>2.8873615882857702</v>
      </c>
      <c r="I1538" t="s">
        <v>957</v>
      </c>
      <c r="J1538" t="s">
        <v>4810</v>
      </c>
      <c r="K1538">
        <v>0.192857142857143</v>
      </c>
      <c r="L1538" t="s">
        <v>959</v>
      </c>
      <c r="M1538">
        <v>5.10948905109489</v>
      </c>
      <c r="N1538" t="s">
        <v>960</v>
      </c>
      <c r="O1538">
        <v>0</v>
      </c>
      <c r="P1538">
        <v>0</v>
      </c>
      <c r="Q1538">
        <v>0</v>
      </c>
      <c r="R1538">
        <v>0</v>
      </c>
    </row>
    <row r="1539" spans="1:18" ht="16" x14ac:dyDescent="0.2">
      <c r="A1539" s="130" t="s">
        <v>3909</v>
      </c>
      <c r="B1539" t="s">
        <v>150</v>
      </c>
      <c r="C1539" t="s">
        <v>3653</v>
      </c>
      <c r="D1539" t="s">
        <v>3654</v>
      </c>
      <c r="E1539" t="s">
        <v>1052</v>
      </c>
      <c r="F1539">
        <v>2</v>
      </c>
      <c r="G1539">
        <v>2</v>
      </c>
      <c r="H1539">
        <v>1.8818596180746801</v>
      </c>
      <c r="I1539" t="s">
        <v>957</v>
      </c>
      <c r="J1539" t="s">
        <v>4244</v>
      </c>
      <c r="K1539">
        <v>0.114285714285714</v>
      </c>
      <c r="L1539" t="s">
        <v>959</v>
      </c>
      <c r="M1539">
        <v>2.9197080291970798</v>
      </c>
      <c r="N1539" t="s">
        <v>960</v>
      </c>
      <c r="O1539">
        <v>0</v>
      </c>
      <c r="P1539">
        <v>0</v>
      </c>
      <c r="Q1539">
        <v>0</v>
      </c>
      <c r="R1539">
        <v>0</v>
      </c>
    </row>
    <row r="1540" spans="1:18" ht="16" x14ac:dyDescent="0.2">
      <c r="A1540" s="130" t="s">
        <v>3909</v>
      </c>
      <c r="B1540" t="s">
        <v>150</v>
      </c>
      <c r="C1540" t="s">
        <v>3305</v>
      </c>
      <c r="D1540" t="s">
        <v>3306</v>
      </c>
      <c r="E1540">
        <v>5</v>
      </c>
      <c r="F1540">
        <v>5</v>
      </c>
      <c r="G1540">
        <v>1</v>
      </c>
      <c r="H1540">
        <v>3.7629727466429101</v>
      </c>
      <c r="I1540" t="s">
        <v>957</v>
      </c>
      <c r="J1540" t="s">
        <v>4039</v>
      </c>
      <c r="K1540">
        <v>0.16428571428571401</v>
      </c>
      <c r="L1540" t="s">
        <v>959</v>
      </c>
      <c r="M1540">
        <v>8.7591240875912408</v>
      </c>
      <c r="N1540" t="s">
        <v>960</v>
      </c>
      <c r="O1540">
        <v>0</v>
      </c>
      <c r="P1540">
        <v>0</v>
      </c>
      <c r="Q1540">
        <v>0</v>
      </c>
      <c r="R1540">
        <v>0</v>
      </c>
    </row>
    <row r="1541" spans="1:18" ht="16" x14ac:dyDescent="0.2">
      <c r="A1541" s="130" t="s">
        <v>3909</v>
      </c>
      <c r="B1541" t="s">
        <v>150</v>
      </c>
      <c r="C1541" t="s">
        <v>4337</v>
      </c>
      <c r="D1541" t="s">
        <v>4338</v>
      </c>
      <c r="E1541">
        <v>3</v>
      </c>
      <c r="F1541">
        <v>3</v>
      </c>
      <c r="G1541">
        <v>1</v>
      </c>
      <c r="H1541">
        <v>3.3149804345786</v>
      </c>
      <c r="I1541" t="s">
        <v>957</v>
      </c>
      <c r="J1541" t="s">
        <v>4339</v>
      </c>
      <c r="K1541">
        <v>6.4285714285714293E-2</v>
      </c>
      <c r="L1541" t="s">
        <v>959</v>
      </c>
      <c r="M1541">
        <v>1.4598540145985399</v>
      </c>
      <c r="N1541" t="s">
        <v>960</v>
      </c>
      <c r="O1541">
        <v>0</v>
      </c>
      <c r="P1541">
        <v>0</v>
      </c>
      <c r="Q1541">
        <v>0</v>
      </c>
      <c r="R1541">
        <v>0</v>
      </c>
    </row>
    <row r="1542" spans="1:18" ht="16" x14ac:dyDescent="0.2">
      <c r="A1542" s="130" t="s">
        <v>3909</v>
      </c>
      <c r="B1542" t="s">
        <v>150</v>
      </c>
      <c r="C1542" t="s">
        <v>2832</v>
      </c>
      <c r="D1542" t="s">
        <v>2833</v>
      </c>
      <c r="E1542" t="s">
        <v>1022</v>
      </c>
      <c r="F1542">
        <v>3</v>
      </c>
      <c r="G1542">
        <v>2</v>
      </c>
      <c r="H1542">
        <v>2.90934759627015</v>
      </c>
      <c r="I1542" t="s">
        <v>957</v>
      </c>
      <c r="J1542" t="s">
        <v>3977</v>
      </c>
      <c r="K1542">
        <v>0.15</v>
      </c>
      <c r="L1542" t="s">
        <v>959</v>
      </c>
      <c r="M1542">
        <v>4.3795620437956204</v>
      </c>
      <c r="N1542" t="s">
        <v>960</v>
      </c>
      <c r="O1542">
        <v>0</v>
      </c>
      <c r="P1542">
        <v>0</v>
      </c>
      <c r="Q1542">
        <v>0</v>
      </c>
      <c r="R1542">
        <v>0</v>
      </c>
    </row>
    <row r="1543" spans="1:18" ht="16" x14ac:dyDescent="0.2">
      <c r="A1543" s="130" t="s">
        <v>3909</v>
      </c>
      <c r="B1543" t="s">
        <v>150</v>
      </c>
      <c r="C1543" t="s">
        <v>1653</v>
      </c>
      <c r="D1543" t="s">
        <v>1654</v>
      </c>
      <c r="E1543">
        <v>3</v>
      </c>
      <c r="F1543">
        <v>3</v>
      </c>
      <c r="G1543">
        <v>1</v>
      </c>
      <c r="H1543">
        <v>2.9845450441893799</v>
      </c>
      <c r="I1543" t="s">
        <v>957</v>
      </c>
      <c r="J1543" t="s">
        <v>4647</v>
      </c>
      <c r="K1543">
        <v>0.20714285714285699</v>
      </c>
      <c r="L1543" t="s">
        <v>959</v>
      </c>
      <c r="M1543">
        <v>5.8394160583941597</v>
      </c>
      <c r="N1543" t="s">
        <v>960</v>
      </c>
      <c r="O1543">
        <v>0</v>
      </c>
      <c r="P1543">
        <v>0</v>
      </c>
      <c r="Q1543">
        <v>0</v>
      </c>
      <c r="R1543">
        <v>0</v>
      </c>
    </row>
    <row r="1544" spans="1:18" ht="16" x14ac:dyDescent="0.2">
      <c r="A1544" s="130" t="s">
        <v>3909</v>
      </c>
      <c r="B1544" t="s">
        <v>150</v>
      </c>
      <c r="C1544" t="s">
        <v>1147</v>
      </c>
      <c r="D1544" t="s">
        <v>1148</v>
      </c>
      <c r="E1544" t="s">
        <v>1265</v>
      </c>
      <c r="F1544">
        <v>6</v>
      </c>
      <c r="G1544">
        <v>2</v>
      </c>
      <c r="H1544">
        <v>0.246681833497498</v>
      </c>
      <c r="I1544" t="s">
        <v>957</v>
      </c>
      <c r="J1544" t="s">
        <v>4882</v>
      </c>
      <c r="K1544">
        <v>0.33333333333333298</v>
      </c>
      <c r="L1544" t="s">
        <v>1004</v>
      </c>
      <c r="M1544">
        <v>6.5693430656934302</v>
      </c>
      <c r="N1544" t="s">
        <v>1005</v>
      </c>
      <c r="O1544">
        <v>0</v>
      </c>
      <c r="P1544">
        <v>0</v>
      </c>
      <c r="Q1544">
        <v>0</v>
      </c>
      <c r="R1544">
        <v>0</v>
      </c>
    </row>
    <row r="1545" spans="1:18" ht="16" x14ac:dyDescent="0.2">
      <c r="A1545" s="130" t="s">
        <v>3909</v>
      </c>
      <c r="B1545" t="s">
        <v>154</v>
      </c>
      <c r="C1545" t="s">
        <v>2893</v>
      </c>
      <c r="D1545" t="s">
        <v>2894</v>
      </c>
      <c r="E1545">
        <v>4</v>
      </c>
      <c r="F1545">
        <v>4</v>
      </c>
      <c r="G1545">
        <v>1</v>
      </c>
      <c r="H1545">
        <v>2.9907406987377398</v>
      </c>
      <c r="I1545" t="s">
        <v>957</v>
      </c>
      <c r="J1545" t="s">
        <v>4297</v>
      </c>
      <c r="K1545">
        <v>0.2</v>
      </c>
      <c r="L1545" t="s">
        <v>959</v>
      </c>
      <c r="M1545">
        <v>8.7591240875912408</v>
      </c>
      <c r="N1545" t="s">
        <v>987</v>
      </c>
      <c r="O1545" t="s">
        <v>5018</v>
      </c>
      <c r="P1545">
        <v>0</v>
      </c>
      <c r="Q1545">
        <v>0</v>
      </c>
      <c r="R1545">
        <v>0</v>
      </c>
    </row>
    <row r="1546" spans="1:18" ht="16" x14ac:dyDescent="0.2">
      <c r="A1546" s="130" t="s">
        <v>3909</v>
      </c>
      <c r="B1546" t="s">
        <v>154</v>
      </c>
      <c r="C1546" t="s">
        <v>2088</v>
      </c>
      <c r="D1546" t="s">
        <v>2089</v>
      </c>
      <c r="E1546">
        <v>3</v>
      </c>
      <c r="F1546">
        <v>3</v>
      </c>
      <c r="G1546">
        <v>1</v>
      </c>
      <c r="H1546">
        <v>4.0059770587497701</v>
      </c>
      <c r="I1546" t="s">
        <v>957</v>
      </c>
      <c r="J1546" t="s">
        <v>2090</v>
      </c>
      <c r="K1546">
        <v>7.8571428571428598E-2</v>
      </c>
      <c r="L1546" t="s">
        <v>959</v>
      </c>
      <c r="M1546">
        <v>5.8394160583941597</v>
      </c>
      <c r="N1546" t="s">
        <v>960</v>
      </c>
      <c r="O1546" t="s">
        <v>5018</v>
      </c>
      <c r="P1546">
        <v>0</v>
      </c>
      <c r="Q1546">
        <v>0</v>
      </c>
      <c r="R1546">
        <v>0</v>
      </c>
    </row>
    <row r="1547" spans="1:18" ht="16" x14ac:dyDescent="0.2">
      <c r="A1547" s="130" t="s">
        <v>3909</v>
      </c>
      <c r="B1547" t="s">
        <v>154</v>
      </c>
      <c r="C1547" t="s">
        <v>3645</v>
      </c>
      <c r="D1547" t="s">
        <v>3646</v>
      </c>
      <c r="E1547">
        <v>3</v>
      </c>
      <c r="F1547">
        <v>3</v>
      </c>
      <c r="G1547">
        <v>1</v>
      </c>
      <c r="H1547">
        <v>2.1551974631325002</v>
      </c>
      <c r="I1547" t="s">
        <v>957</v>
      </c>
      <c r="J1547" t="s">
        <v>4817</v>
      </c>
      <c r="K1547">
        <v>0.14285714285714299</v>
      </c>
      <c r="L1547" t="s">
        <v>959</v>
      </c>
      <c r="M1547">
        <v>5.8394160583941597</v>
      </c>
      <c r="N1547" t="s">
        <v>960</v>
      </c>
      <c r="O1547" t="s">
        <v>5018</v>
      </c>
      <c r="P1547">
        <v>0</v>
      </c>
      <c r="Q1547">
        <v>0</v>
      </c>
      <c r="R1547">
        <v>0</v>
      </c>
    </row>
    <row r="1548" spans="1:18" ht="16" x14ac:dyDescent="0.2">
      <c r="A1548" s="130" t="s">
        <v>3909</v>
      </c>
      <c r="B1548" t="s">
        <v>154</v>
      </c>
      <c r="C1548" t="s">
        <v>1329</v>
      </c>
      <c r="D1548" t="s">
        <v>1330</v>
      </c>
      <c r="E1548">
        <v>5</v>
      </c>
      <c r="F1548">
        <v>5</v>
      </c>
      <c r="G1548">
        <v>1</v>
      </c>
      <c r="H1548">
        <v>3.7578644508113102</v>
      </c>
      <c r="I1548" t="s">
        <v>957</v>
      </c>
      <c r="J1548" t="s">
        <v>4787</v>
      </c>
      <c r="K1548">
        <v>0.14285714285714299</v>
      </c>
      <c r="L1548" t="s">
        <v>959</v>
      </c>
      <c r="M1548">
        <v>4.3795620437956204</v>
      </c>
      <c r="N1548" t="s">
        <v>987</v>
      </c>
      <c r="O1548" t="s">
        <v>5018</v>
      </c>
      <c r="P1548">
        <v>0</v>
      </c>
      <c r="Q1548">
        <v>0</v>
      </c>
      <c r="R1548">
        <v>0</v>
      </c>
    </row>
    <row r="1549" spans="1:18" ht="16" x14ac:dyDescent="0.2">
      <c r="A1549" s="130" t="s">
        <v>3909</v>
      </c>
      <c r="B1549" t="s">
        <v>154</v>
      </c>
      <c r="C1549" t="s">
        <v>2111</v>
      </c>
      <c r="D1549" t="s">
        <v>2112</v>
      </c>
      <c r="E1549" t="s">
        <v>1052</v>
      </c>
      <c r="F1549">
        <v>2</v>
      </c>
      <c r="G1549">
        <v>2</v>
      </c>
      <c r="H1549">
        <v>0.96349084413998098</v>
      </c>
      <c r="I1549" t="s">
        <v>957</v>
      </c>
      <c r="J1549" t="s">
        <v>4679</v>
      </c>
      <c r="K1549">
        <v>0.35294117647058798</v>
      </c>
      <c r="L1549" t="s">
        <v>1099</v>
      </c>
      <c r="M1549">
        <v>7.2992700729926998</v>
      </c>
      <c r="N1549" t="s">
        <v>973</v>
      </c>
      <c r="O1549" t="s">
        <v>5018</v>
      </c>
      <c r="P1549">
        <v>0</v>
      </c>
      <c r="Q1549">
        <v>0</v>
      </c>
      <c r="R1549">
        <v>0</v>
      </c>
    </row>
    <row r="1550" spans="1:18" ht="16" x14ac:dyDescent="0.2">
      <c r="A1550" s="130" t="s">
        <v>3909</v>
      </c>
      <c r="B1550" t="s">
        <v>154</v>
      </c>
      <c r="C1550" t="s">
        <v>3765</v>
      </c>
      <c r="D1550" t="s">
        <v>3766</v>
      </c>
      <c r="E1550">
        <v>3</v>
      </c>
      <c r="F1550">
        <v>3</v>
      </c>
      <c r="G1550">
        <v>1</v>
      </c>
      <c r="H1550">
        <v>2.5090509734887401</v>
      </c>
      <c r="I1550" t="s">
        <v>957</v>
      </c>
      <c r="J1550" t="s">
        <v>4704</v>
      </c>
      <c r="K1550">
        <v>0.2</v>
      </c>
      <c r="L1550" t="s">
        <v>959</v>
      </c>
      <c r="M1550">
        <v>6.5693430656934302</v>
      </c>
      <c r="N1550" t="s">
        <v>960</v>
      </c>
      <c r="O1550" t="s">
        <v>5018</v>
      </c>
      <c r="P1550">
        <v>0</v>
      </c>
      <c r="Q1550">
        <v>0</v>
      </c>
      <c r="R1550">
        <v>0</v>
      </c>
    </row>
    <row r="1551" spans="1:18" ht="16" x14ac:dyDescent="0.2">
      <c r="A1551" s="130" t="s">
        <v>3909</v>
      </c>
      <c r="B1551" t="s">
        <v>154</v>
      </c>
      <c r="C1551" t="s">
        <v>1584</v>
      </c>
      <c r="D1551" t="s">
        <v>1585</v>
      </c>
      <c r="E1551">
        <v>4</v>
      </c>
      <c r="F1551">
        <v>4</v>
      </c>
      <c r="G1551">
        <v>1</v>
      </c>
      <c r="H1551">
        <v>1.54034657073792</v>
      </c>
      <c r="I1551" t="s">
        <v>957</v>
      </c>
      <c r="J1551" t="s">
        <v>4457</v>
      </c>
      <c r="K1551">
        <v>0.23529411764705899</v>
      </c>
      <c r="L1551" t="s">
        <v>1099</v>
      </c>
      <c r="M1551">
        <v>2.9197080291970798</v>
      </c>
      <c r="N1551" t="s">
        <v>973</v>
      </c>
      <c r="O1551" t="s">
        <v>5018</v>
      </c>
      <c r="P1551">
        <v>0</v>
      </c>
      <c r="Q1551">
        <v>0</v>
      </c>
      <c r="R1551">
        <v>0</v>
      </c>
    </row>
    <row r="1552" spans="1:18" ht="16" x14ac:dyDescent="0.2">
      <c r="A1552" s="130" t="s">
        <v>3909</v>
      </c>
      <c r="B1552" t="s">
        <v>154</v>
      </c>
      <c r="C1552" t="s">
        <v>1332</v>
      </c>
      <c r="D1552" t="s">
        <v>1333</v>
      </c>
      <c r="E1552">
        <v>6</v>
      </c>
      <c r="F1552">
        <v>6</v>
      </c>
      <c r="G1552">
        <v>1</v>
      </c>
      <c r="H1552">
        <v>3.64641174967382</v>
      </c>
      <c r="I1552" t="s">
        <v>957</v>
      </c>
      <c r="J1552" t="s">
        <v>4444</v>
      </c>
      <c r="K1552">
        <v>0.11764705882352899</v>
      </c>
      <c r="L1552" t="s">
        <v>1099</v>
      </c>
      <c r="M1552">
        <v>9.4890510948905096</v>
      </c>
      <c r="N1552" t="s">
        <v>987</v>
      </c>
      <c r="O1552" t="s">
        <v>5018</v>
      </c>
      <c r="P1552">
        <v>0</v>
      </c>
      <c r="Q1552">
        <v>0</v>
      </c>
      <c r="R1552">
        <v>0</v>
      </c>
    </row>
    <row r="1553" spans="1:18" ht="16" x14ac:dyDescent="0.2">
      <c r="A1553" s="130" t="s">
        <v>3909</v>
      </c>
      <c r="B1553" t="s">
        <v>154</v>
      </c>
      <c r="C1553" t="s">
        <v>2699</v>
      </c>
      <c r="D1553" t="s">
        <v>2700</v>
      </c>
      <c r="E1553">
        <v>4</v>
      </c>
      <c r="F1553">
        <v>4</v>
      </c>
      <c r="G1553">
        <v>1</v>
      </c>
      <c r="H1553">
        <v>3.3903202631881801</v>
      </c>
      <c r="I1553" t="s">
        <v>957</v>
      </c>
      <c r="J1553" t="s">
        <v>3834</v>
      </c>
      <c r="K1553">
        <v>0.157142857142857</v>
      </c>
      <c r="L1553" t="s">
        <v>959</v>
      </c>
      <c r="M1553">
        <v>6.5693430656934302</v>
      </c>
      <c r="N1553" t="s">
        <v>960</v>
      </c>
      <c r="O1553" t="s">
        <v>5018</v>
      </c>
      <c r="P1553">
        <v>0</v>
      </c>
      <c r="Q1553">
        <v>0</v>
      </c>
      <c r="R1553">
        <v>0</v>
      </c>
    </row>
    <row r="1554" spans="1:18" ht="16" x14ac:dyDescent="0.2">
      <c r="A1554" s="130" t="s">
        <v>3909</v>
      </c>
      <c r="B1554" t="s">
        <v>154</v>
      </c>
      <c r="C1554" t="s">
        <v>1406</v>
      </c>
      <c r="D1554" t="s">
        <v>1407</v>
      </c>
      <c r="E1554">
        <v>3</v>
      </c>
      <c r="F1554">
        <v>3</v>
      </c>
      <c r="G1554">
        <v>1</v>
      </c>
      <c r="H1554">
        <v>1.13801837497154</v>
      </c>
      <c r="I1554" t="s">
        <v>957</v>
      </c>
      <c r="J1554" t="s">
        <v>4260</v>
      </c>
      <c r="K1554">
        <v>0.17647058823529399</v>
      </c>
      <c r="L1554" t="s">
        <v>1099</v>
      </c>
      <c r="M1554">
        <v>5.8394160583941597</v>
      </c>
      <c r="N1554" t="s">
        <v>973</v>
      </c>
      <c r="O1554" t="s">
        <v>5018</v>
      </c>
      <c r="P1554">
        <v>0</v>
      </c>
      <c r="Q1554">
        <v>0</v>
      </c>
      <c r="R1554">
        <v>0</v>
      </c>
    </row>
    <row r="1555" spans="1:18" ht="16" x14ac:dyDescent="0.2">
      <c r="A1555" s="130" t="s">
        <v>3909</v>
      </c>
      <c r="B1555" t="s">
        <v>154</v>
      </c>
      <c r="C1555" t="s">
        <v>1124</v>
      </c>
      <c r="D1555" t="s">
        <v>1125</v>
      </c>
      <c r="E1555">
        <v>5</v>
      </c>
      <c r="F1555">
        <v>5</v>
      </c>
      <c r="G1555">
        <v>1</v>
      </c>
      <c r="H1555">
        <v>0.28217443246399598</v>
      </c>
      <c r="I1555" t="s">
        <v>957</v>
      </c>
      <c r="J1555" t="s">
        <v>4038</v>
      </c>
      <c r="K1555">
        <v>0.29411764705882398</v>
      </c>
      <c r="L1555" t="s">
        <v>1099</v>
      </c>
      <c r="M1555">
        <v>8.7591240875912408</v>
      </c>
      <c r="N1555" t="s">
        <v>973</v>
      </c>
      <c r="O1555" t="s">
        <v>5018</v>
      </c>
      <c r="P1555">
        <v>0</v>
      </c>
      <c r="Q1555">
        <v>0</v>
      </c>
      <c r="R1555">
        <v>0</v>
      </c>
    </row>
    <row r="1556" spans="1:18" ht="16" x14ac:dyDescent="0.2">
      <c r="A1556" s="130" t="s">
        <v>3909</v>
      </c>
      <c r="B1556" t="s">
        <v>154</v>
      </c>
      <c r="C1556" t="s">
        <v>4876</v>
      </c>
      <c r="D1556" t="s">
        <v>4877</v>
      </c>
      <c r="E1556">
        <v>4</v>
      </c>
      <c r="F1556">
        <v>4</v>
      </c>
      <c r="G1556">
        <v>1</v>
      </c>
      <c r="H1556">
        <v>3.7576772464752199</v>
      </c>
      <c r="I1556" t="s">
        <v>957</v>
      </c>
      <c r="J1556" t="s">
        <v>4878</v>
      </c>
      <c r="K1556">
        <v>0.11764705882352899</v>
      </c>
      <c r="L1556" t="s">
        <v>1099</v>
      </c>
      <c r="M1556">
        <v>0.72992700729926996</v>
      </c>
      <c r="N1556" t="s">
        <v>973</v>
      </c>
      <c r="O1556" t="s">
        <v>5018</v>
      </c>
      <c r="P1556">
        <v>0</v>
      </c>
      <c r="Q1556">
        <v>0</v>
      </c>
      <c r="R1556">
        <v>0</v>
      </c>
    </row>
    <row r="1557" spans="1:18" ht="16" x14ac:dyDescent="0.2">
      <c r="A1557" s="130" t="s">
        <v>3909</v>
      </c>
      <c r="B1557" t="s">
        <v>154</v>
      </c>
      <c r="C1557" t="s">
        <v>2763</v>
      </c>
      <c r="D1557" t="s">
        <v>2764</v>
      </c>
      <c r="E1557">
        <v>3</v>
      </c>
      <c r="F1557">
        <v>3</v>
      </c>
      <c r="G1557">
        <v>1</v>
      </c>
      <c r="H1557">
        <v>3.1140187140673401</v>
      </c>
      <c r="I1557" t="s">
        <v>957</v>
      </c>
      <c r="J1557" t="s">
        <v>4936</v>
      </c>
      <c r="K1557">
        <v>0.17647058823529399</v>
      </c>
      <c r="L1557" t="s">
        <v>1099</v>
      </c>
      <c r="M1557">
        <v>2.9197080291970798</v>
      </c>
      <c r="N1557" t="s">
        <v>973</v>
      </c>
      <c r="O1557" t="s">
        <v>5018</v>
      </c>
      <c r="P1557">
        <v>0</v>
      </c>
      <c r="Q1557">
        <v>0</v>
      </c>
      <c r="R1557">
        <v>0</v>
      </c>
    </row>
    <row r="1558" spans="1:18" ht="16" x14ac:dyDescent="0.2">
      <c r="A1558" s="130" t="s">
        <v>3909</v>
      </c>
      <c r="B1558" t="s">
        <v>154</v>
      </c>
      <c r="C1558" t="s">
        <v>3925</v>
      </c>
      <c r="D1558" t="s">
        <v>3926</v>
      </c>
      <c r="E1558">
        <v>4</v>
      </c>
      <c r="F1558">
        <v>4</v>
      </c>
      <c r="G1558">
        <v>1</v>
      </c>
      <c r="H1558">
        <v>2.64384975977516</v>
      </c>
      <c r="I1558" t="s">
        <v>957</v>
      </c>
      <c r="J1558" t="s">
        <v>4269</v>
      </c>
      <c r="K1558">
        <v>0.23529411764705899</v>
      </c>
      <c r="L1558" t="s">
        <v>1099</v>
      </c>
      <c r="M1558">
        <v>8.0291970802919703</v>
      </c>
      <c r="N1558" t="s">
        <v>973</v>
      </c>
      <c r="O1558" t="s">
        <v>5018</v>
      </c>
      <c r="P1558">
        <v>0</v>
      </c>
      <c r="Q1558">
        <v>0</v>
      </c>
      <c r="R1558">
        <v>0</v>
      </c>
    </row>
    <row r="1559" spans="1:18" ht="16" x14ac:dyDescent="0.2">
      <c r="A1559" s="130" t="s">
        <v>3909</v>
      </c>
      <c r="B1559" t="s">
        <v>154</v>
      </c>
      <c r="C1559" t="s">
        <v>2074</v>
      </c>
      <c r="D1559" t="s">
        <v>2075</v>
      </c>
      <c r="E1559">
        <v>3</v>
      </c>
      <c r="F1559">
        <v>3</v>
      </c>
      <c r="G1559">
        <v>1</v>
      </c>
      <c r="H1559">
        <v>1.54688864723425</v>
      </c>
      <c r="I1559" t="s">
        <v>957</v>
      </c>
      <c r="J1559" t="s">
        <v>4485</v>
      </c>
      <c r="K1559">
        <v>0.23529411764705899</v>
      </c>
      <c r="L1559" t="s">
        <v>1099</v>
      </c>
      <c r="M1559">
        <v>5.8394160583941597</v>
      </c>
      <c r="N1559" t="s">
        <v>973</v>
      </c>
      <c r="O1559" t="s">
        <v>5018</v>
      </c>
      <c r="P1559">
        <v>0</v>
      </c>
      <c r="Q1559">
        <v>0</v>
      </c>
      <c r="R1559">
        <v>0</v>
      </c>
    </row>
    <row r="1560" spans="1:18" ht="16" x14ac:dyDescent="0.2">
      <c r="A1560" s="130" t="s">
        <v>3909</v>
      </c>
      <c r="B1560" t="s">
        <v>158</v>
      </c>
      <c r="C1560" t="s">
        <v>2520</v>
      </c>
      <c r="D1560" t="s">
        <v>2521</v>
      </c>
      <c r="E1560">
        <v>3</v>
      </c>
      <c r="F1560">
        <v>3</v>
      </c>
      <c r="G1560">
        <v>1</v>
      </c>
      <c r="H1560">
        <v>3.5697784531732899</v>
      </c>
      <c r="I1560" t="s">
        <v>957</v>
      </c>
      <c r="J1560" t="s">
        <v>4313</v>
      </c>
      <c r="K1560">
        <v>0.157142857142857</v>
      </c>
      <c r="L1560" t="s">
        <v>959</v>
      </c>
      <c r="M1560">
        <v>5.10948905109489</v>
      </c>
      <c r="N1560" t="s">
        <v>960</v>
      </c>
      <c r="O1560">
        <v>0</v>
      </c>
      <c r="P1560">
        <v>0</v>
      </c>
      <c r="Q1560">
        <v>0</v>
      </c>
      <c r="R1560">
        <v>0</v>
      </c>
    </row>
    <row r="1561" spans="1:18" ht="16" x14ac:dyDescent="0.2">
      <c r="A1561" s="130" t="s">
        <v>3909</v>
      </c>
      <c r="B1561" t="s">
        <v>158</v>
      </c>
      <c r="C1561" t="s">
        <v>4921</v>
      </c>
      <c r="D1561" t="s">
        <v>4922</v>
      </c>
      <c r="E1561" t="s">
        <v>4923</v>
      </c>
      <c r="F1561">
        <v>12</v>
      </c>
      <c r="G1561">
        <v>2</v>
      </c>
      <c r="H1561">
        <v>2.9729951327962598</v>
      </c>
      <c r="I1561" t="s">
        <v>957</v>
      </c>
      <c r="J1561" t="s">
        <v>4924</v>
      </c>
      <c r="K1561">
        <v>0.2</v>
      </c>
      <c r="L1561" t="s">
        <v>1004</v>
      </c>
      <c r="M1561">
        <v>0.72992700729926996</v>
      </c>
      <c r="N1561" t="s">
        <v>1005</v>
      </c>
      <c r="O1561">
        <v>0</v>
      </c>
      <c r="P1561">
        <v>0</v>
      </c>
      <c r="Q1561">
        <v>0</v>
      </c>
      <c r="R1561">
        <v>0</v>
      </c>
    </row>
    <row r="1562" spans="1:18" ht="16" x14ac:dyDescent="0.2">
      <c r="A1562" s="130" t="s">
        <v>3909</v>
      </c>
      <c r="B1562" t="s">
        <v>158</v>
      </c>
      <c r="C1562" t="s">
        <v>1694</v>
      </c>
      <c r="D1562" t="s">
        <v>1695</v>
      </c>
      <c r="E1562" t="s">
        <v>1974</v>
      </c>
      <c r="F1562">
        <v>5</v>
      </c>
      <c r="G1562">
        <v>2</v>
      </c>
      <c r="H1562">
        <v>8.7437177097833704E-2</v>
      </c>
      <c r="I1562" t="s">
        <v>957</v>
      </c>
      <c r="J1562" t="s">
        <v>3949</v>
      </c>
      <c r="K1562">
        <v>0.46666666666666701</v>
      </c>
      <c r="L1562" t="s">
        <v>1004</v>
      </c>
      <c r="M1562">
        <v>1.4598540145985399</v>
      </c>
      <c r="N1562" t="s">
        <v>1005</v>
      </c>
      <c r="O1562">
        <v>0</v>
      </c>
      <c r="P1562">
        <v>0</v>
      </c>
      <c r="Q1562">
        <v>0</v>
      </c>
      <c r="R1562">
        <v>0</v>
      </c>
    </row>
    <row r="1563" spans="1:18" ht="16" x14ac:dyDescent="0.2">
      <c r="A1563" s="130" t="s">
        <v>3909</v>
      </c>
      <c r="B1563" t="s">
        <v>158</v>
      </c>
      <c r="C1563" t="s">
        <v>1376</v>
      </c>
      <c r="D1563" t="s">
        <v>1377</v>
      </c>
      <c r="E1563" t="s">
        <v>1488</v>
      </c>
      <c r="F1563">
        <v>8</v>
      </c>
      <c r="G1563">
        <v>2</v>
      </c>
      <c r="H1563">
        <v>3.5313205531574301</v>
      </c>
      <c r="I1563" t="s">
        <v>957</v>
      </c>
      <c r="J1563" t="s">
        <v>4008</v>
      </c>
      <c r="K1563">
        <v>0.17142857142857101</v>
      </c>
      <c r="L1563" t="s">
        <v>959</v>
      </c>
      <c r="M1563">
        <v>9.4890510948905096</v>
      </c>
      <c r="N1563" t="s">
        <v>960</v>
      </c>
      <c r="O1563">
        <v>0</v>
      </c>
      <c r="P1563">
        <v>0</v>
      </c>
      <c r="Q1563">
        <v>0</v>
      </c>
      <c r="R1563">
        <v>0</v>
      </c>
    </row>
    <row r="1564" spans="1:18" ht="16" x14ac:dyDescent="0.2">
      <c r="A1564" s="130" t="s">
        <v>3909</v>
      </c>
      <c r="B1564" t="s">
        <v>158</v>
      </c>
      <c r="C1564" t="s">
        <v>2267</v>
      </c>
      <c r="D1564" t="s">
        <v>2268</v>
      </c>
      <c r="E1564">
        <v>3</v>
      </c>
      <c r="F1564">
        <v>3</v>
      </c>
      <c r="G1564">
        <v>1</v>
      </c>
      <c r="H1564">
        <v>3.13571669656922</v>
      </c>
      <c r="I1564" t="s">
        <v>957</v>
      </c>
      <c r="J1564" t="s">
        <v>4503</v>
      </c>
      <c r="K1564">
        <v>0.114285714285714</v>
      </c>
      <c r="L1564" t="s">
        <v>959</v>
      </c>
      <c r="M1564">
        <v>4.3795620437956204</v>
      </c>
      <c r="N1564" t="s">
        <v>960</v>
      </c>
      <c r="O1564">
        <v>0</v>
      </c>
      <c r="P1564" t="s">
        <v>5017</v>
      </c>
      <c r="Q1564">
        <v>0</v>
      </c>
      <c r="R1564">
        <v>0</v>
      </c>
    </row>
    <row r="1565" spans="1:18" ht="16" x14ac:dyDescent="0.2">
      <c r="A1565" s="130" t="s">
        <v>3909</v>
      </c>
      <c r="B1565" t="s">
        <v>158</v>
      </c>
      <c r="C1565" t="s">
        <v>1251</v>
      </c>
      <c r="D1565" t="s">
        <v>1252</v>
      </c>
      <c r="E1565">
        <v>5</v>
      </c>
      <c r="F1565">
        <v>5</v>
      </c>
      <c r="G1565">
        <v>1</v>
      </c>
      <c r="H1565">
        <v>3.47554792403086</v>
      </c>
      <c r="I1565" t="s">
        <v>957</v>
      </c>
      <c r="J1565" t="s">
        <v>4884</v>
      </c>
      <c r="K1565">
        <v>0.13571428571428601</v>
      </c>
      <c r="L1565" t="s">
        <v>959</v>
      </c>
      <c r="M1565">
        <v>5.8394160583941597</v>
      </c>
      <c r="N1565" t="s">
        <v>982</v>
      </c>
      <c r="O1565">
        <v>0</v>
      </c>
      <c r="P1565">
        <v>0</v>
      </c>
      <c r="Q1565">
        <v>0</v>
      </c>
      <c r="R1565">
        <v>0</v>
      </c>
    </row>
    <row r="1566" spans="1:18" ht="16" x14ac:dyDescent="0.2">
      <c r="A1566" s="130" t="s">
        <v>3909</v>
      </c>
      <c r="B1566" t="s">
        <v>158</v>
      </c>
      <c r="C1566" t="s">
        <v>983</v>
      </c>
      <c r="D1566" t="s">
        <v>984</v>
      </c>
      <c r="E1566">
        <v>3</v>
      </c>
      <c r="F1566">
        <v>3</v>
      </c>
      <c r="G1566">
        <v>1</v>
      </c>
      <c r="H1566">
        <v>3.59063886199454</v>
      </c>
      <c r="I1566" t="s">
        <v>957</v>
      </c>
      <c r="J1566" t="s">
        <v>4140</v>
      </c>
      <c r="K1566">
        <v>0.128571428571429</v>
      </c>
      <c r="L1566" t="s">
        <v>959</v>
      </c>
      <c r="M1566">
        <v>8.7591240875912408</v>
      </c>
      <c r="N1566" t="s">
        <v>982</v>
      </c>
      <c r="O1566">
        <v>0</v>
      </c>
      <c r="P1566">
        <v>0</v>
      </c>
      <c r="Q1566">
        <v>0</v>
      </c>
      <c r="R1566">
        <v>0</v>
      </c>
    </row>
    <row r="1567" spans="1:18" ht="16" x14ac:dyDescent="0.2">
      <c r="A1567" s="130" t="s">
        <v>3909</v>
      </c>
      <c r="B1567" t="s">
        <v>158</v>
      </c>
      <c r="C1567" t="s">
        <v>4351</v>
      </c>
      <c r="D1567" t="s">
        <v>4352</v>
      </c>
      <c r="E1567" t="s">
        <v>4495</v>
      </c>
      <c r="F1567">
        <v>22</v>
      </c>
      <c r="G1567">
        <v>2</v>
      </c>
      <c r="H1567">
        <v>3.1253962125491999</v>
      </c>
      <c r="I1567" t="s">
        <v>957</v>
      </c>
      <c r="J1567" t="s">
        <v>4496</v>
      </c>
      <c r="K1567">
        <v>0.33333333333333298</v>
      </c>
      <c r="L1567" t="s">
        <v>1004</v>
      </c>
      <c r="M1567">
        <v>5.10948905109489</v>
      </c>
      <c r="N1567" t="s">
        <v>1005</v>
      </c>
      <c r="O1567">
        <v>0</v>
      </c>
      <c r="P1567">
        <v>0</v>
      </c>
      <c r="Q1567">
        <v>0</v>
      </c>
      <c r="R1567">
        <v>0</v>
      </c>
    </row>
    <row r="1568" spans="1:18" ht="16" x14ac:dyDescent="0.2">
      <c r="A1568" s="130" t="s">
        <v>3909</v>
      </c>
      <c r="B1568" t="s">
        <v>158</v>
      </c>
      <c r="C1568" t="s">
        <v>2111</v>
      </c>
      <c r="D1568" t="s">
        <v>2112</v>
      </c>
      <c r="E1568" t="s">
        <v>1008</v>
      </c>
      <c r="F1568">
        <v>7</v>
      </c>
      <c r="G1568">
        <v>2</v>
      </c>
      <c r="H1568">
        <v>3.1368588670314699</v>
      </c>
      <c r="I1568" t="s">
        <v>957</v>
      </c>
      <c r="J1568" t="s">
        <v>4014</v>
      </c>
      <c r="K1568">
        <v>0.2</v>
      </c>
      <c r="L1568" t="s">
        <v>1004</v>
      </c>
      <c r="M1568">
        <v>7.2992700729926998</v>
      </c>
      <c r="N1568" t="s">
        <v>1005</v>
      </c>
      <c r="O1568">
        <v>0</v>
      </c>
      <c r="P1568">
        <v>0</v>
      </c>
      <c r="Q1568">
        <v>0</v>
      </c>
      <c r="R1568">
        <v>0</v>
      </c>
    </row>
    <row r="1569" spans="1:18" ht="16" x14ac:dyDescent="0.2">
      <c r="A1569" s="130" t="s">
        <v>3909</v>
      </c>
      <c r="B1569" t="s">
        <v>158</v>
      </c>
      <c r="C1569" t="s">
        <v>1547</v>
      </c>
      <c r="D1569" t="s">
        <v>1548</v>
      </c>
      <c r="E1569">
        <v>5</v>
      </c>
      <c r="F1569">
        <v>5</v>
      </c>
      <c r="G1569">
        <v>1</v>
      </c>
      <c r="H1569">
        <v>1.18120433874724</v>
      </c>
      <c r="I1569" t="s">
        <v>957</v>
      </c>
      <c r="J1569" t="s">
        <v>4672</v>
      </c>
      <c r="K1569">
        <v>5.7142857142857099E-2</v>
      </c>
      <c r="L1569" t="s">
        <v>959</v>
      </c>
      <c r="M1569">
        <v>8.0291970802919703</v>
      </c>
      <c r="N1569" t="s">
        <v>960</v>
      </c>
      <c r="O1569">
        <v>0</v>
      </c>
      <c r="P1569">
        <v>0</v>
      </c>
      <c r="Q1569">
        <v>0</v>
      </c>
      <c r="R1569">
        <v>0</v>
      </c>
    </row>
    <row r="1570" spans="1:18" ht="16" x14ac:dyDescent="0.2">
      <c r="A1570" s="130" t="s">
        <v>3909</v>
      </c>
      <c r="B1570" t="s">
        <v>158</v>
      </c>
      <c r="C1570" t="s">
        <v>4198</v>
      </c>
      <c r="D1570" t="s">
        <v>4289</v>
      </c>
      <c r="E1570" t="s">
        <v>4290</v>
      </c>
      <c r="F1570">
        <v>11</v>
      </c>
      <c r="G1570">
        <v>2</v>
      </c>
      <c r="H1570">
        <v>2.9761137487291598</v>
      </c>
      <c r="I1570" t="s">
        <v>957</v>
      </c>
      <c r="J1570" t="s">
        <v>4291</v>
      </c>
      <c r="K1570">
        <v>0.2</v>
      </c>
      <c r="L1570" t="s">
        <v>1004</v>
      </c>
      <c r="M1570">
        <v>2.9197080291970798</v>
      </c>
      <c r="N1570" t="s">
        <v>982</v>
      </c>
      <c r="O1570">
        <v>0</v>
      </c>
      <c r="P1570">
        <v>0</v>
      </c>
      <c r="Q1570">
        <v>0</v>
      </c>
      <c r="R1570">
        <v>0</v>
      </c>
    </row>
    <row r="1571" spans="1:18" ht="16" x14ac:dyDescent="0.2">
      <c r="A1571" s="130" t="s">
        <v>3909</v>
      </c>
      <c r="B1571" t="s">
        <v>158</v>
      </c>
      <c r="C1571" t="s">
        <v>310</v>
      </c>
      <c r="D1571" t="s">
        <v>1113</v>
      </c>
      <c r="E1571">
        <v>2</v>
      </c>
      <c r="F1571">
        <v>2</v>
      </c>
      <c r="G1571">
        <v>1</v>
      </c>
      <c r="H1571">
        <v>2.1947071984636599</v>
      </c>
      <c r="I1571" t="s">
        <v>957</v>
      </c>
      <c r="J1571" t="s">
        <v>4161</v>
      </c>
      <c r="K1571">
        <v>6.4285714285714293E-2</v>
      </c>
      <c r="L1571" t="s">
        <v>959</v>
      </c>
      <c r="M1571">
        <v>3.6496350364963499</v>
      </c>
      <c r="N1571" t="s">
        <v>960</v>
      </c>
      <c r="O1571">
        <v>0</v>
      </c>
      <c r="P1571">
        <v>0</v>
      </c>
      <c r="Q1571">
        <v>0</v>
      </c>
      <c r="R1571">
        <v>0</v>
      </c>
    </row>
    <row r="1572" spans="1:18" ht="16" x14ac:dyDescent="0.2">
      <c r="A1572" s="130" t="s">
        <v>3909</v>
      </c>
      <c r="B1572" t="s">
        <v>158</v>
      </c>
      <c r="C1572" t="s">
        <v>3664</v>
      </c>
      <c r="D1572" t="s">
        <v>3665</v>
      </c>
      <c r="E1572">
        <v>3</v>
      </c>
      <c r="F1572">
        <v>3</v>
      </c>
      <c r="G1572">
        <v>1</v>
      </c>
      <c r="H1572">
        <v>3.8496809309165099</v>
      </c>
      <c r="I1572" t="s">
        <v>957</v>
      </c>
      <c r="J1572" t="s">
        <v>4619</v>
      </c>
      <c r="K1572">
        <v>0.128571428571429</v>
      </c>
      <c r="L1572" t="s">
        <v>959</v>
      </c>
      <c r="M1572">
        <v>4.3795620437956204</v>
      </c>
      <c r="N1572" t="s">
        <v>960</v>
      </c>
      <c r="O1572">
        <v>0</v>
      </c>
      <c r="P1572">
        <v>0</v>
      </c>
      <c r="Q1572">
        <v>0</v>
      </c>
      <c r="R1572">
        <v>0</v>
      </c>
    </row>
    <row r="1573" spans="1:18" ht="16" x14ac:dyDescent="0.2">
      <c r="A1573" s="130" t="s">
        <v>3909</v>
      </c>
      <c r="B1573" t="s">
        <v>158</v>
      </c>
      <c r="C1573" t="s">
        <v>3100</v>
      </c>
      <c r="D1573" t="s">
        <v>3101</v>
      </c>
      <c r="E1573">
        <v>3</v>
      </c>
      <c r="F1573">
        <v>3</v>
      </c>
      <c r="G1573">
        <v>1</v>
      </c>
      <c r="H1573">
        <v>4.0890484007455701</v>
      </c>
      <c r="I1573" t="s">
        <v>957</v>
      </c>
      <c r="J1573" t="s">
        <v>3939</v>
      </c>
      <c r="K1573">
        <v>0.128571428571429</v>
      </c>
      <c r="L1573" t="s">
        <v>959</v>
      </c>
      <c r="M1573">
        <v>3.6496350364963499</v>
      </c>
      <c r="N1573" t="s">
        <v>960</v>
      </c>
      <c r="O1573">
        <v>0</v>
      </c>
      <c r="P1573">
        <v>0</v>
      </c>
      <c r="Q1573">
        <v>0</v>
      </c>
      <c r="R1573">
        <v>0</v>
      </c>
    </row>
    <row r="1574" spans="1:18" ht="16" x14ac:dyDescent="0.2">
      <c r="A1574" s="130" t="s">
        <v>3909</v>
      </c>
      <c r="B1574" t="s">
        <v>158</v>
      </c>
      <c r="C1574" t="s">
        <v>2773</v>
      </c>
      <c r="D1574" t="s">
        <v>2774</v>
      </c>
      <c r="E1574" t="s">
        <v>1022</v>
      </c>
      <c r="F1574">
        <v>3</v>
      </c>
      <c r="G1574">
        <v>2</v>
      </c>
      <c r="H1574">
        <v>1.2422341711447999</v>
      </c>
      <c r="I1574" t="s">
        <v>957</v>
      </c>
      <c r="J1574" t="s">
        <v>4049</v>
      </c>
      <c r="K1574">
        <v>0.20714285714285699</v>
      </c>
      <c r="L1574" t="s">
        <v>959</v>
      </c>
      <c r="M1574">
        <v>8.0291970802919703</v>
      </c>
      <c r="N1574" t="s">
        <v>960</v>
      </c>
      <c r="O1574">
        <v>0</v>
      </c>
      <c r="P1574">
        <v>0</v>
      </c>
      <c r="Q1574">
        <v>0</v>
      </c>
      <c r="R1574">
        <v>0</v>
      </c>
    </row>
    <row r="1575" spans="1:18" ht="16" x14ac:dyDescent="0.2">
      <c r="A1575" s="130" t="s">
        <v>3909</v>
      </c>
      <c r="B1575" t="s">
        <v>158</v>
      </c>
      <c r="C1575" t="s">
        <v>2937</v>
      </c>
      <c r="D1575" t="s">
        <v>2938</v>
      </c>
      <c r="E1575">
        <v>3</v>
      </c>
      <c r="F1575">
        <v>3</v>
      </c>
      <c r="G1575">
        <v>1</v>
      </c>
      <c r="H1575">
        <v>1.9518384329290701</v>
      </c>
      <c r="I1575" t="s">
        <v>957</v>
      </c>
      <c r="J1575" t="s">
        <v>4358</v>
      </c>
      <c r="K1575">
        <v>0.16428571428571401</v>
      </c>
      <c r="L1575" t="s">
        <v>959</v>
      </c>
      <c r="M1575">
        <v>7.2992700729926998</v>
      </c>
      <c r="N1575" t="s">
        <v>960</v>
      </c>
      <c r="O1575">
        <v>0</v>
      </c>
      <c r="P1575">
        <v>0</v>
      </c>
      <c r="Q1575">
        <v>0</v>
      </c>
      <c r="R1575">
        <v>0</v>
      </c>
    </row>
    <row r="1576" spans="1:18" ht="16" x14ac:dyDescent="0.2">
      <c r="A1576" s="130" t="s">
        <v>3909</v>
      </c>
      <c r="B1576" t="s">
        <v>158</v>
      </c>
      <c r="C1576" t="s">
        <v>1351</v>
      </c>
      <c r="D1576" t="s">
        <v>1352</v>
      </c>
      <c r="E1576">
        <v>3</v>
      </c>
      <c r="F1576">
        <v>3</v>
      </c>
      <c r="G1576">
        <v>1</v>
      </c>
      <c r="H1576">
        <v>2.2200743369976199</v>
      </c>
      <c r="I1576" t="s">
        <v>957</v>
      </c>
      <c r="J1576" t="s">
        <v>4384</v>
      </c>
      <c r="K1576">
        <v>0.1</v>
      </c>
      <c r="L1576" t="s">
        <v>959</v>
      </c>
      <c r="M1576">
        <v>3.6496350364963499</v>
      </c>
      <c r="N1576" t="s">
        <v>960</v>
      </c>
      <c r="O1576">
        <v>0</v>
      </c>
      <c r="P1576">
        <v>0</v>
      </c>
      <c r="Q1576">
        <v>0</v>
      </c>
      <c r="R1576">
        <v>0</v>
      </c>
    </row>
    <row r="1577" spans="1:18" ht="16" x14ac:dyDescent="0.2">
      <c r="A1577" s="130" t="s">
        <v>3909</v>
      </c>
      <c r="B1577" t="s">
        <v>158</v>
      </c>
      <c r="C1577" t="s">
        <v>2278</v>
      </c>
      <c r="D1577" t="s">
        <v>2279</v>
      </c>
      <c r="E1577">
        <v>3</v>
      </c>
      <c r="F1577">
        <v>3</v>
      </c>
      <c r="G1577">
        <v>1</v>
      </c>
      <c r="H1577">
        <v>3.9033312185795102</v>
      </c>
      <c r="I1577" t="s">
        <v>957</v>
      </c>
      <c r="J1577" t="s">
        <v>4274</v>
      </c>
      <c r="K1577">
        <v>0.13571428571428601</v>
      </c>
      <c r="L1577" t="s">
        <v>959</v>
      </c>
      <c r="M1577">
        <v>2.9197080291970798</v>
      </c>
      <c r="N1577" t="s">
        <v>960</v>
      </c>
      <c r="O1577">
        <v>0</v>
      </c>
      <c r="P1577">
        <v>0</v>
      </c>
      <c r="Q1577">
        <v>0</v>
      </c>
      <c r="R1577">
        <v>0</v>
      </c>
    </row>
    <row r="1578" spans="1:18" ht="16" x14ac:dyDescent="0.2">
      <c r="A1578" s="130" t="s">
        <v>3909</v>
      </c>
      <c r="B1578" t="s">
        <v>158</v>
      </c>
      <c r="C1578" t="s">
        <v>2400</v>
      </c>
      <c r="D1578" t="s">
        <v>2401</v>
      </c>
      <c r="E1578" t="s">
        <v>966</v>
      </c>
      <c r="F1578">
        <v>3</v>
      </c>
      <c r="G1578">
        <v>3</v>
      </c>
      <c r="H1578">
        <v>0.55549138099322404</v>
      </c>
      <c r="I1578" t="s">
        <v>957</v>
      </c>
      <c r="J1578" t="s">
        <v>4883</v>
      </c>
      <c r="K1578">
        <v>0.05</v>
      </c>
      <c r="L1578" t="s">
        <v>959</v>
      </c>
      <c r="M1578">
        <v>2.9197080291970798</v>
      </c>
      <c r="N1578" t="s">
        <v>960</v>
      </c>
      <c r="O1578">
        <v>0</v>
      </c>
      <c r="P1578">
        <v>0</v>
      </c>
      <c r="Q1578">
        <v>0</v>
      </c>
      <c r="R1578">
        <v>0</v>
      </c>
    </row>
    <row r="1579" spans="1:18" ht="16" x14ac:dyDescent="0.2">
      <c r="A1579" s="130" t="s">
        <v>3909</v>
      </c>
      <c r="B1579" t="s">
        <v>158</v>
      </c>
      <c r="C1579" t="s">
        <v>3044</v>
      </c>
      <c r="D1579" t="s">
        <v>3045</v>
      </c>
      <c r="E1579" t="s">
        <v>1052</v>
      </c>
      <c r="F1579">
        <v>2</v>
      </c>
      <c r="G1579">
        <v>2</v>
      </c>
      <c r="H1579">
        <v>0.288623131553158</v>
      </c>
      <c r="I1579" t="s">
        <v>957</v>
      </c>
      <c r="J1579" t="s">
        <v>4120</v>
      </c>
      <c r="K1579">
        <v>0.16428571428571401</v>
      </c>
      <c r="L1579" t="s">
        <v>959</v>
      </c>
      <c r="M1579">
        <v>8.7591240875912408</v>
      </c>
      <c r="N1579" t="s">
        <v>960</v>
      </c>
      <c r="O1579">
        <v>0</v>
      </c>
      <c r="P1579">
        <v>0</v>
      </c>
      <c r="Q1579">
        <v>0</v>
      </c>
      <c r="R1579">
        <v>0</v>
      </c>
    </row>
    <row r="1580" spans="1:18" ht="16" x14ac:dyDescent="0.2">
      <c r="A1580" s="130" t="s">
        <v>3909</v>
      </c>
      <c r="B1580" t="s">
        <v>158</v>
      </c>
      <c r="C1580" t="s">
        <v>2419</v>
      </c>
      <c r="D1580" t="s">
        <v>2420</v>
      </c>
      <c r="E1580" t="s">
        <v>1102</v>
      </c>
      <c r="F1580">
        <v>4</v>
      </c>
      <c r="G1580">
        <v>2</v>
      </c>
      <c r="H1580">
        <v>3.4601815056803198</v>
      </c>
      <c r="I1580" t="s">
        <v>957</v>
      </c>
      <c r="J1580" t="s">
        <v>4675</v>
      </c>
      <c r="K1580">
        <v>0.17857142857142899</v>
      </c>
      <c r="L1580" t="s">
        <v>959</v>
      </c>
      <c r="M1580">
        <v>9.4890510948905096</v>
      </c>
      <c r="N1580" t="s">
        <v>960</v>
      </c>
      <c r="O1580">
        <v>0</v>
      </c>
      <c r="P1580">
        <v>0</v>
      </c>
      <c r="Q1580">
        <v>0</v>
      </c>
      <c r="R1580">
        <v>0</v>
      </c>
    </row>
    <row r="1581" spans="1:18" ht="16" x14ac:dyDescent="0.2">
      <c r="A1581" s="130" t="s">
        <v>3909</v>
      </c>
      <c r="B1581" t="s">
        <v>158</v>
      </c>
      <c r="C1581" t="s">
        <v>1124</v>
      </c>
      <c r="D1581" t="s">
        <v>1125</v>
      </c>
      <c r="E1581" t="s">
        <v>1840</v>
      </c>
      <c r="F1581">
        <v>5</v>
      </c>
      <c r="G1581">
        <v>3</v>
      </c>
      <c r="H1581">
        <v>1.51136673829588</v>
      </c>
      <c r="I1581" t="s">
        <v>957</v>
      </c>
      <c r="J1581" t="s">
        <v>1126</v>
      </c>
      <c r="K1581">
        <v>5.7142857142857099E-2</v>
      </c>
      <c r="L1581" t="s">
        <v>959</v>
      </c>
      <c r="M1581">
        <v>8.7591240875912408</v>
      </c>
      <c r="N1581" t="s">
        <v>960</v>
      </c>
      <c r="O1581">
        <v>0</v>
      </c>
      <c r="P1581">
        <v>0</v>
      </c>
      <c r="Q1581">
        <v>0</v>
      </c>
      <c r="R1581">
        <v>0</v>
      </c>
    </row>
    <row r="1582" spans="1:18" ht="16" x14ac:dyDescent="0.2">
      <c r="A1582" s="130" t="s">
        <v>3909</v>
      </c>
      <c r="B1582" t="s">
        <v>158</v>
      </c>
      <c r="C1582" t="s">
        <v>1869</v>
      </c>
      <c r="D1582" t="s">
        <v>1870</v>
      </c>
      <c r="E1582" t="s">
        <v>1974</v>
      </c>
      <c r="F1582">
        <v>5</v>
      </c>
      <c r="G1582">
        <v>2</v>
      </c>
      <c r="H1582">
        <v>3.1749687690948099</v>
      </c>
      <c r="I1582" t="s">
        <v>957</v>
      </c>
      <c r="J1582" t="s">
        <v>4145</v>
      </c>
      <c r="K1582">
        <v>0.266666666666667</v>
      </c>
      <c r="L1582" t="s">
        <v>1004</v>
      </c>
      <c r="M1582">
        <v>6.5693430656934302</v>
      </c>
      <c r="N1582" t="s">
        <v>1005</v>
      </c>
      <c r="O1582">
        <v>0</v>
      </c>
      <c r="P1582">
        <v>0</v>
      </c>
      <c r="Q1582">
        <v>0</v>
      </c>
      <c r="R1582">
        <v>0</v>
      </c>
    </row>
    <row r="1583" spans="1:18" ht="16" x14ac:dyDescent="0.2">
      <c r="A1583" s="130" t="s">
        <v>3909</v>
      </c>
      <c r="B1583" t="s">
        <v>158</v>
      </c>
      <c r="C1583" t="s">
        <v>2313</v>
      </c>
      <c r="D1583" t="s">
        <v>2314</v>
      </c>
      <c r="E1583" t="s">
        <v>1039</v>
      </c>
      <c r="F1583">
        <v>3</v>
      </c>
      <c r="G1583">
        <v>2</v>
      </c>
      <c r="H1583">
        <v>3.7963587505870602</v>
      </c>
      <c r="I1583" t="s">
        <v>957</v>
      </c>
      <c r="J1583" t="s">
        <v>2687</v>
      </c>
      <c r="K1583">
        <v>0.128571428571429</v>
      </c>
      <c r="L1583" t="s">
        <v>959</v>
      </c>
      <c r="M1583">
        <v>5.10948905109489</v>
      </c>
      <c r="N1583" t="s">
        <v>960</v>
      </c>
      <c r="O1583">
        <v>0</v>
      </c>
      <c r="P1583">
        <v>0</v>
      </c>
      <c r="Q1583">
        <v>0</v>
      </c>
      <c r="R1583">
        <v>0</v>
      </c>
    </row>
    <row r="1584" spans="1:18" ht="16" x14ac:dyDescent="0.2">
      <c r="A1584" s="130" t="s">
        <v>3909</v>
      </c>
      <c r="B1584" t="s">
        <v>158</v>
      </c>
      <c r="C1584" t="s">
        <v>1430</v>
      </c>
      <c r="D1584" t="s">
        <v>5003</v>
      </c>
      <c r="E1584" t="s">
        <v>1917</v>
      </c>
      <c r="F1584">
        <v>5</v>
      </c>
      <c r="G1584">
        <v>3</v>
      </c>
      <c r="H1584">
        <v>4.0274633086118703</v>
      </c>
      <c r="I1584" t="s">
        <v>957</v>
      </c>
      <c r="J1584" t="s">
        <v>5004</v>
      </c>
      <c r="K1584">
        <v>0.15</v>
      </c>
      <c r="L1584" t="s">
        <v>959</v>
      </c>
      <c r="M1584">
        <v>6.5693430656934302</v>
      </c>
      <c r="N1584" t="s">
        <v>960</v>
      </c>
      <c r="O1584">
        <v>0</v>
      </c>
      <c r="P1584">
        <v>0</v>
      </c>
      <c r="Q1584">
        <v>0</v>
      </c>
      <c r="R1584">
        <v>0</v>
      </c>
    </row>
    <row r="1585" spans="1:18" ht="16" x14ac:dyDescent="0.2">
      <c r="A1585" s="130" t="s">
        <v>3909</v>
      </c>
      <c r="B1585" t="s">
        <v>158</v>
      </c>
      <c r="C1585" t="s">
        <v>4078</v>
      </c>
      <c r="D1585" t="s">
        <v>4079</v>
      </c>
      <c r="E1585" t="s">
        <v>1598</v>
      </c>
      <c r="F1585">
        <v>7</v>
      </c>
      <c r="G1585">
        <v>2</v>
      </c>
      <c r="H1585">
        <v>3.33463161542939</v>
      </c>
      <c r="I1585" t="s">
        <v>957</v>
      </c>
      <c r="J1585" t="s">
        <v>4981</v>
      </c>
      <c r="K1585">
        <v>0.266666666666667</v>
      </c>
      <c r="L1585" t="s">
        <v>1004</v>
      </c>
      <c r="M1585">
        <v>4.3795620437956204</v>
      </c>
      <c r="N1585" t="s">
        <v>1005</v>
      </c>
      <c r="O1585">
        <v>0</v>
      </c>
      <c r="P1585">
        <v>0</v>
      </c>
      <c r="Q1585">
        <v>0</v>
      </c>
      <c r="R1585">
        <v>0</v>
      </c>
    </row>
    <row r="1586" spans="1:18" ht="16" x14ac:dyDescent="0.2">
      <c r="A1586" s="130" t="s">
        <v>3909</v>
      </c>
      <c r="B1586" t="s">
        <v>158</v>
      </c>
      <c r="C1586" t="s">
        <v>3477</v>
      </c>
      <c r="D1586" t="s">
        <v>3478</v>
      </c>
      <c r="E1586">
        <v>4</v>
      </c>
      <c r="F1586">
        <v>4</v>
      </c>
      <c r="G1586">
        <v>1</v>
      </c>
      <c r="H1586">
        <v>4.0015891160030499</v>
      </c>
      <c r="I1586" t="s">
        <v>957</v>
      </c>
      <c r="J1586" t="s">
        <v>4888</v>
      </c>
      <c r="K1586">
        <v>0.185714285714286</v>
      </c>
      <c r="L1586" t="s">
        <v>959</v>
      </c>
      <c r="M1586">
        <v>6.5693430656934302</v>
      </c>
      <c r="N1586" t="s">
        <v>982</v>
      </c>
      <c r="O1586">
        <v>0</v>
      </c>
      <c r="P1586">
        <v>0</v>
      </c>
      <c r="Q1586">
        <v>0</v>
      </c>
      <c r="R1586">
        <v>0</v>
      </c>
    </row>
    <row r="1587" spans="1:18" ht="16" x14ac:dyDescent="0.2">
      <c r="A1587" s="130" t="s">
        <v>3909</v>
      </c>
      <c r="B1587" t="s">
        <v>158</v>
      </c>
      <c r="C1587" t="s">
        <v>2552</v>
      </c>
      <c r="D1587" t="s">
        <v>2553</v>
      </c>
      <c r="E1587" t="s">
        <v>1022</v>
      </c>
      <c r="F1587">
        <v>3</v>
      </c>
      <c r="G1587">
        <v>2</v>
      </c>
      <c r="H1587">
        <v>4.0757713088055496</v>
      </c>
      <c r="I1587" t="s">
        <v>957</v>
      </c>
      <c r="J1587" t="s">
        <v>4295</v>
      </c>
      <c r="K1587">
        <v>0.05</v>
      </c>
      <c r="L1587" t="s">
        <v>959</v>
      </c>
      <c r="M1587">
        <v>2.9197080291970798</v>
      </c>
      <c r="N1587" t="s">
        <v>960</v>
      </c>
      <c r="O1587">
        <v>0</v>
      </c>
      <c r="P1587">
        <v>0</v>
      </c>
      <c r="Q1587">
        <v>0</v>
      </c>
      <c r="R1587">
        <v>0</v>
      </c>
    </row>
    <row r="1588" spans="1:18" ht="16" x14ac:dyDescent="0.2">
      <c r="A1588" s="130" t="s">
        <v>3909</v>
      </c>
      <c r="B1588" t="s">
        <v>158</v>
      </c>
      <c r="C1588" t="s">
        <v>1041</v>
      </c>
      <c r="E1588" t="s">
        <v>1102</v>
      </c>
      <c r="F1588">
        <v>4</v>
      </c>
      <c r="G1588">
        <v>2</v>
      </c>
      <c r="H1588">
        <v>2.8493612150467298</v>
      </c>
      <c r="I1588" t="s">
        <v>957</v>
      </c>
      <c r="J1588" t="s">
        <v>4558</v>
      </c>
      <c r="K1588">
        <v>0.17142857142857101</v>
      </c>
      <c r="L1588" t="s">
        <v>959</v>
      </c>
      <c r="M1588">
        <v>6.5693430656934302</v>
      </c>
      <c r="N1588" t="s">
        <v>982</v>
      </c>
      <c r="O1588">
        <v>0</v>
      </c>
      <c r="P1588">
        <v>0</v>
      </c>
      <c r="Q1588">
        <v>0</v>
      </c>
      <c r="R1588">
        <v>0</v>
      </c>
    </row>
    <row r="1589" spans="1:18" ht="16" x14ac:dyDescent="0.2">
      <c r="A1589" s="130" t="s">
        <v>3909</v>
      </c>
      <c r="B1589" t="s">
        <v>158</v>
      </c>
      <c r="C1589" t="s">
        <v>3830</v>
      </c>
      <c r="D1589" t="s">
        <v>3831</v>
      </c>
      <c r="E1589" t="s">
        <v>1074</v>
      </c>
      <c r="F1589">
        <v>6</v>
      </c>
      <c r="G1589">
        <v>2</v>
      </c>
      <c r="H1589">
        <v>2.81306473411238</v>
      </c>
      <c r="I1589" t="s">
        <v>957</v>
      </c>
      <c r="J1589" t="s">
        <v>3956</v>
      </c>
      <c r="K1589">
        <v>0.17142857142857101</v>
      </c>
      <c r="L1589" t="s">
        <v>959</v>
      </c>
      <c r="M1589">
        <v>8.7591240875912408</v>
      </c>
      <c r="N1589" t="s">
        <v>982</v>
      </c>
      <c r="O1589">
        <v>0</v>
      </c>
      <c r="P1589">
        <v>0</v>
      </c>
      <c r="Q1589">
        <v>0</v>
      </c>
      <c r="R1589">
        <v>0</v>
      </c>
    </row>
    <row r="1590" spans="1:18" ht="16" x14ac:dyDescent="0.2">
      <c r="A1590" s="130" t="s">
        <v>3909</v>
      </c>
      <c r="B1590" t="s">
        <v>158</v>
      </c>
      <c r="C1590" t="s">
        <v>1512</v>
      </c>
      <c r="D1590" t="s">
        <v>1513</v>
      </c>
      <c r="E1590" t="s">
        <v>2857</v>
      </c>
      <c r="F1590">
        <v>6</v>
      </c>
      <c r="G1590">
        <v>2</v>
      </c>
      <c r="H1590">
        <v>3.09136564557422</v>
      </c>
      <c r="I1590" t="s">
        <v>957</v>
      </c>
      <c r="J1590" t="s">
        <v>4012</v>
      </c>
      <c r="K1590">
        <v>0.185714285714286</v>
      </c>
      <c r="L1590" t="s">
        <v>959</v>
      </c>
      <c r="M1590">
        <v>9.4890510948905096</v>
      </c>
      <c r="N1590" t="s">
        <v>960</v>
      </c>
      <c r="O1590">
        <v>0</v>
      </c>
      <c r="P1590">
        <v>0</v>
      </c>
      <c r="Q1590">
        <v>0</v>
      </c>
      <c r="R1590">
        <v>0</v>
      </c>
    </row>
    <row r="1591" spans="1:18" ht="16" x14ac:dyDescent="0.2">
      <c r="A1591" s="130" t="s">
        <v>3909</v>
      </c>
      <c r="B1591" t="s">
        <v>158</v>
      </c>
      <c r="C1591" t="s">
        <v>2980</v>
      </c>
      <c r="D1591" t="s">
        <v>2981</v>
      </c>
      <c r="E1591" t="s">
        <v>1488</v>
      </c>
      <c r="F1591">
        <v>8</v>
      </c>
      <c r="G1591">
        <v>2</v>
      </c>
      <c r="H1591">
        <v>3.2842833090238401</v>
      </c>
      <c r="I1591" t="s">
        <v>957</v>
      </c>
      <c r="J1591" t="s">
        <v>4754</v>
      </c>
      <c r="K1591">
        <v>0.133333333333333</v>
      </c>
      <c r="L1591" t="s">
        <v>1004</v>
      </c>
      <c r="M1591">
        <v>1.4598540145985399</v>
      </c>
      <c r="N1591" t="s">
        <v>1005</v>
      </c>
      <c r="O1591">
        <v>0</v>
      </c>
      <c r="P1591">
        <v>0</v>
      </c>
      <c r="Q1591">
        <v>0</v>
      </c>
      <c r="R1591">
        <v>0</v>
      </c>
    </row>
    <row r="1592" spans="1:18" ht="16" x14ac:dyDescent="0.2">
      <c r="A1592" s="130" t="s">
        <v>3909</v>
      </c>
      <c r="B1592" t="s">
        <v>158</v>
      </c>
      <c r="C1592" t="s">
        <v>3972</v>
      </c>
      <c r="D1592" t="s">
        <v>3973</v>
      </c>
      <c r="E1592" t="s">
        <v>3442</v>
      </c>
      <c r="F1592">
        <v>9</v>
      </c>
      <c r="G1592">
        <v>2</v>
      </c>
      <c r="H1592">
        <v>2.86196367705897</v>
      </c>
      <c r="I1592" t="s">
        <v>957</v>
      </c>
      <c r="J1592" t="s">
        <v>4978</v>
      </c>
      <c r="K1592">
        <v>0.133333333333333</v>
      </c>
      <c r="L1592" t="s">
        <v>1004</v>
      </c>
      <c r="M1592">
        <v>3.6496350364963499</v>
      </c>
      <c r="N1592" t="s">
        <v>1005</v>
      </c>
      <c r="O1592">
        <v>0</v>
      </c>
      <c r="P1592">
        <v>0</v>
      </c>
      <c r="Q1592">
        <v>0</v>
      </c>
      <c r="R1592">
        <v>0</v>
      </c>
    </row>
    <row r="1593" spans="1:18" ht="16" x14ac:dyDescent="0.2">
      <c r="A1593" s="130" t="s">
        <v>3909</v>
      </c>
      <c r="B1593" t="s">
        <v>158</v>
      </c>
      <c r="C1593" t="s">
        <v>2074</v>
      </c>
      <c r="D1593" t="s">
        <v>2075</v>
      </c>
      <c r="E1593">
        <v>3</v>
      </c>
      <c r="F1593">
        <v>3</v>
      </c>
      <c r="G1593">
        <v>1</v>
      </c>
      <c r="H1593">
        <v>4.0743582202674098</v>
      </c>
      <c r="I1593" t="s">
        <v>957</v>
      </c>
      <c r="J1593" t="s">
        <v>2076</v>
      </c>
      <c r="K1593">
        <v>0.128571428571429</v>
      </c>
      <c r="L1593" t="s">
        <v>959</v>
      </c>
      <c r="M1593">
        <v>5.8394160583941597</v>
      </c>
      <c r="N1593" t="s">
        <v>982</v>
      </c>
      <c r="O1593">
        <v>0</v>
      </c>
      <c r="P1593">
        <v>0</v>
      </c>
      <c r="Q1593">
        <v>0</v>
      </c>
      <c r="R1593">
        <v>0</v>
      </c>
    </row>
    <row r="1594" spans="1:18" ht="16" x14ac:dyDescent="0.2">
      <c r="A1594" s="130" t="s">
        <v>3909</v>
      </c>
      <c r="B1594" t="s">
        <v>158</v>
      </c>
      <c r="C1594" t="s">
        <v>2814</v>
      </c>
      <c r="D1594" t="s">
        <v>2815</v>
      </c>
      <c r="E1594" t="s">
        <v>1085</v>
      </c>
      <c r="F1594">
        <v>5</v>
      </c>
      <c r="G1594">
        <v>2</v>
      </c>
      <c r="H1594">
        <v>3.7282362051598099</v>
      </c>
      <c r="I1594" t="s">
        <v>957</v>
      </c>
      <c r="J1594" t="s">
        <v>4476</v>
      </c>
      <c r="K1594">
        <v>0.15</v>
      </c>
      <c r="L1594" t="s">
        <v>959</v>
      </c>
      <c r="M1594">
        <v>7.2992700729926998</v>
      </c>
      <c r="N1594" t="s">
        <v>960</v>
      </c>
      <c r="O1594">
        <v>0</v>
      </c>
      <c r="P1594">
        <v>0</v>
      </c>
      <c r="Q1594">
        <v>0</v>
      </c>
      <c r="R1594">
        <v>0</v>
      </c>
    </row>
    <row r="1595" spans="1:18" ht="16" x14ac:dyDescent="0.2">
      <c r="A1595" s="130" t="s">
        <v>3909</v>
      </c>
      <c r="B1595" t="s">
        <v>158</v>
      </c>
      <c r="C1595" t="s">
        <v>3437</v>
      </c>
      <c r="D1595" t="s">
        <v>3438</v>
      </c>
      <c r="E1595">
        <v>3</v>
      </c>
      <c r="F1595">
        <v>3</v>
      </c>
      <c r="G1595">
        <v>1</v>
      </c>
      <c r="H1595">
        <v>3.2059211558678902</v>
      </c>
      <c r="I1595" t="s">
        <v>957</v>
      </c>
      <c r="J1595" t="s">
        <v>3439</v>
      </c>
      <c r="K1595">
        <v>0.107142857142857</v>
      </c>
      <c r="L1595" t="s">
        <v>959</v>
      </c>
      <c r="M1595">
        <v>3.6496350364963499</v>
      </c>
      <c r="N1595" t="s">
        <v>982</v>
      </c>
      <c r="O1595">
        <v>0</v>
      </c>
      <c r="P1595">
        <v>0</v>
      </c>
      <c r="Q1595">
        <v>0</v>
      </c>
      <c r="R1595">
        <v>0</v>
      </c>
    </row>
    <row r="1596" spans="1:18" ht="16" x14ac:dyDescent="0.2">
      <c r="A1596" s="130" t="s">
        <v>3909</v>
      </c>
      <c r="B1596" t="s">
        <v>158</v>
      </c>
      <c r="C1596" t="s">
        <v>1941</v>
      </c>
      <c r="D1596" t="s">
        <v>1942</v>
      </c>
      <c r="E1596">
        <v>4</v>
      </c>
      <c r="F1596">
        <v>4</v>
      </c>
      <c r="G1596">
        <v>1</v>
      </c>
      <c r="H1596">
        <v>3.9726898762268501</v>
      </c>
      <c r="I1596" t="s">
        <v>957</v>
      </c>
      <c r="J1596" t="s">
        <v>4271</v>
      </c>
      <c r="K1596">
        <v>0.121428571428571</v>
      </c>
      <c r="L1596" t="s">
        <v>959</v>
      </c>
      <c r="M1596">
        <v>8.0291970802919703</v>
      </c>
      <c r="N1596" t="s">
        <v>982</v>
      </c>
      <c r="O1596">
        <v>0</v>
      </c>
      <c r="P1596">
        <v>0</v>
      </c>
      <c r="Q1596">
        <v>0</v>
      </c>
      <c r="R1596">
        <v>0</v>
      </c>
    </row>
    <row r="1597" spans="1:18" ht="16" x14ac:dyDescent="0.2">
      <c r="A1597" s="130" t="s">
        <v>3909</v>
      </c>
      <c r="B1597" t="s">
        <v>158</v>
      </c>
      <c r="C1597" t="s">
        <v>2877</v>
      </c>
      <c r="D1597" t="s">
        <v>2878</v>
      </c>
      <c r="E1597">
        <v>3</v>
      </c>
      <c r="F1597">
        <v>3</v>
      </c>
      <c r="G1597">
        <v>1</v>
      </c>
      <c r="H1597">
        <v>1.6973829445203801</v>
      </c>
      <c r="I1597" t="s">
        <v>957</v>
      </c>
      <c r="J1597" t="s">
        <v>4142</v>
      </c>
      <c r="K1597">
        <v>0.128571428571429</v>
      </c>
      <c r="L1597" t="s">
        <v>959</v>
      </c>
      <c r="M1597">
        <v>9.4890510948905096</v>
      </c>
      <c r="N1597" t="s">
        <v>960</v>
      </c>
      <c r="O1597">
        <v>0</v>
      </c>
      <c r="P1597" t="s">
        <v>5018</v>
      </c>
      <c r="Q1597">
        <v>0</v>
      </c>
      <c r="R1597">
        <v>0</v>
      </c>
    </row>
    <row r="1598" spans="1:18" ht="16" x14ac:dyDescent="0.2">
      <c r="A1598" s="130" t="s">
        <v>3909</v>
      </c>
      <c r="B1598" t="s">
        <v>162</v>
      </c>
      <c r="C1598" t="s">
        <v>1724</v>
      </c>
      <c r="D1598" t="s">
        <v>1725</v>
      </c>
      <c r="E1598" t="s">
        <v>1039</v>
      </c>
      <c r="F1598">
        <v>3</v>
      </c>
      <c r="G1598">
        <v>2</v>
      </c>
      <c r="H1598">
        <v>3.0847753087074001</v>
      </c>
      <c r="I1598" t="s">
        <v>957</v>
      </c>
      <c r="J1598" t="s">
        <v>3789</v>
      </c>
      <c r="K1598">
        <v>0.128571428571429</v>
      </c>
      <c r="L1598" t="s">
        <v>959</v>
      </c>
      <c r="M1598">
        <v>5.10948905109489</v>
      </c>
      <c r="N1598" t="s">
        <v>960</v>
      </c>
      <c r="O1598">
        <v>0</v>
      </c>
      <c r="P1598">
        <v>0</v>
      </c>
      <c r="Q1598">
        <v>0</v>
      </c>
      <c r="R1598">
        <v>0</v>
      </c>
    </row>
    <row r="1599" spans="1:18" ht="16" x14ac:dyDescent="0.2">
      <c r="A1599" s="130" t="s">
        <v>3909</v>
      </c>
      <c r="B1599" t="s">
        <v>162</v>
      </c>
      <c r="C1599" t="s">
        <v>1376</v>
      </c>
      <c r="D1599" t="s">
        <v>1377</v>
      </c>
      <c r="E1599">
        <v>6</v>
      </c>
      <c r="F1599">
        <v>6</v>
      </c>
      <c r="G1599">
        <v>1</v>
      </c>
      <c r="H1599">
        <v>3.0451997297139299</v>
      </c>
      <c r="I1599" t="s">
        <v>957</v>
      </c>
      <c r="J1599" t="s">
        <v>4724</v>
      </c>
      <c r="K1599">
        <v>0.17142857142857101</v>
      </c>
      <c r="L1599" t="s">
        <v>959</v>
      </c>
      <c r="M1599">
        <v>9.4890510948905096</v>
      </c>
      <c r="N1599" t="s">
        <v>960</v>
      </c>
      <c r="O1599">
        <v>0</v>
      </c>
      <c r="P1599">
        <v>0</v>
      </c>
      <c r="Q1599">
        <v>0</v>
      </c>
      <c r="R1599">
        <v>0</v>
      </c>
    </row>
    <row r="1600" spans="1:18" ht="16" x14ac:dyDescent="0.2">
      <c r="A1600" s="130" t="s">
        <v>3909</v>
      </c>
      <c r="B1600" t="s">
        <v>162</v>
      </c>
      <c r="C1600" t="s">
        <v>1751</v>
      </c>
      <c r="D1600" t="s">
        <v>1752</v>
      </c>
      <c r="E1600" t="s">
        <v>1692</v>
      </c>
      <c r="F1600">
        <v>5</v>
      </c>
      <c r="G1600">
        <v>2</v>
      </c>
      <c r="H1600">
        <v>1.98080706537623</v>
      </c>
      <c r="I1600" t="s">
        <v>957</v>
      </c>
      <c r="J1600" t="s">
        <v>3976</v>
      </c>
      <c r="K1600">
        <v>0.266666666666667</v>
      </c>
      <c r="L1600" t="s">
        <v>1004</v>
      </c>
      <c r="M1600">
        <v>2.9197080291970798</v>
      </c>
      <c r="N1600" t="s">
        <v>1005</v>
      </c>
      <c r="O1600">
        <v>0</v>
      </c>
      <c r="P1600">
        <v>0</v>
      </c>
      <c r="Q1600">
        <v>0</v>
      </c>
      <c r="R1600">
        <v>0</v>
      </c>
    </row>
    <row r="1601" spans="1:18" ht="16" x14ac:dyDescent="0.2">
      <c r="A1601" s="130" t="s">
        <v>3909</v>
      </c>
      <c r="B1601" t="s">
        <v>162</v>
      </c>
      <c r="C1601" t="s">
        <v>1251</v>
      </c>
      <c r="D1601" t="s">
        <v>1252</v>
      </c>
      <c r="E1601" t="s">
        <v>1438</v>
      </c>
      <c r="F1601">
        <v>8</v>
      </c>
      <c r="G1601">
        <v>2</v>
      </c>
      <c r="H1601">
        <v>2.9847421946994999</v>
      </c>
      <c r="I1601" t="s">
        <v>957</v>
      </c>
      <c r="J1601" t="s">
        <v>4150</v>
      </c>
      <c r="K1601">
        <v>0.4</v>
      </c>
      <c r="L1601" t="s">
        <v>1004</v>
      </c>
      <c r="M1601">
        <v>5.8394160583941597</v>
      </c>
      <c r="N1601" t="s">
        <v>982</v>
      </c>
      <c r="O1601">
        <v>0</v>
      </c>
      <c r="P1601">
        <v>0</v>
      </c>
      <c r="Q1601">
        <v>0</v>
      </c>
      <c r="R1601">
        <v>0</v>
      </c>
    </row>
    <row r="1602" spans="1:18" ht="16" x14ac:dyDescent="0.2">
      <c r="A1602" s="130" t="s">
        <v>3909</v>
      </c>
      <c r="B1602" t="s">
        <v>162</v>
      </c>
      <c r="C1602" t="s">
        <v>2303</v>
      </c>
      <c r="D1602" t="s">
        <v>2304</v>
      </c>
      <c r="E1602" t="s">
        <v>1052</v>
      </c>
      <c r="F1602">
        <v>2</v>
      </c>
      <c r="G1602">
        <v>2</v>
      </c>
      <c r="H1602">
        <v>3.0577012291024799</v>
      </c>
      <c r="I1602" t="s">
        <v>957</v>
      </c>
      <c r="J1602" t="s">
        <v>4141</v>
      </c>
      <c r="K1602">
        <v>0.15</v>
      </c>
      <c r="L1602" t="s">
        <v>959</v>
      </c>
      <c r="M1602">
        <v>3.6496350364963499</v>
      </c>
      <c r="N1602" t="s">
        <v>960</v>
      </c>
      <c r="O1602">
        <v>0</v>
      </c>
      <c r="P1602">
        <v>0</v>
      </c>
      <c r="Q1602">
        <v>0</v>
      </c>
      <c r="R1602">
        <v>0</v>
      </c>
    </row>
    <row r="1603" spans="1:18" ht="16" x14ac:dyDescent="0.2">
      <c r="A1603" s="130" t="s">
        <v>3909</v>
      </c>
      <c r="B1603" t="s">
        <v>162</v>
      </c>
      <c r="C1603" t="s">
        <v>4996</v>
      </c>
      <c r="D1603" t="s">
        <v>4997</v>
      </c>
      <c r="E1603" t="s">
        <v>3008</v>
      </c>
      <c r="F1603">
        <v>10</v>
      </c>
      <c r="G1603">
        <v>2</v>
      </c>
      <c r="H1603">
        <v>3.2716854457180702</v>
      </c>
      <c r="I1603" t="s">
        <v>957</v>
      </c>
      <c r="J1603" t="s">
        <v>4998</v>
      </c>
      <c r="K1603">
        <v>0.2</v>
      </c>
      <c r="L1603" t="s">
        <v>1004</v>
      </c>
      <c r="M1603">
        <v>0.72992700729926996</v>
      </c>
      <c r="N1603" t="s">
        <v>1005</v>
      </c>
      <c r="O1603">
        <v>0</v>
      </c>
      <c r="P1603" t="s">
        <v>5018</v>
      </c>
      <c r="Q1603">
        <v>0</v>
      </c>
      <c r="R1603">
        <v>0</v>
      </c>
    </row>
    <row r="1604" spans="1:18" ht="16" x14ac:dyDescent="0.2">
      <c r="A1604" s="130" t="s">
        <v>3909</v>
      </c>
      <c r="B1604" t="s">
        <v>162</v>
      </c>
      <c r="C1604" t="s">
        <v>1214</v>
      </c>
      <c r="D1604" t="s">
        <v>1215</v>
      </c>
      <c r="E1604">
        <v>3</v>
      </c>
      <c r="F1604">
        <v>3</v>
      </c>
      <c r="G1604">
        <v>1</v>
      </c>
      <c r="H1604">
        <v>3.6449325823883298</v>
      </c>
      <c r="I1604" t="s">
        <v>957</v>
      </c>
      <c r="J1604" t="s">
        <v>3567</v>
      </c>
      <c r="K1604">
        <v>7.8571428571428598E-2</v>
      </c>
      <c r="L1604" t="s">
        <v>959</v>
      </c>
      <c r="M1604">
        <v>3.6496350364963499</v>
      </c>
      <c r="N1604" t="s">
        <v>982</v>
      </c>
      <c r="O1604">
        <v>0</v>
      </c>
      <c r="P1604">
        <v>0</v>
      </c>
      <c r="Q1604">
        <v>0</v>
      </c>
      <c r="R1604">
        <v>0</v>
      </c>
    </row>
    <row r="1605" spans="1:18" ht="16" x14ac:dyDescent="0.2">
      <c r="A1605" s="130" t="s">
        <v>3909</v>
      </c>
      <c r="B1605" t="s">
        <v>162</v>
      </c>
      <c r="C1605" t="s">
        <v>2316</v>
      </c>
      <c r="D1605" t="s">
        <v>2317</v>
      </c>
      <c r="E1605" t="s">
        <v>1052</v>
      </c>
      <c r="F1605">
        <v>2</v>
      </c>
      <c r="G1605">
        <v>2</v>
      </c>
      <c r="H1605">
        <v>1.40733116649844</v>
      </c>
      <c r="I1605" t="s">
        <v>957</v>
      </c>
      <c r="J1605" t="s">
        <v>3981</v>
      </c>
      <c r="K1605">
        <v>0.192857142857143</v>
      </c>
      <c r="L1605" t="s">
        <v>959</v>
      </c>
      <c r="M1605">
        <v>8.7591240875912408</v>
      </c>
      <c r="N1605" t="s">
        <v>982</v>
      </c>
      <c r="O1605">
        <v>0</v>
      </c>
      <c r="P1605">
        <v>0</v>
      </c>
      <c r="Q1605">
        <v>0</v>
      </c>
      <c r="R1605">
        <v>0</v>
      </c>
    </row>
    <row r="1606" spans="1:18" ht="16" x14ac:dyDescent="0.2">
      <c r="A1606" s="130" t="s">
        <v>3909</v>
      </c>
      <c r="B1606" t="s">
        <v>162</v>
      </c>
      <c r="C1606" t="s">
        <v>1547</v>
      </c>
      <c r="D1606" t="s">
        <v>1548</v>
      </c>
      <c r="E1606" t="s">
        <v>2014</v>
      </c>
      <c r="F1606">
        <v>11</v>
      </c>
      <c r="G1606">
        <v>2</v>
      </c>
      <c r="H1606">
        <v>1.0879419779750601</v>
      </c>
      <c r="I1606" t="s">
        <v>957</v>
      </c>
      <c r="J1606" t="s">
        <v>4006</v>
      </c>
      <c r="K1606">
        <v>0.33333333333333298</v>
      </c>
      <c r="L1606" t="s">
        <v>1004</v>
      </c>
      <c r="M1606">
        <v>8.0291970802919703</v>
      </c>
      <c r="N1606" t="s">
        <v>1005</v>
      </c>
      <c r="O1606">
        <v>0</v>
      </c>
      <c r="P1606">
        <v>0</v>
      </c>
      <c r="Q1606">
        <v>0</v>
      </c>
      <c r="R1606">
        <v>0</v>
      </c>
    </row>
    <row r="1607" spans="1:18" ht="16" x14ac:dyDescent="0.2">
      <c r="A1607" s="130" t="s">
        <v>3909</v>
      </c>
      <c r="B1607" t="s">
        <v>162</v>
      </c>
      <c r="C1607" t="s">
        <v>2242</v>
      </c>
      <c r="D1607" t="s">
        <v>2243</v>
      </c>
      <c r="E1607" t="s">
        <v>1216</v>
      </c>
      <c r="F1607">
        <v>7</v>
      </c>
      <c r="G1607">
        <v>2</v>
      </c>
      <c r="H1607">
        <v>1.2655862234770801</v>
      </c>
      <c r="I1607" t="s">
        <v>957</v>
      </c>
      <c r="J1607" t="s">
        <v>4454</v>
      </c>
      <c r="K1607">
        <v>0.33333333333333298</v>
      </c>
      <c r="L1607" t="s">
        <v>1004</v>
      </c>
      <c r="M1607">
        <v>7.2992700729926998</v>
      </c>
      <c r="N1607" t="s">
        <v>1005</v>
      </c>
      <c r="O1607">
        <v>0</v>
      </c>
      <c r="P1607">
        <v>0</v>
      </c>
      <c r="Q1607">
        <v>0</v>
      </c>
      <c r="R1607">
        <v>0</v>
      </c>
    </row>
    <row r="1608" spans="1:18" ht="16" x14ac:dyDescent="0.2">
      <c r="A1608" s="130" t="s">
        <v>3909</v>
      </c>
      <c r="B1608" t="s">
        <v>162</v>
      </c>
      <c r="C1608" t="s">
        <v>2322</v>
      </c>
      <c r="D1608" t="s">
        <v>2323</v>
      </c>
      <c r="E1608" t="s">
        <v>1085</v>
      </c>
      <c r="F1608">
        <v>5</v>
      </c>
      <c r="G1608">
        <v>2</v>
      </c>
      <c r="H1608">
        <v>1.9777861186272101</v>
      </c>
      <c r="I1608" t="s">
        <v>957</v>
      </c>
      <c r="J1608" t="s">
        <v>4732</v>
      </c>
      <c r="K1608">
        <v>0.33333333333333298</v>
      </c>
      <c r="L1608" t="s">
        <v>1004</v>
      </c>
      <c r="M1608">
        <v>6.5693430656934302</v>
      </c>
      <c r="N1608" t="s">
        <v>982</v>
      </c>
      <c r="O1608">
        <v>0</v>
      </c>
      <c r="P1608">
        <v>0</v>
      </c>
      <c r="Q1608">
        <v>0</v>
      </c>
      <c r="R1608">
        <v>0</v>
      </c>
    </row>
    <row r="1609" spans="1:18" ht="16" x14ac:dyDescent="0.2">
      <c r="A1609" s="130" t="s">
        <v>3909</v>
      </c>
      <c r="B1609" t="s">
        <v>162</v>
      </c>
      <c r="C1609" t="s">
        <v>1660</v>
      </c>
      <c r="D1609" t="s">
        <v>1661</v>
      </c>
      <c r="E1609" t="s">
        <v>1074</v>
      </c>
      <c r="F1609">
        <v>6</v>
      </c>
      <c r="G1609">
        <v>2</v>
      </c>
      <c r="H1609">
        <v>3.3235149516719402</v>
      </c>
      <c r="I1609" t="s">
        <v>957</v>
      </c>
      <c r="J1609" t="s">
        <v>4845</v>
      </c>
      <c r="K1609">
        <v>0.2</v>
      </c>
      <c r="L1609" t="s">
        <v>1004</v>
      </c>
      <c r="M1609">
        <v>4.3795620437956204</v>
      </c>
      <c r="N1609" t="s">
        <v>982</v>
      </c>
      <c r="O1609">
        <v>0</v>
      </c>
      <c r="P1609">
        <v>0</v>
      </c>
      <c r="Q1609">
        <v>0</v>
      </c>
      <c r="R1609">
        <v>0</v>
      </c>
    </row>
    <row r="1610" spans="1:18" ht="16" x14ac:dyDescent="0.2">
      <c r="A1610" s="130" t="s">
        <v>3909</v>
      </c>
      <c r="B1610" t="s">
        <v>162</v>
      </c>
      <c r="C1610" t="s">
        <v>3066</v>
      </c>
      <c r="D1610" t="s">
        <v>3067</v>
      </c>
      <c r="E1610" t="s">
        <v>1442</v>
      </c>
      <c r="F1610">
        <v>5</v>
      </c>
      <c r="G1610">
        <v>2</v>
      </c>
      <c r="H1610">
        <v>3.44431329472433</v>
      </c>
      <c r="I1610" t="s">
        <v>957</v>
      </c>
      <c r="J1610" t="s">
        <v>4397</v>
      </c>
      <c r="K1610">
        <v>0.266666666666667</v>
      </c>
      <c r="L1610" t="s">
        <v>1004</v>
      </c>
      <c r="M1610">
        <v>2.1897810218978102</v>
      </c>
      <c r="N1610" t="s">
        <v>1005</v>
      </c>
      <c r="O1610">
        <v>0</v>
      </c>
      <c r="P1610">
        <v>0</v>
      </c>
      <c r="Q1610">
        <v>0</v>
      </c>
      <c r="R1610">
        <v>0</v>
      </c>
    </row>
    <row r="1611" spans="1:18" ht="16" x14ac:dyDescent="0.2">
      <c r="A1611" s="130" t="s">
        <v>3909</v>
      </c>
      <c r="B1611" t="s">
        <v>162</v>
      </c>
      <c r="C1611" t="s">
        <v>2203</v>
      </c>
      <c r="D1611" t="s">
        <v>2204</v>
      </c>
      <c r="E1611" t="s">
        <v>1974</v>
      </c>
      <c r="F1611">
        <v>5</v>
      </c>
      <c r="G1611">
        <v>2</v>
      </c>
      <c r="H1611">
        <v>1.5617376188860601</v>
      </c>
      <c r="I1611" t="s">
        <v>957</v>
      </c>
      <c r="J1611" t="s">
        <v>4556</v>
      </c>
      <c r="K1611">
        <v>0.4</v>
      </c>
      <c r="L1611" t="s">
        <v>1004</v>
      </c>
      <c r="M1611">
        <v>2.9197080291970798</v>
      </c>
      <c r="N1611" t="s">
        <v>1005</v>
      </c>
      <c r="O1611">
        <v>0</v>
      </c>
      <c r="P1611">
        <v>0</v>
      </c>
      <c r="Q1611">
        <v>0</v>
      </c>
      <c r="R1611">
        <v>0</v>
      </c>
    </row>
    <row r="1612" spans="1:18" ht="16" x14ac:dyDescent="0.2">
      <c r="A1612" s="130" t="s">
        <v>3909</v>
      </c>
      <c r="B1612" t="s">
        <v>162</v>
      </c>
      <c r="C1612" t="s">
        <v>4109</v>
      </c>
      <c r="D1612" t="s">
        <v>4110</v>
      </c>
      <c r="E1612" t="s">
        <v>2857</v>
      </c>
      <c r="F1612">
        <v>6</v>
      </c>
      <c r="G1612">
        <v>2</v>
      </c>
      <c r="H1612">
        <v>2.87829234769224</v>
      </c>
      <c r="I1612" t="s">
        <v>957</v>
      </c>
      <c r="J1612" t="s">
        <v>4111</v>
      </c>
      <c r="K1612">
        <v>0.2</v>
      </c>
      <c r="L1612" t="s">
        <v>1004</v>
      </c>
      <c r="M1612">
        <v>0.72992700729926996</v>
      </c>
      <c r="N1612" t="s">
        <v>1005</v>
      </c>
      <c r="O1612">
        <v>0</v>
      </c>
      <c r="P1612">
        <v>0</v>
      </c>
      <c r="Q1612">
        <v>0</v>
      </c>
      <c r="R1612">
        <v>0</v>
      </c>
    </row>
    <row r="1613" spans="1:18" ht="16" x14ac:dyDescent="0.2">
      <c r="A1613" s="130" t="s">
        <v>3909</v>
      </c>
      <c r="B1613" t="s">
        <v>162</v>
      </c>
      <c r="C1613" t="s">
        <v>3998</v>
      </c>
      <c r="D1613" t="s">
        <v>3999</v>
      </c>
      <c r="E1613" t="s">
        <v>1216</v>
      </c>
      <c r="F1613">
        <v>7</v>
      </c>
      <c r="G1613">
        <v>2</v>
      </c>
      <c r="H1613">
        <v>2.3926827512067801</v>
      </c>
      <c r="I1613" t="s">
        <v>957</v>
      </c>
      <c r="J1613" t="s">
        <v>4000</v>
      </c>
      <c r="K1613">
        <v>0.33333333333333298</v>
      </c>
      <c r="L1613" t="s">
        <v>1004</v>
      </c>
      <c r="M1613">
        <v>0.72992700729926996</v>
      </c>
      <c r="N1613" t="s">
        <v>1005</v>
      </c>
      <c r="O1613">
        <v>0</v>
      </c>
      <c r="P1613">
        <v>0</v>
      </c>
      <c r="Q1613">
        <v>0</v>
      </c>
      <c r="R1613">
        <v>0</v>
      </c>
    </row>
    <row r="1614" spans="1:18" ht="16" x14ac:dyDescent="0.2">
      <c r="A1614" s="130" t="s">
        <v>3909</v>
      </c>
      <c r="B1614" t="s">
        <v>162</v>
      </c>
      <c r="C1614" t="s">
        <v>3664</v>
      </c>
      <c r="D1614" t="s">
        <v>4607</v>
      </c>
      <c r="E1614" t="s">
        <v>1002</v>
      </c>
      <c r="F1614">
        <v>12</v>
      </c>
      <c r="G1614">
        <v>2</v>
      </c>
      <c r="H1614">
        <v>3.2071349029490901</v>
      </c>
      <c r="I1614" t="s">
        <v>957</v>
      </c>
      <c r="J1614" t="s">
        <v>4608</v>
      </c>
      <c r="K1614">
        <v>0.266666666666667</v>
      </c>
      <c r="L1614" t="s">
        <v>1004</v>
      </c>
      <c r="M1614">
        <v>4.3795620437956204</v>
      </c>
      <c r="N1614" t="s">
        <v>1005</v>
      </c>
      <c r="O1614">
        <v>0</v>
      </c>
      <c r="P1614">
        <v>0</v>
      </c>
      <c r="Q1614">
        <v>0</v>
      </c>
      <c r="R1614">
        <v>0</v>
      </c>
    </row>
    <row r="1615" spans="1:18" ht="16" x14ac:dyDescent="0.2">
      <c r="A1615" s="130" t="s">
        <v>3909</v>
      </c>
      <c r="B1615" t="s">
        <v>162</v>
      </c>
      <c r="C1615" t="s">
        <v>1127</v>
      </c>
      <c r="D1615" t="s">
        <v>1128</v>
      </c>
      <c r="E1615" t="s">
        <v>1085</v>
      </c>
      <c r="F1615">
        <v>5</v>
      </c>
      <c r="G1615">
        <v>2</v>
      </c>
      <c r="H1615">
        <v>2.3874672772626702</v>
      </c>
      <c r="I1615" t="s">
        <v>957</v>
      </c>
      <c r="J1615" t="s">
        <v>4343</v>
      </c>
      <c r="K1615">
        <v>0.33333333333333298</v>
      </c>
      <c r="L1615" t="s">
        <v>1004</v>
      </c>
      <c r="M1615">
        <v>3.6496350364963499</v>
      </c>
      <c r="N1615" t="s">
        <v>1005</v>
      </c>
      <c r="O1615">
        <v>0</v>
      </c>
      <c r="P1615">
        <v>0</v>
      </c>
      <c r="Q1615">
        <v>0</v>
      </c>
      <c r="R1615">
        <v>0</v>
      </c>
    </row>
    <row r="1616" spans="1:18" ht="16" x14ac:dyDescent="0.2">
      <c r="A1616" s="130" t="s">
        <v>3909</v>
      </c>
      <c r="B1616" t="s">
        <v>162</v>
      </c>
      <c r="C1616" t="s">
        <v>3416</v>
      </c>
      <c r="D1616" t="s">
        <v>3417</v>
      </c>
      <c r="E1616" t="s">
        <v>1052</v>
      </c>
      <c r="F1616">
        <v>2</v>
      </c>
      <c r="G1616">
        <v>2</v>
      </c>
      <c r="H1616">
        <v>2.4834304607658999</v>
      </c>
      <c r="I1616" t="s">
        <v>957</v>
      </c>
      <c r="J1616" t="s">
        <v>3975</v>
      </c>
      <c r="K1616">
        <v>0.107142857142857</v>
      </c>
      <c r="L1616" t="s">
        <v>959</v>
      </c>
      <c r="M1616">
        <v>2.9197080291970798</v>
      </c>
      <c r="N1616" t="s">
        <v>960</v>
      </c>
      <c r="O1616">
        <v>0</v>
      </c>
      <c r="P1616">
        <v>0</v>
      </c>
      <c r="Q1616">
        <v>0</v>
      </c>
      <c r="R1616">
        <v>0</v>
      </c>
    </row>
    <row r="1617" spans="1:18" ht="16" x14ac:dyDescent="0.2">
      <c r="A1617" s="130" t="s">
        <v>3909</v>
      </c>
      <c r="B1617" t="s">
        <v>162</v>
      </c>
      <c r="C1617" t="s">
        <v>2773</v>
      </c>
      <c r="D1617" t="s">
        <v>2774</v>
      </c>
      <c r="E1617" t="s">
        <v>1052</v>
      </c>
      <c r="F1617">
        <v>2</v>
      </c>
      <c r="G1617">
        <v>2</v>
      </c>
      <c r="H1617">
        <v>1.7908549407355701</v>
      </c>
      <c r="I1617" t="s">
        <v>957</v>
      </c>
      <c r="J1617" t="s">
        <v>4090</v>
      </c>
      <c r="K1617">
        <v>0.20714285714285699</v>
      </c>
      <c r="L1617" t="s">
        <v>959</v>
      </c>
      <c r="M1617">
        <v>8.0291970802919703</v>
      </c>
      <c r="N1617" t="s">
        <v>982</v>
      </c>
      <c r="O1617">
        <v>0</v>
      </c>
      <c r="P1617">
        <v>0</v>
      </c>
      <c r="Q1617">
        <v>0</v>
      </c>
      <c r="R1617">
        <v>0</v>
      </c>
    </row>
    <row r="1618" spans="1:18" ht="16" x14ac:dyDescent="0.2">
      <c r="A1618" s="130" t="s">
        <v>3909</v>
      </c>
      <c r="B1618" t="s">
        <v>162</v>
      </c>
      <c r="C1618" t="s">
        <v>2937</v>
      </c>
      <c r="D1618" t="s">
        <v>2938</v>
      </c>
      <c r="E1618" t="s">
        <v>2438</v>
      </c>
      <c r="F1618">
        <v>10</v>
      </c>
      <c r="G1618">
        <v>2</v>
      </c>
      <c r="H1618">
        <v>1.4604108287128399</v>
      </c>
      <c r="I1618" t="s">
        <v>957</v>
      </c>
      <c r="J1618" t="s">
        <v>3983</v>
      </c>
      <c r="K1618">
        <v>0.46666666666666701</v>
      </c>
      <c r="L1618" t="s">
        <v>1004</v>
      </c>
      <c r="M1618">
        <v>7.2992700729926998</v>
      </c>
      <c r="N1618" t="s">
        <v>1005</v>
      </c>
      <c r="O1618">
        <v>0</v>
      </c>
      <c r="P1618">
        <v>0</v>
      </c>
      <c r="Q1618">
        <v>0</v>
      </c>
      <c r="R1618">
        <v>0</v>
      </c>
    </row>
    <row r="1619" spans="1:18" ht="16" x14ac:dyDescent="0.2">
      <c r="A1619" s="130" t="s">
        <v>3909</v>
      </c>
      <c r="B1619" t="s">
        <v>162</v>
      </c>
      <c r="C1619" t="s">
        <v>3070</v>
      </c>
      <c r="D1619" t="s">
        <v>3071</v>
      </c>
      <c r="E1619" t="s">
        <v>1291</v>
      </c>
      <c r="F1619">
        <v>11</v>
      </c>
      <c r="G1619">
        <v>2</v>
      </c>
      <c r="H1619">
        <v>2.7189698962890501</v>
      </c>
      <c r="I1619" t="s">
        <v>957</v>
      </c>
      <c r="J1619" t="s">
        <v>4226</v>
      </c>
      <c r="K1619">
        <v>0.4</v>
      </c>
      <c r="L1619" t="s">
        <v>1004</v>
      </c>
      <c r="M1619">
        <v>5.8394160583941597</v>
      </c>
      <c r="N1619" t="s">
        <v>1005</v>
      </c>
      <c r="O1619">
        <v>0</v>
      </c>
      <c r="P1619">
        <v>0</v>
      </c>
      <c r="Q1619">
        <v>0</v>
      </c>
      <c r="R1619">
        <v>0</v>
      </c>
    </row>
    <row r="1620" spans="1:18" ht="16" x14ac:dyDescent="0.2">
      <c r="A1620" s="130" t="s">
        <v>3909</v>
      </c>
      <c r="B1620" t="s">
        <v>162</v>
      </c>
      <c r="C1620" t="s">
        <v>4983</v>
      </c>
      <c r="D1620" t="s">
        <v>4984</v>
      </c>
      <c r="E1620" t="s">
        <v>4277</v>
      </c>
      <c r="F1620">
        <v>8</v>
      </c>
      <c r="G1620">
        <v>2</v>
      </c>
      <c r="H1620">
        <v>2.4574161951638298</v>
      </c>
      <c r="I1620" t="s">
        <v>957</v>
      </c>
      <c r="J1620" t="s">
        <v>4985</v>
      </c>
      <c r="K1620">
        <v>0.266666666666667</v>
      </c>
      <c r="L1620" t="s">
        <v>1004</v>
      </c>
      <c r="M1620">
        <v>0.72992700729926996</v>
      </c>
      <c r="N1620" t="s">
        <v>1005</v>
      </c>
      <c r="O1620">
        <v>0</v>
      </c>
      <c r="P1620" t="s">
        <v>5017</v>
      </c>
      <c r="Q1620">
        <v>0</v>
      </c>
      <c r="R1620">
        <v>0</v>
      </c>
    </row>
    <row r="1621" spans="1:18" ht="16" x14ac:dyDescent="0.2">
      <c r="A1621" s="130" t="s">
        <v>3909</v>
      </c>
      <c r="B1621" t="s">
        <v>162</v>
      </c>
      <c r="C1621" t="s">
        <v>991</v>
      </c>
      <c r="D1621" t="s">
        <v>4493</v>
      </c>
      <c r="E1621" t="s">
        <v>1216</v>
      </c>
      <c r="F1621">
        <v>7</v>
      </c>
      <c r="G1621">
        <v>2</v>
      </c>
      <c r="H1621">
        <v>2.4220686012193999</v>
      </c>
      <c r="I1621" t="s">
        <v>957</v>
      </c>
      <c r="J1621" t="s">
        <v>4494</v>
      </c>
      <c r="K1621">
        <v>0.4</v>
      </c>
      <c r="L1621" t="s">
        <v>1004</v>
      </c>
      <c r="M1621">
        <v>3.6496350364963499</v>
      </c>
      <c r="N1621" t="s">
        <v>1005</v>
      </c>
      <c r="O1621">
        <v>0</v>
      </c>
      <c r="P1621">
        <v>0</v>
      </c>
      <c r="Q1621">
        <v>0</v>
      </c>
      <c r="R1621">
        <v>0</v>
      </c>
    </row>
    <row r="1622" spans="1:18" ht="16" x14ac:dyDescent="0.2">
      <c r="A1622" s="130" t="s">
        <v>3909</v>
      </c>
      <c r="B1622" t="s">
        <v>162</v>
      </c>
      <c r="C1622" t="s">
        <v>2832</v>
      </c>
      <c r="D1622" t="s">
        <v>2833</v>
      </c>
      <c r="E1622" t="s">
        <v>1022</v>
      </c>
      <c r="F1622">
        <v>3</v>
      </c>
      <c r="G1622">
        <v>2</v>
      </c>
      <c r="H1622">
        <v>3.9984081938044298</v>
      </c>
      <c r="I1622" t="s">
        <v>957</v>
      </c>
      <c r="J1622" t="s">
        <v>4087</v>
      </c>
      <c r="K1622">
        <v>0.15</v>
      </c>
      <c r="L1622" t="s">
        <v>959</v>
      </c>
      <c r="M1622">
        <v>4.3795620437956204</v>
      </c>
      <c r="N1622" t="s">
        <v>960</v>
      </c>
      <c r="O1622">
        <v>0</v>
      </c>
      <c r="P1622">
        <v>0</v>
      </c>
      <c r="Q1622">
        <v>0</v>
      </c>
      <c r="R1622">
        <v>0</v>
      </c>
    </row>
    <row r="1623" spans="1:18" ht="16" x14ac:dyDescent="0.2">
      <c r="A1623" s="130" t="s">
        <v>3909</v>
      </c>
      <c r="B1623" t="s">
        <v>162</v>
      </c>
      <c r="C1623" t="s">
        <v>1995</v>
      </c>
      <c r="D1623" t="s">
        <v>1996</v>
      </c>
      <c r="E1623" t="s">
        <v>1442</v>
      </c>
      <c r="F1623">
        <v>5</v>
      </c>
      <c r="G1623">
        <v>2</v>
      </c>
      <c r="H1623">
        <v>1.0527079271731099</v>
      </c>
      <c r="I1623" t="s">
        <v>957</v>
      </c>
      <c r="J1623" t="s">
        <v>4717</v>
      </c>
      <c r="K1623">
        <v>0.33333333333333298</v>
      </c>
      <c r="L1623" t="s">
        <v>1004</v>
      </c>
      <c r="M1623">
        <v>3.6496350364963499</v>
      </c>
      <c r="N1623" t="s">
        <v>1005</v>
      </c>
      <c r="O1623">
        <v>0</v>
      </c>
      <c r="P1623">
        <v>0</v>
      </c>
      <c r="Q1623">
        <v>0</v>
      </c>
      <c r="R1623">
        <v>0</v>
      </c>
    </row>
    <row r="1624" spans="1:18" ht="16" x14ac:dyDescent="0.2">
      <c r="A1624" s="130" t="s">
        <v>3909</v>
      </c>
      <c r="B1624" t="s">
        <v>162</v>
      </c>
      <c r="C1624" t="s">
        <v>4229</v>
      </c>
      <c r="D1624" t="s">
        <v>4230</v>
      </c>
      <c r="E1624" t="s">
        <v>4667</v>
      </c>
      <c r="F1624">
        <v>11</v>
      </c>
      <c r="G1624">
        <v>2</v>
      </c>
      <c r="H1624">
        <v>2.3668854032077999</v>
      </c>
      <c r="I1624" t="s">
        <v>957</v>
      </c>
      <c r="J1624" t="s">
        <v>4231</v>
      </c>
      <c r="K1624">
        <v>0.2</v>
      </c>
      <c r="L1624" t="s">
        <v>1004</v>
      </c>
      <c r="M1624">
        <v>1.4598540145985399</v>
      </c>
      <c r="N1624" t="s">
        <v>1005</v>
      </c>
      <c r="O1624">
        <v>0</v>
      </c>
      <c r="P1624">
        <v>0</v>
      </c>
      <c r="Q1624">
        <v>0</v>
      </c>
      <c r="R1624">
        <v>0</v>
      </c>
    </row>
    <row r="1625" spans="1:18" ht="16" x14ac:dyDescent="0.2">
      <c r="A1625" s="130" t="s">
        <v>3909</v>
      </c>
      <c r="B1625" t="s">
        <v>162</v>
      </c>
      <c r="C1625" t="s">
        <v>2166</v>
      </c>
      <c r="D1625" t="s">
        <v>2167</v>
      </c>
      <c r="E1625">
        <v>3</v>
      </c>
      <c r="F1625">
        <v>3</v>
      </c>
      <c r="G1625">
        <v>1</v>
      </c>
      <c r="H1625">
        <v>3.79993709789079</v>
      </c>
      <c r="I1625" t="s">
        <v>957</v>
      </c>
      <c r="J1625" t="s">
        <v>2168</v>
      </c>
      <c r="K1625">
        <v>9.2857142857142902E-2</v>
      </c>
      <c r="L1625" t="s">
        <v>959</v>
      </c>
      <c r="M1625">
        <v>2.1897810218978102</v>
      </c>
      <c r="N1625" t="s">
        <v>960</v>
      </c>
      <c r="O1625">
        <v>0</v>
      </c>
      <c r="P1625">
        <v>0</v>
      </c>
      <c r="Q1625">
        <v>0</v>
      </c>
      <c r="R1625">
        <v>0</v>
      </c>
    </row>
    <row r="1626" spans="1:18" ht="16" x14ac:dyDescent="0.2">
      <c r="A1626" s="130" t="s">
        <v>3909</v>
      </c>
      <c r="B1626" t="s">
        <v>162</v>
      </c>
      <c r="C1626" t="s">
        <v>2400</v>
      </c>
      <c r="D1626" t="s">
        <v>2401</v>
      </c>
      <c r="E1626" t="s">
        <v>4690</v>
      </c>
      <c r="F1626">
        <v>21</v>
      </c>
      <c r="G1626">
        <v>2</v>
      </c>
      <c r="H1626">
        <v>3.3194839958334699</v>
      </c>
      <c r="I1626" t="s">
        <v>957</v>
      </c>
      <c r="J1626" t="s">
        <v>4691</v>
      </c>
      <c r="K1626">
        <v>0.266666666666667</v>
      </c>
      <c r="L1626" t="s">
        <v>1004</v>
      </c>
      <c r="M1626">
        <v>2.9197080291970798</v>
      </c>
      <c r="N1626" t="s">
        <v>1005</v>
      </c>
      <c r="O1626">
        <v>0</v>
      </c>
      <c r="P1626">
        <v>0</v>
      </c>
      <c r="Q1626">
        <v>0</v>
      </c>
      <c r="R1626">
        <v>0</v>
      </c>
    </row>
    <row r="1627" spans="1:18" ht="16" x14ac:dyDescent="0.2">
      <c r="A1627" s="130" t="s">
        <v>3909</v>
      </c>
      <c r="B1627" t="s">
        <v>162</v>
      </c>
      <c r="C1627" t="s">
        <v>2370</v>
      </c>
      <c r="D1627" t="s">
        <v>2371</v>
      </c>
      <c r="E1627" t="s">
        <v>1085</v>
      </c>
      <c r="F1627">
        <v>5</v>
      </c>
      <c r="G1627">
        <v>2</v>
      </c>
      <c r="H1627">
        <v>1.85701390729593</v>
      </c>
      <c r="I1627" t="s">
        <v>957</v>
      </c>
      <c r="J1627" t="s">
        <v>4121</v>
      </c>
      <c r="K1627">
        <v>0.266666666666667</v>
      </c>
      <c r="L1627" t="s">
        <v>1004</v>
      </c>
      <c r="M1627">
        <v>3.6496350364963499</v>
      </c>
      <c r="N1627" t="s">
        <v>1005</v>
      </c>
      <c r="O1627">
        <v>0</v>
      </c>
      <c r="P1627">
        <v>0</v>
      </c>
      <c r="Q1627">
        <v>0</v>
      </c>
      <c r="R1627">
        <v>0</v>
      </c>
    </row>
    <row r="1628" spans="1:18" ht="16" x14ac:dyDescent="0.2">
      <c r="A1628" s="130" t="s">
        <v>3909</v>
      </c>
      <c r="B1628" t="s">
        <v>162</v>
      </c>
      <c r="C1628" t="s">
        <v>3332</v>
      </c>
      <c r="D1628" t="s">
        <v>3333</v>
      </c>
      <c r="E1628" t="s">
        <v>1646</v>
      </c>
      <c r="F1628">
        <v>8</v>
      </c>
      <c r="G1628">
        <v>2</v>
      </c>
      <c r="H1628">
        <v>1.67561162259638</v>
      </c>
      <c r="I1628" t="s">
        <v>957</v>
      </c>
      <c r="J1628" t="s">
        <v>4722</v>
      </c>
      <c r="K1628">
        <v>0.266666666666667</v>
      </c>
      <c r="L1628" t="s">
        <v>1004</v>
      </c>
      <c r="M1628">
        <v>4.3795620437956204</v>
      </c>
      <c r="N1628" t="s">
        <v>1005</v>
      </c>
      <c r="O1628">
        <v>0</v>
      </c>
      <c r="P1628">
        <v>0</v>
      </c>
      <c r="Q1628">
        <v>0</v>
      </c>
      <c r="R1628">
        <v>0</v>
      </c>
    </row>
    <row r="1629" spans="1:18" ht="16" x14ac:dyDescent="0.2">
      <c r="A1629" s="130" t="s">
        <v>3909</v>
      </c>
      <c r="B1629" t="s">
        <v>162</v>
      </c>
      <c r="C1629" t="s">
        <v>3914</v>
      </c>
      <c r="D1629" t="s">
        <v>3915</v>
      </c>
      <c r="E1629" t="s">
        <v>1432</v>
      </c>
      <c r="F1629">
        <v>6</v>
      </c>
      <c r="G1629">
        <v>2</v>
      </c>
      <c r="H1629">
        <v>2.7910887474358002</v>
      </c>
      <c r="I1629" t="s">
        <v>957</v>
      </c>
      <c r="J1629" t="s">
        <v>3916</v>
      </c>
      <c r="K1629">
        <v>0.266666666666667</v>
      </c>
      <c r="L1629" t="s">
        <v>1004</v>
      </c>
      <c r="M1629">
        <v>5.8394160583941597</v>
      </c>
      <c r="N1629" t="s">
        <v>1005</v>
      </c>
      <c r="O1629">
        <v>0</v>
      </c>
      <c r="P1629">
        <v>0</v>
      </c>
      <c r="Q1629">
        <v>0</v>
      </c>
      <c r="R1629">
        <v>0</v>
      </c>
    </row>
    <row r="1630" spans="1:18" ht="16" x14ac:dyDescent="0.2">
      <c r="A1630" s="130" t="s">
        <v>3909</v>
      </c>
      <c r="B1630" t="s">
        <v>162</v>
      </c>
      <c r="C1630" t="s">
        <v>1926</v>
      </c>
      <c r="D1630" t="s">
        <v>1927</v>
      </c>
      <c r="E1630" t="s">
        <v>2945</v>
      </c>
      <c r="F1630">
        <v>10</v>
      </c>
      <c r="G1630">
        <v>2</v>
      </c>
      <c r="H1630">
        <v>1.68858848095694</v>
      </c>
      <c r="I1630" t="s">
        <v>957</v>
      </c>
      <c r="J1630" t="s">
        <v>4072</v>
      </c>
      <c r="K1630">
        <v>0.33333333333333298</v>
      </c>
      <c r="L1630" t="s">
        <v>1004</v>
      </c>
      <c r="M1630">
        <v>4.3795620437956204</v>
      </c>
      <c r="N1630" t="s">
        <v>1005</v>
      </c>
      <c r="O1630">
        <v>0</v>
      </c>
      <c r="P1630">
        <v>0</v>
      </c>
      <c r="Q1630">
        <v>0</v>
      </c>
      <c r="R1630">
        <v>0</v>
      </c>
    </row>
    <row r="1631" spans="1:18" ht="16" x14ac:dyDescent="0.2">
      <c r="A1631" s="130" t="s">
        <v>3909</v>
      </c>
      <c r="B1631" t="s">
        <v>162</v>
      </c>
      <c r="C1631" t="s">
        <v>2419</v>
      </c>
      <c r="D1631" t="s">
        <v>2420</v>
      </c>
      <c r="E1631" t="s">
        <v>2857</v>
      </c>
      <c r="F1631">
        <v>6</v>
      </c>
      <c r="G1631">
        <v>2</v>
      </c>
      <c r="H1631">
        <v>1.84844495954651</v>
      </c>
      <c r="I1631" t="s">
        <v>957</v>
      </c>
      <c r="J1631" t="s">
        <v>4713</v>
      </c>
      <c r="K1631">
        <v>0.33333333333333298</v>
      </c>
      <c r="L1631" t="s">
        <v>1004</v>
      </c>
      <c r="M1631">
        <v>9.4890510948905096</v>
      </c>
      <c r="N1631" t="s">
        <v>1005</v>
      </c>
      <c r="O1631">
        <v>0</v>
      </c>
      <c r="P1631">
        <v>0</v>
      </c>
      <c r="Q1631">
        <v>0</v>
      </c>
      <c r="R1631">
        <v>0</v>
      </c>
    </row>
    <row r="1632" spans="1:18" ht="16" x14ac:dyDescent="0.2">
      <c r="A1632" s="130" t="s">
        <v>3909</v>
      </c>
      <c r="B1632" t="s">
        <v>162</v>
      </c>
      <c r="C1632" t="s">
        <v>2529</v>
      </c>
      <c r="D1632" t="s">
        <v>2530</v>
      </c>
      <c r="E1632" t="s">
        <v>2857</v>
      </c>
      <c r="F1632">
        <v>6</v>
      </c>
      <c r="G1632">
        <v>2</v>
      </c>
      <c r="H1632">
        <v>0.44223415513233999</v>
      </c>
      <c r="I1632" t="s">
        <v>957</v>
      </c>
      <c r="J1632" t="s">
        <v>4139</v>
      </c>
      <c r="K1632">
        <v>0.266666666666667</v>
      </c>
      <c r="L1632" t="s">
        <v>1004</v>
      </c>
      <c r="M1632">
        <v>3.6496350364963499</v>
      </c>
      <c r="N1632" t="s">
        <v>982</v>
      </c>
      <c r="O1632">
        <v>0</v>
      </c>
      <c r="P1632">
        <v>0</v>
      </c>
      <c r="Q1632">
        <v>0</v>
      </c>
      <c r="R1632">
        <v>0</v>
      </c>
    </row>
    <row r="1633" spans="1:18" ht="16" x14ac:dyDescent="0.2">
      <c r="A1633" s="130" t="s">
        <v>3909</v>
      </c>
      <c r="B1633" t="s">
        <v>162</v>
      </c>
      <c r="C1633" t="s">
        <v>2699</v>
      </c>
      <c r="D1633" t="s">
        <v>2700</v>
      </c>
      <c r="E1633" t="s">
        <v>1216</v>
      </c>
      <c r="F1633">
        <v>7</v>
      </c>
      <c r="G1633">
        <v>2</v>
      </c>
      <c r="H1633">
        <v>2.2006808483796299</v>
      </c>
      <c r="I1633" t="s">
        <v>957</v>
      </c>
      <c r="J1633" t="s">
        <v>4085</v>
      </c>
      <c r="K1633">
        <v>0.266666666666667</v>
      </c>
      <c r="L1633" t="s">
        <v>1004</v>
      </c>
      <c r="M1633">
        <v>6.5693430656934302</v>
      </c>
      <c r="N1633" t="s">
        <v>1005</v>
      </c>
      <c r="O1633">
        <v>0</v>
      </c>
      <c r="P1633">
        <v>0</v>
      </c>
      <c r="Q1633">
        <v>0</v>
      </c>
      <c r="R1633">
        <v>0</v>
      </c>
    </row>
    <row r="1634" spans="1:18" ht="16" x14ac:dyDescent="0.2">
      <c r="A1634" s="130" t="s">
        <v>3909</v>
      </c>
      <c r="B1634" t="s">
        <v>162</v>
      </c>
      <c r="C1634" t="s">
        <v>1649</v>
      </c>
      <c r="D1634" t="s">
        <v>1650</v>
      </c>
      <c r="E1634" t="s">
        <v>4266</v>
      </c>
      <c r="F1634">
        <v>12</v>
      </c>
      <c r="G1634">
        <v>4</v>
      </c>
      <c r="H1634">
        <v>2.6850574048109399</v>
      </c>
      <c r="I1634" t="s">
        <v>957</v>
      </c>
      <c r="J1634" t="s">
        <v>4267</v>
      </c>
      <c r="K1634" t="s">
        <v>4268</v>
      </c>
      <c r="L1634" t="s">
        <v>1175</v>
      </c>
      <c r="M1634">
        <v>8.7591240875912408</v>
      </c>
      <c r="N1634" t="s">
        <v>982</v>
      </c>
      <c r="O1634">
        <v>0</v>
      </c>
      <c r="P1634">
        <v>0</v>
      </c>
      <c r="Q1634">
        <v>0</v>
      </c>
      <c r="R1634">
        <v>0</v>
      </c>
    </row>
    <row r="1635" spans="1:18" ht="16" x14ac:dyDescent="0.2">
      <c r="A1635" s="130" t="s">
        <v>3909</v>
      </c>
      <c r="B1635" t="s">
        <v>162</v>
      </c>
      <c r="C1635" t="s">
        <v>1398</v>
      </c>
      <c r="D1635" t="s">
        <v>4432</v>
      </c>
      <c r="E1635" t="s">
        <v>4433</v>
      </c>
      <c r="F1635">
        <v>15</v>
      </c>
      <c r="G1635">
        <v>4</v>
      </c>
      <c r="H1635">
        <v>1.5867780452904601</v>
      </c>
      <c r="I1635" t="s">
        <v>957</v>
      </c>
      <c r="J1635" t="s">
        <v>4434</v>
      </c>
      <c r="K1635" t="s">
        <v>4435</v>
      </c>
      <c r="L1635" t="s">
        <v>1175</v>
      </c>
      <c r="M1635">
        <v>7.2992700729926998</v>
      </c>
      <c r="N1635" t="s">
        <v>982</v>
      </c>
      <c r="O1635">
        <v>0</v>
      </c>
      <c r="P1635">
        <v>0</v>
      </c>
      <c r="Q1635">
        <v>0</v>
      </c>
      <c r="R1635">
        <v>0</v>
      </c>
    </row>
    <row r="1636" spans="1:18" ht="16" x14ac:dyDescent="0.2">
      <c r="A1636" s="130" t="s">
        <v>3909</v>
      </c>
      <c r="B1636" t="s">
        <v>162</v>
      </c>
      <c r="C1636" t="s">
        <v>2526</v>
      </c>
      <c r="D1636" t="s">
        <v>4633</v>
      </c>
      <c r="E1636" t="s">
        <v>1008</v>
      </c>
      <c r="F1636">
        <v>7</v>
      </c>
      <c r="G1636">
        <v>2</v>
      </c>
      <c r="H1636">
        <v>2.5601355531472101</v>
      </c>
      <c r="I1636" t="s">
        <v>957</v>
      </c>
      <c r="J1636" t="s">
        <v>4634</v>
      </c>
      <c r="K1636">
        <v>0.266666666666667</v>
      </c>
      <c r="L1636" t="s">
        <v>1004</v>
      </c>
      <c r="M1636">
        <v>2.9197080291970798</v>
      </c>
      <c r="N1636" t="s">
        <v>1005</v>
      </c>
      <c r="O1636">
        <v>0</v>
      </c>
      <c r="P1636">
        <v>0</v>
      </c>
      <c r="Q1636">
        <v>0</v>
      </c>
      <c r="R1636">
        <v>0</v>
      </c>
    </row>
    <row r="1637" spans="1:18" ht="16" x14ac:dyDescent="0.2">
      <c r="A1637" s="130" t="s">
        <v>3909</v>
      </c>
      <c r="B1637" t="s">
        <v>162</v>
      </c>
      <c r="C1637" t="s">
        <v>3386</v>
      </c>
      <c r="D1637" t="s">
        <v>3387</v>
      </c>
      <c r="E1637" t="s">
        <v>2438</v>
      </c>
      <c r="F1637">
        <v>10</v>
      </c>
      <c r="G1637">
        <v>2</v>
      </c>
      <c r="H1637">
        <v>2.6304672280740999</v>
      </c>
      <c r="I1637" t="s">
        <v>957</v>
      </c>
      <c r="J1637" t="s">
        <v>4411</v>
      </c>
      <c r="K1637">
        <v>0.266666666666667</v>
      </c>
      <c r="L1637" t="s">
        <v>1004</v>
      </c>
      <c r="M1637">
        <v>3.6496350364963499</v>
      </c>
      <c r="N1637" t="s">
        <v>1005</v>
      </c>
      <c r="O1637">
        <v>0</v>
      </c>
      <c r="P1637">
        <v>0</v>
      </c>
      <c r="Q1637">
        <v>0</v>
      </c>
      <c r="R1637">
        <v>0</v>
      </c>
    </row>
    <row r="1638" spans="1:18" ht="16" x14ac:dyDescent="0.2">
      <c r="A1638" s="130" t="s">
        <v>3909</v>
      </c>
      <c r="B1638" t="s">
        <v>162</v>
      </c>
      <c r="C1638" t="s">
        <v>1365</v>
      </c>
      <c r="D1638" t="s">
        <v>1366</v>
      </c>
      <c r="E1638" t="s">
        <v>1074</v>
      </c>
      <c r="F1638">
        <v>6</v>
      </c>
      <c r="G1638">
        <v>2</v>
      </c>
      <c r="H1638">
        <v>3.4364500122599502</v>
      </c>
      <c r="I1638" t="s">
        <v>957</v>
      </c>
      <c r="J1638" t="s">
        <v>4306</v>
      </c>
      <c r="K1638">
        <v>0.266666666666667</v>
      </c>
      <c r="L1638" t="s">
        <v>1004</v>
      </c>
      <c r="M1638">
        <v>2.9197080291970798</v>
      </c>
      <c r="N1638" t="s">
        <v>1005</v>
      </c>
      <c r="O1638">
        <v>0</v>
      </c>
      <c r="P1638">
        <v>0</v>
      </c>
      <c r="Q1638">
        <v>0</v>
      </c>
      <c r="R1638">
        <v>0</v>
      </c>
    </row>
    <row r="1639" spans="1:18" ht="16" x14ac:dyDescent="0.2">
      <c r="A1639" s="130" t="s">
        <v>3909</v>
      </c>
      <c r="B1639" t="s">
        <v>162</v>
      </c>
      <c r="C1639" t="s">
        <v>1013</v>
      </c>
      <c r="D1639" t="s">
        <v>1014</v>
      </c>
      <c r="E1639" t="s">
        <v>1216</v>
      </c>
      <c r="F1639">
        <v>7</v>
      </c>
      <c r="G1639">
        <v>2</v>
      </c>
      <c r="H1639">
        <v>2.7322232739370298</v>
      </c>
      <c r="I1639" t="s">
        <v>957</v>
      </c>
      <c r="J1639" t="s">
        <v>4279</v>
      </c>
      <c r="K1639">
        <v>0.4</v>
      </c>
      <c r="L1639" t="s">
        <v>1004</v>
      </c>
      <c r="M1639">
        <v>2.9197080291970798</v>
      </c>
      <c r="N1639" t="s">
        <v>1005</v>
      </c>
      <c r="O1639">
        <v>0</v>
      </c>
      <c r="P1639">
        <v>0</v>
      </c>
      <c r="Q1639">
        <v>0</v>
      </c>
      <c r="R1639">
        <v>0</v>
      </c>
    </row>
    <row r="1640" spans="1:18" ht="16" x14ac:dyDescent="0.2">
      <c r="A1640" s="130" t="s">
        <v>3909</v>
      </c>
      <c r="B1640" t="s">
        <v>162</v>
      </c>
      <c r="C1640" t="s">
        <v>3790</v>
      </c>
      <c r="D1640" t="s">
        <v>4448</v>
      </c>
      <c r="E1640" t="s">
        <v>2857</v>
      </c>
      <c r="F1640">
        <v>6</v>
      </c>
      <c r="G1640">
        <v>2</v>
      </c>
      <c r="H1640">
        <v>3.3235149516719402</v>
      </c>
      <c r="I1640" t="s">
        <v>957</v>
      </c>
      <c r="J1640" t="s">
        <v>4449</v>
      </c>
      <c r="K1640">
        <v>0.2</v>
      </c>
      <c r="L1640" t="s">
        <v>1004</v>
      </c>
      <c r="M1640">
        <v>2.1897810218978102</v>
      </c>
      <c r="N1640" t="s">
        <v>1005</v>
      </c>
      <c r="O1640">
        <v>0</v>
      </c>
      <c r="P1640">
        <v>0</v>
      </c>
      <c r="Q1640">
        <v>0</v>
      </c>
      <c r="R1640">
        <v>0</v>
      </c>
    </row>
    <row r="1641" spans="1:18" ht="16" x14ac:dyDescent="0.2">
      <c r="A1641" s="130" t="s">
        <v>3909</v>
      </c>
      <c r="B1641" t="s">
        <v>162</v>
      </c>
      <c r="C1641" t="s">
        <v>1394</v>
      </c>
      <c r="D1641" t="s">
        <v>1395</v>
      </c>
      <c r="E1641" t="s">
        <v>1026</v>
      </c>
      <c r="F1641">
        <v>9</v>
      </c>
      <c r="G1641">
        <v>2</v>
      </c>
      <c r="H1641">
        <v>1.6889305913936501</v>
      </c>
      <c r="I1641" t="s">
        <v>957</v>
      </c>
      <c r="J1641" t="s">
        <v>5007</v>
      </c>
      <c r="K1641">
        <v>0.4</v>
      </c>
      <c r="L1641" t="s">
        <v>1004</v>
      </c>
      <c r="M1641">
        <v>2.9197080291970798</v>
      </c>
      <c r="N1641" t="s">
        <v>1005</v>
      </c>
      <c r="O1641">
        <v>0</v>
      </c>
      <c r="P1641">
        <v>0</v>
      </c>
      <c r="Q1641">
        <v>0</v>
      </c>
      <c r="R1641">
        <v>0</v>
      </c>
    </row>
    <row r="1642" spans="1:18" ht="16" x14ac:dyDescent="0.2">
      <c r="A1642" s="130" t="s">
        <v>3909</v>
      </c>
      <c r="B1642" t="s">
        <v>162</v>
      </c>
      <c r="C1642" t="s">
        <v>2552</v>
      </c>
      <c r="D1642" t="s">
        <v>2553</v>
      </c>
      <c r="E1642" t="s">
        <v>1026</v>
      </c>
      <c r="F1642">
        <v>9</v>
      </c>
      <c r="G1642">
        <v>2</v>
      </c>
      <c r="H1642">
        <v>2.83130433438386</v>
      </c>
      <c r="I1642" t="s">
        <v>957</v>
      </c>
      <c r="J1642" t="s">
        <v>4650</v>
      </c>
      <c r="K1642">
        <v>0.2</v>
      </c>
      <c r="L1642" t="s">
        <v>1004</v>
      </c>
      <c r="M1642">
        <v>2.9197080291970798</v>
      </c>
      <c r="N1642" t="s">
        <v>1005</v>
      </c>
      <c r="O1642">
        <v>0</v>
      </c>
      <c r="P1642">
        <v>0</v>
      </c>
      <c r="Q1642">
        <v>0</v>
      </c>
      <c r="R1642">
        <v>0</v>
      </c>
    </row>
    <row r="1643" spans="1:18" ht="16" x14ac:dyDescent="0.2">
      <c r="A1643" s="130" t="s">
        <v>3909</v>
      </c>
      <c r="B1643" t="s">
        <v>162</v>
      </c>
      <c r="C1643" t="s">
        <v>2105</v>
      </c>
      <c r="D1643" t="s">
        <v>2106</v>
      </c>
      <c r="E1643" t="s">
        <v>1887</v>
      </c>
      <c r="F1643">
        <v>9</v>
      </c>
      <c r="G1643">
        <v>2</v>
      </c>
      <c r="H1643">
        <v>2.9901245911203298</v>
      </c>
      <c r="I1643" t="s">
        <v>957</v>
      </c>
      <c r="J1643" t="s">
        <v>4189</v>
      </c>
      <c r="K1643">
        <v>0.33333333333333298</v>
      </c>
      <c r="L1643" t="s">
        <v>1004</v>
      </c>
      <c r="M1643">
        <v>8.0291970802919703</v>
      </c>
      <c r="N1643" t="s">
        <v>982</v>
      </c>
      <c r="O1643">
        <v>0</v>
      </c>
      <c r="P1643">
        <v>0</v>
      </c>
      <c r="Q1643">
        <v>0</v>
      </c>
      <c r="R1643">
        <v>0</v>
      </c>
    </row>
    <row r="1644" spans="1:18" ht="16" x14ac:dyDescent="0.2">
      <c r="A1644" s="130" t="s">
        <v>3909</v>
      </c>
      <c r="B1644" t="s">
        <v>162</v>
      </c>
      <c r="C1644" s="128" t="s">
        <v>2987</v>
      </c>
      <c r="D1644" t="s">
        <v>2988</v>
      </c>
      <c r="E1644" t="s">
        <v>1432</v>
      </c>
      <c r="F1644">
        <v>6</v>
      </c>
      <c r="G1644">
        <v>2</v>
      </c>
      <c r="H1644">
        <v>2.7318288048808199</v>
      </c>
      <c r="I1644" t="s">
        <v>957</v>
      </c>
      <c r="J1644" t="s">
        <v>4726</v>
      </c>
      <c r="K1644">
        <v>0.266666666666667</v>
      </c>
      <c r="L1644" t="s">
        <v>1004</v>
      </c>
      <c r="M1644">
        <v>2.9197080291970798</v>
      </c>
      <c r="N1644" s="128" t="s">
        <v>1005</v>
      </c>
      <c r="O1644">
        <v>0</v>
      </c>
      <c r="P1644">
        <v>0</v>
      </c>
      <c r="Q1644">
        <v>0</v>
      </c>
      <c r="R1644">
        <v>0</v>
      </c>
    </row>
    <row r="1645" spans="1:18" ht="16" x14ac:dyDescent="0.2">
      <c r="A1645" s="130" t="s">
        <v>3909</v>
      </c>
      <c r="B1645" t="s">
        <v>162</v>
      </c>
      <c r="C1645" t="s">
        <v>2433</v>
      </c>
      <c r="D1645" t="s">
        <v>2434</v>
      </c>
      <c r="E1645" t="s">
        <v>1457</v>
      </c>
      <c r="F1645">
        <v>9</v>
      </c>
      <c r="G1645">
        <v>2</v>
      </c>
      <c r="H1645">
        <v>3.10983160823523</v>
      </c>
      <c r="I1645" t="s">
        <v>957</v>
      </c>
      <c r="J1645" t="s">
        <v>4896</v>
      </c>
      <c r="K1645">
        <v>0.266666666666667</v>
      </c>
      <c r="L1645" t="s">
        <v>1004</v>
      </c>
      <c r="M1645">
        <v>7.2992700729926998</v>
      </c>
      <c r="N1645" t="s">
        <v>1005</v>
      </c>
      <c r="O1645">
        <v>0</v>
      </c>
      <c r="P1645">
        <v>0</v>
      </c>
      <c r="Q1645">
        <v>0</v>
      </c>
      <c r="R1645">
        <v>0</v>
      </c>
    </row>
    <row r="1646" spans="1:18" ht="16" x14ac:dyDescent="0.2">
      <c r="A1646" s="130" t="s">
        <v>3909</v>
      </c>
      <c r="B1646" t="s">
        <v>162</v>
      </c>
      <c r="C1646" t="s">
        <v>4525</v>
      </c>
      <c r="D1646" t="s">
        <v>4526</v>
      </c>
      <c r="E1646" t="s">
        <v>1974</v>
      </c>
      <c r="F1646">
        <v>5</v>
      </c>
      <c r="G1646">
        <v>2</v>
      </c>
      <c r="H1646">
        <v>1.97857393993944</v>
      </c>
      <c r="I1646" t="s">
        <v>957</v>
      </c>
      <c r="J1646" t="s">
        <v>4527</v>
      </c>
      <c r="K1646">
        <v>0.2</v>
      </c>
      <c r="L1646" t="s">
        <v>1004</v>
      </c>
      <c r="M1646">
        <v>0.72992700729926996</v>
      </c>
      <c r="N1646" t="s">
        <v>1005</v>
      </c>
      <c r="O1646">
        <v>0</v>
      </c>
      <c r="P1646">
        <v>0</v>
      </c>
      <c r="Q1646">
        <v>0</v>
      </c>
      <c r="R1646">
        <v>0</v>
      </c>
    </row>
    <row r="1647" spans="1:18" ht="16" x14ac:dyDescent="0.2">
      <c r="A1647" s="130" t="s">
        <v>3909</v>
      </c>
      <c r="B1647" t="s">
        <v>162</v>
      </c>
      <c r="C1647" t="s">
        <v>1247</v>
      </c>
      <c r="D1647" t="s">
        <v>1248</v>
      </c>
      <c r="E1647" t="s">
        <v>4233</v>
      </c>
      <c r="F1647">
        <v>17</v>
      </c>
      <c r="G1647">
        <v>2</v>
      </c>
      <c r="H1647">
        <v>2.5410268459335401</v>
      </c>
      <c r="I1647" t="s">
        <v>957</v>
      </c>
      <c r="J1647" t="s">
        <v>4234</v>
      </c>
      <c r="K1647">
        <v>0.266666666666667</v>
      </c>
      <c r="L1647" t="s">
        <v>1004</v>
      </c>
      <c r="M1647">
        <v>6.5693430656934302</v>
      </c>
      <c r="N1647" t="s">
        <v>1005</v>
      </c>
      <c r="O1647">
        <v>0</v>
      </c>
      <c r="P1647">
        <v>0</v>
      </c>
      <c r="Q1647">
        <v>0</v>
      </c>
      <c r="R1647">
        <v>0</v>
      </c>
    </row>
    <row r="1648" spans="1:18" ht="16" x14ac:dyDescent="0.2">
      <c r="A1648" s="130" t="s">
        <v>3909</v>
      </c>
      <c r="B1648" t="s">
        <v>162</v>
      </c>
      <c r="C1648" t="s">
        <v>4451</v>
      </c>
      <c r="D1648" t="s">
        <v>4452</v>
      </c>
      <c r="E1648" t="s">
        <v>1085</v>
      </c>
      <c r="F1648">
        <v>5</v>
      </c>
      <c r="G1648">
        <v>2</v>
      </c>
      <c r="H1648">
        <v>3.44431329472433</v>
      </c>
      <c r="I1648" t="s">
        <v>957</v>
      </c>
      <c r="J1648" t="s">
        <v>4453</v>
      </c>
      <c r="K1648">
        <v>0.266666666666667</v>
      </c>
      <c r="L1648" t="s">
        <v>1004</v>
      </c>
      <c r="M1648">
        <v>0.72992700729926996</v>
      </c>
      <c r="N1648" t="s">
        <v>1005</v>
      </c>
      <c r="O1648">
        <v>0</v>
      </c>
      <c r="P1648">
        <v>0</v>
      </c>
      <c r="Q1648">
        <v>0</v>
      </c>
      <c r="R1648">
        <v>0</v>
      </c>
    </row>
    <row r="1649" spans="1:18" ht="16" x14ac:dyDescent="0.2">
      <c r="A1649" s="130" t="s">
        <v>3909</v>
      </c>
      <c r="B1649" t="s">
        <v>162</v>
      </c>
      <c r="C1649" t="s">
        <v>1715</v>
      </c>
      <c r="D1649" t="s">
        <v>1716</v>
      </c>
      <c r="E1649" t="s">
        <v>2857</v>
      </c>
      <c r="F1649">
        <v>6</v>
      </c>
      <c r="G1649">
        <v>2</v>
      </c>
      <c r="H1649">
        <v>0.36346951968922903</v>
      </c>
      <c r="I1649" t="s">
        <v>957</v>
      </c>
      <c r="J1649" t="s">
        <v>4365</v>
      </c>
      <c r="K1649">
        <v>0.33333333333333298</v>
      </c>
      <c r="L1649" t="s">
        <v>1004</v>
      </c>
      <c r="M1649">
        <v>3.6496350364963499</v>
      </c>
      <c r="N1649" t="s">
        <v>1005</v>
      </c>
      <c r="O1649">
        <v>0</v>
      </c>
      <c r="P1649">
        <v>0</v>
      </c>
      <c r="Q1649">
        <v>0</v>
      </c>
      <c r="R1649">
        <v>0</v>
      </c>
    </row>
    <row r="1650" spans="1:18" ht="16" x14ac:dyDescent="0.2">
      <c r="A1650" s="130" t="s">
        <v>3909</v>
      </c>
      <c r="B1650" t="s">
        <v>162</v>
      </c>
      <c r="C1650" t="s">
        <v>2283</v>
      </c>
      <c r="D1650" t="s">
        <v>2284</v>
      </c>
      <c r="E1650" t="s">
        <v>1002</v>
      </c>
      <c r="F1650">
        <v>12</v>
      </c>
      <c r="G1650">
        <v>2</v>
      </c>
      <c r="H1650">
        <v>1.48263723569098</v>
      </c>
      <c r="I1650" t="s">
        <v>957</v>
      </c>
      <c r="J1650" t="s">
        <v>4460</v>
      </c>
      <c r="K1650">
        <v>0.266666666666667</v>
      </c>
      <c r="L1650" t="s">
        <v>1004</v>
      </c>
      <c r="M1650">
        <v>2.9197080291970798</v>
      </c>
      <c r="N1650" t="s">
        <v>982</v>
      </c>
      <c r="O1650">
        <v>0</v>
      </c>
      <c r="P1650">
        <v>0</v>
      </c>
      <c r="Q1650">
        <v>0</v>
      </c>
      <c r="R1650" t="s">
        <v>5019</v>
      </c>
    </row>
    <row r="1651" spans="1:18" ht="16" x14ac:dyDescent="0.2">
      <c r="A1651" s="130" t="s">
        <v>3909</v>
      </c>
      <c r="B1651" t="s">
        <v>162</v>
      </c>
      <c r="C1651" t="s">
        <v>1147</v>
      </c>
      <c r="D1651" t="s">
        <v>1148</v>
      </c>
      <c r="E1651" t="s">
        <v>4651</v>
      </c>
      <c r="F1651">
        <v>16</v>
      </c>
      <c r="G1651">
        <v>2</v>
      </c>
      <c r="H1651">
        <v>2.3434774182262301</v>
      </c>
      <c r="I1651" t="s">
        <v>957</v>
      </c>
      <c r="J1651" t="s">
        <v>4026</v>
      </c>
      <c r="K1651">
        <v>0.33333333333333298</v>
      </c>
      <c r="L1651" t="s">
        <v>1004</v>
      </c>
      <c r="M1651">
        <v>6.5693430656934302</v>
      </c>
      <c r="N1651" t="s">
        <v>1005</v>
      </c>
      <c r="O1651">
        <v>0</v>
      </c>
      <c r="P1651">
        <v>0</v>
      </c>
      <c r="Q1651">
        <v>0</v>
      </c>
      <c r="R1651">
        <v>0</v>
      </c>
    </row>
    <row r="1652" spans="1:18" ht="16" x14ac:dyDescent="0.2">
      <c r="A1652" s="130" t="s">
        <v>3909</v>
      </c>
      <c r="B1652" t="s">
        <v>162</v>
      </c>
      <c r="C1652" t="s">
        <v>1222</v>
      </c>
      <c r="D1652" t="s">
        <v>1223</v>
      </c>
      <c r="E1652" t="s">
        <v>1039</v>
      </c>
      <c r="F1652">
        <v>3</v>
      </c>
      <c r="G1652">
        <v>2</v>
      </c>
      <c r="H1652">
        <v>0.51485459372331799</v>
      </c>
      <c r="I1652" t="s">
        <v>957</v>
      </c>
      <c r="J1652" t="s">
        <v>4699</v>
      </c>
      <c r="K1652">
        <v>7.8571428571428598E-2</v>
      </c>
      <c r="L1652" t="s">
        <v>959</v>
      </c>
      <c r="M1652">
        <v>3.6496350364963499</v>
      </c>
      <c r="N1652" t="s">
        <v>960</v>
      </c>
      <c r="O1652">
        <v>0</v>
      </c>
      <c r="P1652">
        <v>0</v>
      </c>
      <c r="Q1652">
        <v>0</v>
      </c>
      <c r="R1652">
        <v>0</v>
      </c>
    </row>
    <row r="1653" spans="1:18" ht="16" x14ac:dyDescent="0.2">
      <c r="A1653" s="130" t="s">
        <v>3909</v>
      </c>
      <c r="B1653" t="s">
        <v>162</v>
      </c>
      <c r="C1653" t="s">
        <v>1748</v>
      </c>
      <c r="D1653" t="s">
        <v>1749</v>
      </c>
      <c r="E1653" t="s">
        <v>1052</v>
      </c>
      <c r="F1653">
        <v>2</v>
      </c>
      <c r="G1653">
        <v>2</v>
      </c>
      <c r="H1653">
        <v>2.3781590626373101</v>
      </c>
      <c r="I1653" t="s">
        <v>957</v>
      </c>
      <c r="J1653" t="s">
        <v>4740</v>
      </c>
      <c r="K1653">
        <v>0.114285714285714</v>
      </c>
      <c r="L1653" t="s">
        <v>959</v>
      </c>
      <c r="M1653">
        <v>6.5693430656934302</v>
      </c>
      <c r="N1653" t="s">
        <v>982</v>
      </c>
      <c r="O1653">
        <v>0</v>
      </c>
      <c r="P1653">
        <v>0</v>
      </c>
      <c r="Q1653">
        <v>0</v>
      </c>
      <c r="R1653">
        <v>0</v>
      </c>
    </row>
    <row r="1654" spans="1:18" ht="16" x14ac:dyDescent="0.2">
      <c r="A1654" s="130" t="s">
        <v>3909</v>
      </c>
      <c r="B1654" t="s">
        <v>45</v>
      </c>
      <c r="C1654" t="s">
        <v>1376</v>
      </c>
      <c r="D1654" t="s">
        <v>1377</v>
      </c>
      <c r="E1654">
        <v>3</v>
      </c>
      <c r="F1654">
        <v>3</v>
      </c>
      <c r="G1654">
        <v>1</v>
      </c>
      <c r="H1654">
        <v>1.10071643593993</v>
      </c>
      <c r="I1654" t="s">
        <v>957</v>
      </c>
      <c r="J1654" t="s">
        <v>4628</v>
      </c>
      <c r="K1654">
        <v>0.17142857142857101</v>
      </c>
      <c r="L1654" t="s">
        <v>959</v>
      </c>
      <c r="M1654">
        <v>9.4890510948905096</v>
      </c>
      <c r="N1654" t="s">
        <v>960</v>
      </c>
      <c r="O1654">
        <v>0</v>
      </c>
      <c r="P1654">
        <v>0</v>
      </c>
      <c r="Q1654">
        <v>0</v>
      </c>
      <c r="R1654">
        <v>0</v>
      </c>
    </row>
    <row r="1655" spans="1:18" ht="16" x14ac:dyDescent="0.2">
      <c r="A1655" s="130" t="s">
        <v>3909</v>
      </c>
      <c r="B1655" t="s">
        <v>45</v>
      </c>
      <c r="C1655" t="s">
        <v>3697</v>
      </c>
      <c r="D1655" t="s">
        <v>4416</v>
      </c>
      <c r="E1655">
        <v>3</v>
      </c>
      <c r="F1655">
        <v>3</v>
      </c>
      <c r="G1655">
        <v>1</v>
      </c>
      <c r="H1655">
        <v>2.8873615882857702</v>
      </c>
      <c r="I1655" t="s">
        <v>957</v>
      </c>
      <c r="J1655" t="s">
        <v>4417</v>
      </c>
      <c r="K1655">
        <v>0.192857142857143</v>
      </c>
      <c r="L1655" t="s">
        <v>959</v>
      </c>
      <c r="M1655">
        <v>5.10948905109489</v>
      </c>
      <c r="N1655" t="s">
        <v>960</v>
      </c>
      <c r="O1655">
        <v>0</v>
      </c>
      <c r="P1655">
        <v>0</v>
      </c>
      <c r="Q1655">
        <v>0</v>
      </c>
      <c r="R1655">
        <v>0</v>
      </c>
    </row>
    <row r="1656" spans="1:18" ht="16" x14ac:dyDescent="0.2">
      <c r="A1656" s="130" t="s">
        <v>3909</v>
      </c>
      <c r="B1656" t="s">
        <v>45</v>
      </c>
      <c r="C1656" t="s">
        <v>1653</v>
      </c>
      <c r="D1656" t="s">
        <v>1654</v>
      </c>
      <c r="E1656" t="s">
        <v>1085</v>
      </c>
      <c r="F1656">
        <v>5</v>
      </c>
      <c r="G1656">
        <v>2</v>
      </c>
      <c r="H1656">
        <v>3.8496305642442801</v>
      </c>
      <c r="I1656" t="s">
        <v>957</v>
      </c>
      <c r="J1656" t="s">
        <v>4296</v>
      </c>
      <c r="K1656">
        <v>0.20714285714285699</v>
      </c>
      <c r="L1656" t="s">
        <v>959</v>
      </c>
      <c r="M1656">
        <v>5.8394160583941597</v>
      </c>
      <c r="N1656" t="s">
        <v>960</v>
      </c>
      <c r="O1656">
        <v>0</v>
      </c>
      <c r="P1656">
        <v>0</v>
      </c>
      <c r="Q1656">
        <v>0</v>
      </c>
      <c r="R1656">
        <v>0</v>
      </c>
    </row>
    <row r="1657" spans="1:18" ht="16" x14ac:dyDescent="0.2">
      <c r="A1657" s="130" t="s">
        <v>3909</v>
      </c>
      <c r="B1657" t="s">
        <v>45</v>
      </c>
      <c r="C1657" t="s">
        <v>3830</v>
      </c>
      <c r="D1657" t="s">
        <v>3831</v>
      </c>
      <c r="E1657">
        <v>3</v>
      </c>
      <c r="F1657">
        <v>3</v>
      </c>
      <c r="G1657">
        <v>1</v>
      </c>
      <c r="H1657">
        <v>1.1990111981462599</v>
      </c>
      <c r="I1657" t="s">
        <v>957</v>
      </c>
      <c r="J1657" t="s">
        <v>3979</v>
      </c>
      <c r="K1657">
        <v>0.17142857142857101</v>
      </c>
      <c r="L1657" t="s">
        <v>959</v>
      </c>
      <c r="M1657">
        <v>8.7591240875912408</v>
      </c>
      <c r="N1657" t="s">
        <v>960</v>
      </c>
      <c r="O1657">
        <v>0</v>
      </c>
      <c r="P1657">
        <v>0</v>
      </c>
      <c r="Q1657">
        <v>0</v>
      </c>
      <c r="R1657">
        <v>0</v>
      </c>
    </row>
    <row r="1658" spans="1:18" ht="16" x14ac:dyDescent="0.2">
      <c r="A1658" s="130" t="s">
        <v>3909</v>
      </c>
      <c r="B1658" t="s">
        <v>45</v>
      </c>
      <c r="C1658" t="s">
        <v>1512</v>
      </c>
      <c r="D1658" t="s">
        <v>1513</v>
      </c>
      <c r="E1658" t="s">
        <v>1052</v>
      </c>
      <c r="F1658">
        <v>2</v>
      </c>
      <c r="G1658">
        <v>2</v>
      </c>
      <c r="H1658">
        <v>0.60691564339057702</v>
      </c>
      <c r="I1658" t="s">
        <v>957</v>
      </c>
      <c r="J1658" t="s">
        <v>4833</v>
      </c>
      <c r="K1658">
        <v>0.185714285714286</v>
      </c>
      <c r="L1658" t="s">
        <v>959</v>
      </c>
      <c r="M1658">
        <v>9.4890510948905096</v>
      </c>
      <c r="N1658" t="s">
        <v>960</v>
      </c>
      <c r="O1658">
        <v>0</v>
      </c>
      <c r="P1658">
        <v>0</v>
      </c>
      <c r="Q1658">
        <v>0</v>
      </c>
      <c r="R1658">
        <v>0</v>
      </c>
    </row>
    <row r="1659" spans="1:18" ht="16" x14ac:dyDescent="0.2">
      <c r="A1659" s="130" t="s">
        <v>3909</v>
      </c>
      <c r="B1659" t="s">
        <v>45</v>
      </c>
      <c r="C1659" t="s">
        <v>1497</v>
      </c>
      <c r="D1659" t="s">
        <v>1498</v>
      </c>
      <c r="E1659">
        <v>3</v>
      </c>
      <c r="F1659">
        <v>3</v>
      </c>
      <c r="G1659">
        <v>1</v>
      </c>
      <c r="H1659">
        <v>3.88760768007382</v>
      </c>
      <c r="I1659" t="s">
        <v>957</v>
      </c>
      <c r="J1659" t="s">
        <v>4445</v>
      </c>
      <c r="K1659">
        <v>7.8571428571428598E-2</v>
      </c>
      <c r="L1659" t="s">
        <v>959</v>
      </c>
      <c r="M1659">
        <v>3.6496350364963499</v>
      </c>
      <c r="N1659" t="s">
        <v>960</v>
      </c>
      <c r="O1659">
        <v>0</v>
      </c>
      <c r="P1659">
        <v>0</v>
      </c>
      <c r="Q1659">
        <v>0</v>
      </c>
      <c r="R1659">
        <v>0</v>
      </c>
    </row>
    <row r="1660" spans="1:18" ht="16" x14ac:dyDescent="0.2">
      <c r="A1660" s="130" t="s">
        <v>3909</v>
      </c>
      <c r="B1660" t="s">
        <v>166</v>
      </c>
      <c r="C1660" t="s">
        <v>2310</v>
      </c>
      <c r="D1660" t="s">
        <v>2311</v>
      </c>
      <c r="E1660">
        <v>4</v>
      </c>
      <c r="F1660">
        <v>4</v>
      </c>
      <c r="G1660">
        <v>1</v>
      </c>
      <c r="H1660">
        <v>2.2289566300329402</v>
      </c>
      <c r="I1660" t="s">
        <v>957</v>
      </c>
      <c r="J1660" t="s">
        <v>4105</v>
      </c>
      <c r="K1660">
        <v>0.128571428571429</v>
      </c>
      <c r="L1660" t="s">
        <v>959</v>
      </c>
      <c r="M1660">
        <v>8.7591240875912408</v>
      </c>
      <c r="N1660" t="s">
        <v>960</v>
      </c>
      <c r="O1660">
        <v>0</v>
      </c>
      <c r="P1660">
        <v>0</v>
      </c>
      <c r="Q1660">
        <v>0</v>
      </c>
      <c r="R1660">
        <v>0</v>
      </c>
    </row>
    <row r="1661" spans="1:18" ht="16" x14ac:dyDescent="0.2">
      <c r="A1661" s="130" t="s">
        <v>3909</v>
      </c>
      <c r="B1661" t="s">
        <v>166</v>
      </c>
      <c r="C1661" t="s">
        <v>2230</v>
      </c>
      <c r="D1661" t="s">
        <v>2231</v>
      </c>
      <c r="E1661">
        <v>3</v>
      </c>
      <c r="F1661">
        <v>3</v>
      </c>
      <c r="G1661">
        <v>1</v>
      </c>
      <c r="H1661">
        <v>3.9126830866809499</v>
      </c>
      <c r="I1661" t="s">
        <v>957</v>
      </c>
      <c r="J1661" t="s">
        <v>4745</v>
      </c>
      <c r="K1661">
        <v>0.157142857142857</v>
      </c>
      <c r="L1661" t="s">
        <v>959</v>
      </c>
      <c r="M1661">
        <v>4.3795620437956204</v>
      </c>
      <c r="N1661" t="s">
        <v>960</v>
      </c>
      <c r="O1661">
        <v>0</v>
      </c>
      <c r="P1661">
        <v>0</v>
      </c>
      <c r="Q1661">
        <v>0</v>
      </c>
      <c r="R1661">
        <v>0</v>
      </c>
    </row>
    <row r="1662" spans="1:18" ht="16" x14ac:dyDescent="0.2">
      <c r="A1662" s="130" t="s">
        <v>3909</v>
      </c>
      <c r="B1662" t="s">
        <v>166</v>
      </c>
      <c r="C1662" t="s">
        <v>1304</v>
      </c>
      <c r="D1662" t="s">
        <v>1305</v>
      </c>
      <c r="E1662">
        <v>3</v>
      </c>
      <c r="F1662">
        <v>3</v>
      </c>
      <c r="G1662">
        <v>1</v>
      </c>
      <c r="H1662">
        <v>3.8769882310992498</v>
      </c>
      <c r="I1662" t="s">
        <v>957</v>
      </c>
      <c r="J1662" t="s">
        <v>4007</v>
      </c>
      <c r="K1662">
        <v>9.2857142857142902E-2</v>
      </c>
      <c r="L1662" t="s">
        <v>959</v>
      </c>
      <c r="M1662">
        <v>3.6496350364963499</v>
      </c>
      <c r="N1662" t="s">
        <v>960</v>
      </c>
      <c r="O1662">
        <v>0</v>
      </c>
      <c r="P1662">
        <v>0</v>
      </c>
      <c r="Q1662">
        <v>0</v>
      </c>
      <c r="R1662">
        <v>0</v>
      </c>
    </row>
    <row r="1663" spans="1:18" ht="16" x14ac:dyDescent="0.2">
      <c r="A1663" s="130" t="s">
        <v>3909</v>
      </c>
      <c r="B1663" t="s">
        <v>166</v>
      </c>
      <c r="C1663" t="s">
        <v>2546</v>
      </c>
      <c r="D1663" t="s">
        <v>2547</v>
      </c>
      <c r="E1663">
        <v>3</v>
      </c>
      <c r="F1663">
        <v>3</v>
      </c>
      <c r="G1663">
        <v>1</v>
      </c>
      <c r="H1663">
        <v>3.43170671824954</v>
      </c>
      <c r="I1663" t="s">
        <v>957</v>
      </c>
      <c r="J1663" t="s">
        <v>4829</v>
      </c>
      <c r="K1663">
        <v>0.107142857142857</v>
      </c>
      <c r="L1663" t="s">
        <v>959</v>
      </c>
      <c r="M1663">
        <v>4.3795620437956204</v>
      </c>
      <c r="N1663" t="s">
        <v>960</v>
      </c>
      <c r="O1663">
        <v>0</v>
      </c>
      <c r="P1663">
        <v>0</v>
      </c>
      <c r="Q1663">
        <v>0</v>
      </c>
      <c r="R1663">
        <v>0</v>
      </c>
    </row>
    <row r="1664" spans="1:18" ht="16" x14ac:dyDescent="0.2">
      <c r="A1664" s="130" t="s">
        <v>3909</v>
      </c>
      <c r="B1664" t="s">
        <v>166</v>
      </c>
      <c r="C1664" t="s">
        <v>1450</v>
      </c>
      <c r="D1664" t="s">
        <v>1451</v>
      </c>
      <c r="E1664" t="s">
        <v>1052</v>
      </c>
      <c r="F1664">
        <v>2</v>
      </c>
      <c r="G1664">
        <v>2</v>
      </c>
      <c r="H1664">
        <v>3.9478897775526498</v>
      </c>
      <c r="I1664" t="s">
        <v>957</v>
      </c>
      <c r="J1664" t="s">
        <v>4447</v>
      </c>
      <c r="K1664">
        <v>0.15</v>
      </c>
      <c r="L1664" t="s">
        <v>959</v>
      </c>
      <c r="M1664">
        <v>4.3795620437956204</v>
      </c>
      <c r="N1664" t="s">
        <v>960</v>
      </c>
      <c r="O1664">
        <v>0</v>
      </c>
      <c r="P1664">
        <v>0</v>
      </c>
      <c r="Q1664">
        <v>0</v>
      </c>
      <c r="R1664">
        <v>0</v>
      </c>
    </row>
    <row r="1665" spans="1:18" ht="16" x14ac:dyDescent="0.2">
      <c r="A1665" s="130" t="s">
        <v>3909</v>
      </c>
      <c r="B1665" t="s">
        <v>166</v>
      </c>
      <c r="C1665" t="s">
        <v>1480</v>
      </c>
      <c r="D1665" t="s">
        <v>2208</v>
      </c>
      <c r="E1665">
        <v>3</v>
      </c>
      <c r="F1665">
        <v>3</v>
      </c>
      <c r="G1665">
        <v>1</v>
      </c>
      <c r="H1665">
        <v>1.3673161262628599</v>
      </c>
      <c r="I1665" t="s">
        <v>957</v>
      </c>
      <c r="J1665" t="s">
        <v>4125</v>
      </c>
      <c r="K1665">
        <v>0.13571428571428601</v>
      </c>
      <c r="L1665" t="s">
        <v>959</v>
      </c>
      <c r="M1665">
        <v>8.0291970802919703</v>
      </c>
      <c r="N1665" t="s">
        <v>960</v>
      </c>
      <c r="O1665">
        <v>0</v>
      </c>
      <c r="P1665">
        <v>0</v>
      </c>
      <c r="Q1665">
        <v>0</v>
      </c>
      <c r="R1665" t="s">
        <v>5019</v>
      </c>
    </row>
    <row r="1666" spans="1:18" ht="16" x14ac:dyDescent="0.2">
      <c r="A1666" s="130" t="s">
        <v>3909</v>
      </c>
      <c r="B1666" t="s">
        <v>166</v>
      </c>
      <c r="C1666" t="s">
        <v>2488</v>
      </c>
      <c r="D1666" t="s">
        <v>2489</v>
      </c>
      <c r="E1666">
        <v>3</v>
      </c>
      <c r="F1666">
        <v>3</v>
      </c>
      <c r="G1666">
        <v>1</v>
      </c>
      <c r="H1666">
        <v>2.4143700983194298</v>
      </c>
      <c r="I1666" t="s">
        <v>957</v>
      </c>
      <c r="J1666" t="s">
        <v>4426</v>
      </c>
      <c r="K1666">
        <v>0.114285714285714</v>
      </c>
      <c r="L1666" t="s">
        <v>959</v>
      </c>
      <c r="M1666">
        <v>5.10948905109489</v>
      </c>
      <c r="N1666" t="s">
        <v>960</v>
      </c>
      <c r="O1666">
        <v>0</v>
      </c>
      <c r="P1666">
        <v>0</v>
      </c>
      <c r="Q1666">
        <v>0</v>
      </c>
      <c r="R1666">
        <v>0</v>
      </c>
    </row>
    <row r="1667" spans="1:18" ht="16" x14ac:dyDescent="0.2">
      <c r="A1667" s="130" t="s">
        <v>3909</v>
      </c>
      <c r="B1667" t="s">
        <v>170</v>
      </c>
      <c r="C1667" t="s">
        <v>4381</v>
      </c>
      <c r="D1667" t="s">
        <v>4382</v>
      </c>
      <c r="E1667" t="s">
        <v>1085</v>
      </c>
      <c r="F1667">
        <v>5</v>
      </c>
      <c r="G1667">
        <v>2</v>
      </c>
      <c r="H1667">
        <v>2.2857460009520998</v>
      </c>
      <c r="I1667" t="s">
        <v>957</v>
      </c>
      <c r="J1667" t="s">
        <v>4383</v>
      </c>
      <c r="K1667">
        <v>0.266666666666667</v>
      </c>
      <c r="L1667" t="s">
        <v>1004</v>
      </c>
      <c r="M1667">
        <v>0.72992700729926996</v>
      </c>
      <c r="N1667" t="s">
        <v>1005</v>
      </c>
      <c r="O1667">
        <v>0</v>
      </c>
      <c r="P1667">
        <v>0</v>
      </c>
      <c r="Q1667">
        <v>0</v>
      </c>
      <c r="R1667">
        <v>0</v>
      </c>
    </row>
    <row r="1668" spans="1:18" ht="16" x14ac:dyDescent="0.2">
      <c r="A1668" s="130" t="s">
        <v>3909</v>
      </c>
      <c r="B1668" t="s">
        <v>170</v>
      </c>
      <c r="C1668" t="s">
        <v>1995</v>
      </c>
      <c r="D1668" t="s">
        <v>1996</v>
      </c>
      <c r="E1668" t="s">
        <v>1216</v>
      </c>
      <c r="F1668">
        <v>7</v>
      </c>
      <c r="G1668">
        <v>2</v>
      </c>
      <c r="H1668">
        <v>2.06061977233886</v>
      </c>
      <c r="I1668" t="s">
        <v>957</v>
      </c>
      <c r="J1668" t="s">
        <v>4606</v>
      </c>
      <c r="K1668">
        <v>0.33333333333333298</v>
      </c>
      <c r="L1668" t="s">
        <v>1004</v>
      </c>
      <c r="M1668">
        <v>3.6496350364963499</v>
      </c>
      <c r="N1668" t="s">
        <v>1005</v>
      </c>
      <c r="O1668">
        <v>0</v>
      </c>
      <c r="P1668">
        <v>0</v>
      </c>
      <c r="Q1668">
        <v>0</v>
      </c>
      <c r="R1668">
        <v>0</v>
      </c>
    </row>
    <row r="1669" spans="1:18" ht="16" x14ac:dyDescent="0.2">
      <c r="A1669" s="130" t="s">
        <v>3909</v>
      </c>
      <c r="B1669" t="s">
        <v>170</v>
      </c>
      <c r="C1669" t="s">
        <v>1822</v>
      </c>
      <c r="D1669" t="s">
        <v>1823</v>
      </c>
      <c r="E1669">
        <v>8</v>
      </c>
      <c r="F1669">
        <v>8</v>
      </c>
      <c r="G1669">
        <v>1</v>
      </c>
      <c r="H1669">
        <v>1.00578959974102</v>
      </c>
      <c r="I1669" t="s">
        <v>957</v>
      </c>
      <c r="J1669" t="s">
        <v>3304</v>
      </c>
      <c r="K1669">
        <v>0.17647058823529399</v>
      </c>
      <c r="L1669" t="s">
        <v>1099</v>
      </c>
      <c r="M1669">
        <v>8.0291970802919703</v>
      </c>
      <c r="N1669" t="s">
        <v>973</v>
      </c>
      <c r="O1669">
        <v>0</v>
      </c>
      <c r="P1669">
        <v>0</v>
      </c>
      <c r="Q1669">
        <v>0</v>
      </c>
      <c r="R1669">
        <v>0</v>
      </c>
    </row>
    <row r="1670" spans="1:18" ht="16" x14ac:dyDescent="0.2">
      <c r="A1670" s="130" t="s">
        <v>3909</v>
      </c>
      <c r="B1670" t="s">
        <v>170</v>
      </c>
      <c r="C1670" t="s">
        <v>1197</v>
      </c>
      <c r="D1670" t="s">
        <v>1198</v>
      </c>
      <c r="E1670" t="s">
        <v>3512</v>
      </c>
      <c r="F1670">
        <v>9</v>
      </c>
      <c r="G1670">
        <v>2</v>
      </c>
      <c r="H1670">
        <v>2.5276405353612099</v>
      </c>
      <c r="I1670" t="s">
        <v>957</v>
      </c>
      <c r="J1670" t="s">
        <v>4186</v>
      </c>
      <c r="K1670">
        <v>0.4</v>
      </c>
      <c r="L1670" t="s">
        <v>1004</v>
      </c>
      <c r="M1670">
        <v>5.8394160583941597</v>
      </c>
      <c r="N1670" t="s">
        <v>1005</v>
      </c>
      <c r="O1670">
        <v>0</v>
      </c>
      <c r="P1670">
        <v>0</v>
      </c>
      <c r="Q1670">
        <v>0</v>
      </c>
      <c r="R1670">
        <v>0</v>
      </c>
    </row>
    <row r="1671" spans="1:18" ht="16" x14ac:dyDescent="0.2">
      <c r="A1671" s="130" t="s">
        <v>3909</v>
      </c>
      <c r="B1671" t="s">
        <v>170</v>
      </c>
      <c r="C1671" t="s">
        <v>1459</v>
      </c>
      <c r="D1671" t="s">
        <v>4170</v>
      </c>
      <c r="E1671">
        <v>79</v>
      </c>
      <c r="F1671">
        <v>79</v>
      </c>
      <c r="G1671">
        <v>1</v>
      </c>
      <c r="H1671">
        <v>2.2244281429128301</v>
      </c>
      <c r="I1671" t="s">
        <v>957</v>
      </c>
      <c r="J1671" t="s">
        <v>4991</v>
      </c>
      <c r="K1671">
        <v>0.17647058823529399</v>
      </c>
      <c r="L1671" t="s">
        <v>1099</v>
      </c>
      <c r="M1671">
        <v>8.0291970802919703</v>
      </c>
      <c r="N1671" t="s">
        <v>973</v>
      </c>
      <c r="O1671">
        <v>0</v>
      </c>
      <c r="P1671" t="s">
        <v>5017</v>
      </c>
      <c r="Q1671">
        <v>0</v>
      </c>
      <c r="R1671" t="s">
        <v>5019</v>
      </c>
    </row>
    <row r="1672" spans="1:18" ht="16" x14ac:dyDescent="0.2">
      <c r="A1672" s="130" t="s">
        <v>3909</v>
      </c>
      <c r="B1672" t="s">
        <v>170</v>
      </c>
      <c r="C1672" t="s">
        <v>2536</v>
      </c>
      <c r="D1672" t="s">
        <v>2537</v>
      </c>
      <c r="E1672">
        <v>3</v>
      </c>
      <c r="F1672">
        <v>3</v>
      </c>
      <c r="G1672">
        <v>1</v>
      </c>
      <c r="H1672">
        <v>1.54688864723425</v>
      </c>
      <c r="I1672" t="s">
        <v>957</v>
      </c>
      <c r="J1672" t="s">
        <v>4115</v>
      </c>
      <c r="K1672">
        <v>0.23529411764705899</v>
      </c>
      <c r="L1672" t="s">
        <v>1099</v>
      </c>
      <c r="M1672">
        <v>7.2992700729926998</v>
      </c>
      <c r="N1672" t="s">
        <v>973</v>
      </c>
      <c r="O1672">
        <v>0</v>
      </c>
      <c r="P1672">
        <v>0</v>
      </c>
      <c r="Q1672">
        <v>0</v>
      </c>
      <c r="R1672">
        <v>0</v>
      </c>
    </row>
    <row r="1673" spans="1:18" ht="16" x14ac:dyDescent="0.2">
      <c r="A1673" s="130" t="s">
        <v>3909</v>
      </c>
      <c r="B1673" t="s">
        <v>170</v>
      </c>
      <c r="C1673" t="s">
        <v>2749</v>
      </c>
      <c r="D1673" t="s">
        <v>4252</v>
      </c>
      <c r="E1673" t="s">
        <v>1442</v>
      </c>
      <c r="F1673">
        <v>5</v>
      </c>
      <c r="G1673">
        <v>2</v>
      </c>
      <c r="H1673">
        <v>2.87829234769224</v>
      </c>
      <c r="I1673" t="s">
        <v>957</v>
      </c>
      <c r="J1673" t="s">
        <v>4253</v>
      </c>
      <c r="K1673">
        <v>0.2</v>
      </c>
      <c r="L1673" t="s">
        <v>1004</v>
      </c>
      <c r="M1673">
        <v>6.5693430656934302</v>
      </c>
      <c r="N1673" t="s">
        <v>1005</v>
      </c>
      <c r="O1673">
        <v>0</v>
      </c>
      <c r="P1673">
        <v>0</v>
      </c>
      <c r="Q1673">
        <v>0</v>
      </c>
      <c r="R1673">
        <v>0</v>
      </c>
    </row>
    <row r="1674" spans="1:18" ht="16" x14ac:dyDescent="0.2">
      <c r="A1674" s="130" t="s">
        <v>3909</v>
      </c>
      <c r="B1674" t="s">
        <v>175</v>
      </c>
      <c r="C1674" t="s">
        <v>2893</v>
      </c>
      <c r="D1674" t="s">
        <v>2894</v>
      </c>
      <c r="E1674">
        <v>3</v>
      </c>
      <c r="F1674">
        <v>3</v>
      </c>
      <c r="G1674">
        <v>1</v>
      </c>
      <c r="H1674">
        <v>2.1202548404772799</v>
      </c>
      <c r="I1674" t="s">
        <v>957</v>
      </c>
      <c r="J1674" t="s">
        <v>4959</v>
      </c>
      <c r="K1674">
        <v>0.2</v>
      </c>
      <c r="L1674" t="s">
        <v>959</v>
      </c>
      <c r="M1674">
        <v>8.7591240875912408</v>
      </c>
      <c r="N1674" t="s">
        <v>960</v>
      </c>
      <c r="O1674">
        <v>0</v>
      </c>
      <c r="P1674">
        <v>0</v>
      </c>
      <c r="Q1674">
        <v>0</v>
      </c>
      <c r="R1674">
        <v>0</v>
      </c>
    </row>
    <row r="1675" spans="1:18" ht="16" x14ac:dyDescent="0.2">
      <c r="A1675" s="130" t="s">
        <v>3909</v>
      </c>
      <c r="B1675" t="s">
        <v>175</v>
      </c>
      <c r="C1675" t="s">
        <v>983</v>
      </c>
      <c r="D1675" t="s">
        <v>984</v>
      </c>
      <c r="E1675" t="s">
        <v>1074</v>
      </c>
      <c r="F1675">
        <v>6</v>
      </c>
      <c r="G1675">
        <v>2</v>
      </c>
      <c r="H1675">
        <v>0.91951201852779296</v>
      </c>
      <c r="I1675" t="s">
        <v>957</v>
      </c>
      <c r="J1675" t="s">
        <v>4323</v>
      </c>
      <c r="K1675">
        <v>0.34482758620689702</v>
      </c>
      <c r="L1675" t="s">
        <v>972</v>
      </c>
      <c r="M1675">
        <v>8.7591240875912408</v>
      </c>
      <c r="N1675" t="s">
        <v>973</v>
      </c>
      <c r="O1675">
        <v>0</v>
      </c>
      <c r="P1675">
        <v>0</v>
      </c>
      <c r="Q1675">
        <v>0</v>
      </c>
      <c r="R1675">
        <v>0</v>
      </c>
    </row>
    <row r="1676" spans="1:18" ht="16" x14ac:dyDescent="0.2">
      <c r="A1676" s="130" t="s">
        <v>3909</v>
      </c>
      <c r="B1676" t="s">
        <v>175</v>
      </c>
      <c r="C1676" t="s">
        <v>1054</v>
      </c>
      <c r="D1676" t="s">
        <v>3928</v>
      </c>
      <c r="E1676" t="s">
        <v>4818</v>
      </c>
      <c r="F1676">
        <v>42</v>
      </c>
      <c r="G1676">
        <v>2</v>
      </c>
      <c r="H1676">
        <v>1.58177719331832</v>
      </c>
      <c r="I1676" t="s">
        <v>957</v>
      </c>
      <c r="J1676" t="s">
        <v>4819</v>
      </c>
      <c r="K1676">
        <v>0.37931034482758602</v>
      </c>
      <c r="L1676" t="s">
        <v>972</v>
      </c>
      <c r="M1676">
        <v>5.10948905109489</v>
      </c>
      <c r="N1676" t="s">
        <v>973</v>
      </c>
      <c r="O1676">
        <v>0</v>
      </c>
      <c r="P1676">
        <v>0</v>
      </c>
      <c r="Q1676">
        <v>0</v>
      </c>
      <c r="R1676">
        <v>0</v>
      </c>
    </row>
    <row r="1677" spans="1:18" ht="16" x14ac:dyDescent="0.2">
      <c r="A1677" s="130" t="s">
        <v>3909</v>
      </c>
      <c r="B1677" t="s">
        <v>175</v>
      </c>
      <c r="C1677" t="s">
        <v>3755</v>
      </c>
      <c r="D1677" t="s">
        <v>3756</v>
      </c>
      <c r="E1677" t="s">
        <v>5000</v>
      </c>
      <c r="F1677">
        <v>22</v>
      </c>
      <c r="G1677">
        <v>2</v>
      </c>
      <c r="H1677">
        <v>0.806189163689088</v>
      </c>
      <c r="I1677" t="s">
        <v>957</v>
      </c>
      <c r="J1677" t="s">
        <v>5001</v>
      </c>
      <c r="K1677">
        <v>0.37931034482758602</v>
      </c>
      <c r="L1677" t="s">
        <v>972</v>
      </c>
      <c r="M1677">
        <v>5.10948905109489</v>
      </c>
      <c r="N1677" t="s">
        <v>973</v>
      </c>
      <c r="O1677">
        <v>0</v>
      </c>
      <c r="P1677">
        <v>0</v>
      </c>
      <c r="Q1677">
        <v>0</v>
      </c>
      <c r="R1677">
        <v>0</v>
      </c>
    </row>
    <row r="1678" spans="1:18" ht="16" x14ac:dyDescent="0.2">
      <c r="A1678" s="130" t="s">
        <v>3909</v>
      </c>
      <c r="B1678" t="s">
        <v>175</v>
      </c>
      <c r="C1678" t="s">
        <v>2424</v>
      </c>
      <c r="D1678" t="s">
        <v>2425</v>
      </c>
      <c r="E1678" t="s">
        <v>1230</v>
      </c>
      <c r="F1678">
        <v>4</v>
      </c>
      <c r="G1678">
        <v>2</v>
      </c>
      <c r="H1678">
        <v>2.7315042335744799</v>
      </c>
      <c r="I1678" t="s">
        <v>957</v>
      </c>
      <c r="J1678" t="s">
        <v>3900</v>
      </c>
      <c r="K1678">
        <v>0.16428571428571401</v>
      </c>
      <c r="L1678" t="s">
        <v>959</v>
      </c>
      <c r="M1678">
        <v>8.0291970802919703</v>
      </c>
      <c r="N1678" t="s">
        <v>960</v>
      </c>
      <c r="O1678">
        <v>0</v>
      </c>
      <c r="P1678">
        <v>0</v>
      </c>
      <c r="Q1678">
        <v>0</v>
      </c>
      <c r="R1678">
        <v>0</v>
      </c>
    </row>
    <row r="1679" spans="1:18" ht="16" x14ac:dyDescent="0.2">
      <c r="A1679" s="130" t="s">
        <v>3909</v>
      </c>
      <c r="B1679" t="s">
        <v>175</v>
      </c>
      <c r="C1679" t="s">
        <v>3649</v>
      </c>
      <c r="D1679" t="s">
        <v>3650</v>
      </c>
      <c r="E1679" t="s">
        <v>1590</v>
      </c>
      <c r="F1679">
        <v>7</v>
      </c>
      <c r="G1679">
        <v>2</v>
      </c>
      <c r="H1679">
        <v>0.23736619564038899</v>
      </c>
      <c r="I1679" t="s">
        <v>957</v>
      </c>
      <c r="J1679" t="s">
        <v>4973</v>
      </c>
      <c r="K1679">
        <v>0.27586206896551702</v>
      </c>
      <c r="L1679" t="s">
        <v>972</v>
      </c>
      <c r="M1679">
        <v>2.1897810218978102</v>
      </c>
      <c r="N1679" t="s">
        <v>973</v>
      </c>
      <c r="O1679">
        <v>0</v>
      </c>
      <c r="P1679">
        <v>0</v>
      </c>
      <c r="Q1679">
        <v>0</v>
      </c>
      <c r="R1679">
        <v>0</v>
      </c>
    </row>
    <row r="1680" spans="1:18" ht="16" x14ac:dyDescent="0.2">
      <c r="A1680" s="130" t="s">
        <v>3909</v>
      </c>
      <c r="B1680" t="s">
        <v>175</v>
      </c>
      <c r="C1680" t="s">
        <v>4262</v>
      </c>
      <c r="D1680" t="s">
        <v>4263</v>
      </c>
      <c r="E1680" t="s">
        <v>2707</v>
      </c>
      <c r="F1680">
        <v>28</v>
      </c>
      <c r="G1680">
        <v>2</v>
      </c>
      <c r="H1680">
        <v>0.71680568081016705</v>
      </c>
      <c r="I1680" t="s">
        <v>957</v>
      </c>
      <c r="J1680" t="s">
        <v>4265</v>
      </c>
      <c r="K1680">
        <v>0.55172413793103403</v>
      </c>
      <c r="L1680" t="s">
        <v>972</v>
      </c>
      <c r="M1680">
        <v>5.8394160583941597</v>
      </c>
      <c r="N1680" t="s">
        <v>973</v>
      </c>
      <c r="O1680">
        <v>0</v>
      </c>
      <c r="P1680">
        <v>0</v>
      </c>
      <c r="Q1680">
        <v>0</v>
      </c>
      <c r="R1680">
        <v>0</v>
      </c>
    </row>
    <row r="1681" spans="1:18" ht="16" x14ac:dyDescent="0.2">
      <c r="A1681" s="130" t="s">
        <v>3909</v>
      </c>
      <c r="B1681" t="s">
        <v>49</v>
      </c>
      <c r="C1681" t="s">
        <v>338</v>
      </c>
      <c r="D1681" t="s">
        <v>3738</v>
      </c>
      <c r="E1681">
        <v>2</v>
      </c>
      <c r="F1681">
        <v>2</v>
      </c>
      <c r="G1681">
        <v>1</v>
      </c>
      <c r="H1681">
        <v>0.388065780621139</v>
      </c>
      <c r="I1681" t="s">
        <v>957</v>
      </c>
      <c r="J1681" t="s">
        <v>4415</v>
      </c>
      <c r="K1681">
        <v>1.4285714285714299E-2</v>
      </c>
      <c r="L1681" t="s">
        <v>959</v>
      </c>
      <c r="M1681">
        <v>1.4598540145985399</v>
      </c>
      <c r="N1681" t="s">
        <v>960</v>
      </c>
      <c r="O1681" t="s">
        <v>5017</v>
      </c>
      <c r="P1681">
        <v>0</v>
      </c>
      <c r="Q1681">
        <v>0</v>
      </c>
      <c r="R1681">
        <v>0</v>
      </c>
    </row>
    <row r="1682" spans="1:18" ht="16" x14ac:dyDescent="0.2">
      <c r="A1682" s="130" t="s">
        <v>3909</v>
      </c>
      <c r="B1682" t="s">
        <v>49</v>
      </c>
      <c r="C1682" t="s">
        <v>2641</v>
      </c>
      <c r="D1682" t="s">
        <v>2642</v>
      </c>
      <c r="E1682">
        <v>3</v>
      </c>
      <c r="F1682">
        <v>3</v>
      </c>
      <c r="G1682">
        <v>1</v>
      </c>
      <c r="H1682">
        <v>1.6871171862438099</v>
      </c>
      <c r="I1682" t="s">
        <v>957</v>
      </c>
      <c r="J1682" t="s">
        <v>4602</v>
      </c>
      <c r="K1682">
        <v>0.17857142857142899</v>
      </c>
      <c r="L1682" t="s">
        <v>959</v>
      </c>
      <c r="M1682">
        <v>8.0291970802919703</v>
      </c>
      <c r="N1682" t="s">
        <v>960</v>
      </c>
      <c r="O1682" t="s">
        <v>5017</v>
      </c>
      <c r="P1682">
        <v>0</v>
      </c>
      <c r="Q1682">
        <v>0</v>
      </c>
      <c r="R1682">
        <v>0</v>
      </c>
    </row>
    <row r="1683" spans="1:18" ht="16" x14ac:dyDescent="0.2">
      <c r="A1683" s="130" t="s">
        <v>3909</v>
      </c>
      <c r="B1683" t="s">
        <v>49</v>
      </c>
      <c r="C1683" t="s">
        <v>2877</v>
      </c>
      <c r="D1683" t="s">
        <v>2878</v>
      </c>
      <c r="E1683">
        <v>3</v>
      </c>
      <c r="F1683">
        <v>3</v>
      </c>
      <c r="G1683">
        <v>1</v>
      </c>
      <c r="H1683">
        <v>1.6973829445203801</v>
      </c>
      <c r="I1683" t="s">
        <v>957</v>
      </c>
      <c r="J1683" t="s">
        <v>4669</v>
      </c>
      <c r="K1683">
        <v>0.128571428571429</v>
      </c>
      <c r="L1683" t="s">
        <v>959</v>
      </c>
      <c r="M1683">
        <v>9.4890510948905096</v>
      </c>
      <c r="N1683" t="s">
        <v>960</v>
      </c>
      <c r="O1683" t="s">
        <v>5017</v>
      </c>
      <c r="P1683" t="s">
        <v>5018</v>
      </c>
      <c r="Q1683">
        <v>0</v>
      </c>
      <c r="R1683">
        <v>0</v>
      </c>
    </row>
    <row r="1684" spans="1:18" ht="16" x14ac:dyDescent="0.2">
      <c r="A1684" s="130" t="s">
        <v>3909</v>
      </c>
      <c r="B1684" t="s">
        <v>53</v>
      </c>
      <c r="C1684" t="s">
        <v>1436</v>
      </c>
      <c r="D1684" t="s">
        <v>1437</v>
      </c>
      <c r="E1684" t="s">
        <v>1052</v>
      </c>
      <c r="F1684">
        <v>2</v>
      </c>
      <c r="G1684">
        <v>2</v>
      </c>
      <c r="H1684">
        <v>2.5948924705790302</v>
      </c>
      <c r="I1684" t="s">
        <v>957</v>
      </c>
      <c r="J1684" t="s">
        <v>4990</v>
      </c>
      <c r="K1684">
        <v>0.17142857142857101</v>
      </c>
      <c r="L1684" t="s">
        <v>959</v>
      </c>
      <c r="M1684">
        <v>4.3795620437956204</v>
      </c>
      <c r="N1684" t="s">
        <v>960</v>
      </c>
      <c r="O1684">
        <v>0</v>
      </c>
      <c r="P1684">
        <v>0</v>
      </c>
      <c r="Q1684">
        <v>0</v>
      </c>
      <c r="R1684">
        <v>0</v>
      </c>
    </row>
    <row r="1685" spans="1:18" ht="16" x14ac:dyDescent="0.2">
      <c r="A1685" s="130" t="s">
        <v>3909</v>
      </c>
      <c r="B1685" t="s">
        <v>53</v>
      </c>
      <c r="C1685" t="s">
        <v>3100</v>
      </c>
      <c r="D1685" t="s">
        <v>3101</v>
      </c>
      <c r="E1685">
        <v>3</v>
      </c>
      <c r="F1685">
        <v>3</v>
      </c>
      <c r="G1685">
        <v>1</v>
      </c>
      <c r="H1685">
        <v>4.0890484007455701</v>
      </c>
      <c r="I1685" t="s">
        <v>957</v>
      </c>
      <c r="J1685" t="s">
        <v>3939</v>
      </c>
      <c r="K1685">
        <v>0.128571428571429</v>
      </c>
      <c r="L1685" t="s">
        <v>959</v>
      </c>
      <c r="M1685">
        <v>3.6496350364963499</v>
      </c>
      <c r="N1685" t="s">
        <v>960</v>
      </c>
      <c r="O1685">
        <v>0</v>
      </c>
      <c r="P1685">
        <v>0</v>
      </c>
      <c r="Q1685">
        <v>0</v>
      </c>
      <c r="R1685">
        <v>0</v>
      </c>
    </row>
    <row r="1686" spans="1:18" ht="16" x14ac:dyDescent="0.2">
      <c r="A1686" s="130" t="s">
        <v>3909</v>
      </c>
      <c r="B1686" t="s">
        <v>53</v>
      </c>
      <c r="C1686" t="s">
        <v>1402</v>
      </c>
      <c r="D1686" t="s">
        <v>1403</v>
      </c>
      <c r="E1686">
        <v>3</v>
      </c>
      <c r="F1686">
        <v>3</v>
      </c>
      <c r="G1686">
        <v>1</v>
      </c>
      <c r="H1686">
        <v>1.61704468155938</v>
      </c>
      <c r="I1686" t="s">
        <v>957</v>
      </c>
      <c r="J1686" t="s">
        <v>1405</v>
      </c>
      <c r="K1686">
        <v>0.185714285714286</v>
      </c>
      <c r="L1686" t="s">
        <v>959</v>
      </c>
      <c r="M1686">
        <v>9.4890510948905096</v>
      </c>
      <c r="N1686" t="s">
        <v>960</v>
      </c>
      <c r="O1686">
        <v>0</v>
      </c>
      <c r="P1686">
        <v>0</v>
      </c>
      <c r="Q1686">
        <v>0</v>
      </c>
      <c r="R1686">
        <v>0</v>
      </c>
    </row>
    <row r="1687" spans="1:18" ht="16" x14ac:dyDescent="0.2">
      <c r="A1687" s="130" t="s">
        <v>3909</v>
      </c>
      <c r="B1687" t="s">
        <v>53</v>
      </c>
      <c r="C1687" t="s">
        <v>3332</v>
      </c>
      <c r="D1687" t="s">
        <v>3333</v>
      </c>
      <c r="E1687" t="s">
        <v>1059</v>
      </c>
      <c r="F1687">
        <v>4</v>
      </c>
      <c r="G1687">
        <v>2</v>
      </c>
      <c r="H1687">
        <v>4.0800932603403703</v>
      </c>
      <c r="I1687" t="s">
        <v>957</v>
      </c>
      <c r="J1687" t="s">
        <v>3334</v>
      </c>
      <c r="K1687">
        <v>0.185714285714286</v>
      </c>
      <c r="L1687" t="s">
        <v>959</v>
      </c>
      <c r="M1687">
        <v>4.3795620437956204</v>
      </c>
      <c r="N1687" t="s">
        <v>960</v>
      </c>
      <c r="O1687">
        <v>0</v>
      </c>
      <c r="P1687">
        <v>0</v>
      </c>
      <c r="Q1687">
        <v>0</v>
      </c>
      <c r="R1687">
        <v>0</v>
      </c>
    </row>
    <row r="1688" spans="1:18" ht="16" x14ac:dyDescent="0.2">
      <c r="A1688" s="130" t="s">
        <v>3909</v>
      </c>
      <c r="B1688" t="s">
        <v>53</v>
      </c>
      <c r="C1688" t="s">
        <v>1398</v>
      </c>
      <c r="D1688" t="s">
        <v>1399</v>
      </c>
      <c r="E1688" t="s">
        <v>1052</v>
      </c>
      <c r="F1688">
        <v>2</v>
      </c>
      <c r="G1688">
        <v>2</v>
      </c>
      <c r="H1688">
        <v>3.9529953332595098</v>
      </c>
      <c r="I1688" t="s">
        <v>957</v>
      </c>
      <c r="J1688" t="s">
        <v>4875</v>
      </c>
      <c r="K1688">
        <v>0.17857142857142899</v>
      </c>
      <c r="L1688" t="s">
        <v>959</v>
      </c>
      <c r="M1688">
        <v>7.2992700729926998</v>
      </c>
      <c r="N1688" t="s">
        <v>960</v>
      </c>
      <c r="O1688">
        <v>0</v>
      </c>
      <c r="P1688">
        <v>0</v>
      </c>
      <c r="Q1688">
        <v>0</v>
      </c>
      <c r="R1688">
        <v>0</v>
      </c>
    </row>
    <row r="1689" spans="1:18" ht="16" x14ac:dyDescent="0.2">
      <c r="A1689" s="130" t="s">
        <v>3909</v>
      </c>
      <c r="B1689" t="s">
        <v>53</v>
      </c>
      <c r="C1689" t="s">
        <v>3477</v>
      </c>
      <c r="D1689" t="s">
        <v>3478</v>
      </c>
      <c r="E1689" t="s">
        <v>1022</v>
      </c>
      <c r="F1689">
        <v>3</v>
      </c>
      <c r="G1689">
        <v>2</v>
      </c>
      <c r="H1689">
        <v>2.8944300720496399</v>
      </c>
      <c r="I1689" t="s">
        <v>957</v>
      </c>
      <c r="J1689" t="s">
        <v>4020</v>
      </c>
      <c r="K1689">
        <v>0.185714285714286</v>
      </c>
      <c r="L1689" t="s">
        <v>959</v>
      </c>
      <c r="M1689">
        <v>6.5693430656934302</v>
      </c>
      <c r="N1689" t="s">
        <v>960</v>
      </c>
      <c r="O1689">
        <v>0</v>
      </c>
      <c r="P1689">
        <v>0</v>
      </c>
      <c r="Q1689">
        <v>0</v>
      </c>
      <c r="R1689">
        <v>0</v>
      </c>
    </row>
    <row r="1690" spans="1:18" ht="16" x14ac:dyDescent="0.2">
      <c r="A1690" s="130" t="s">
        <v>3909</v>
      </c>
      <c r="B1690" t="s">
        <v>53</v>
      </c>
      <c r="C1690" t="s">
        <v>3830</v>
      </c>
      <c r="D1690" t="s">
        <v>3831</v>
      </c>
      <c r="E1690" t="s">
        <v>3479</v>
      </c>
      <c r="F1690">
        <v>6</v>
      </c>
      <c r="G1690">
        <v>3</v>
      </c>
      <c r="H1690">
        <v>3.3510825794344199</v>
      </c>
      <c r="I1690" t="s">
        <v>957</v>
      </c>
      <c r="J1690" t="s">
        <v>5005</v>
      </c>
      <c r="K1690">
        <v>0.17142857142857101</v>
      </c>
      <c r="L1690" t="s">
        <v>959</v>
      </c>
      <c r="M1690">
        <v>8.7591240875912408</v>
      </c>
      <c r="N1690" t="s">
        <v>960</v>
      </c>
      <c r="O1690">
        <v>0</v>
      </c>
      <c r="P1690">
        <v>0</v>
      </c>
      <c r="Q1690">
        <v>0</v>
      </c>
      <c r="R1690">
        <v>0</v>
      </c>
    </row>
    <row r="1691" spans="1:18" ht="16" x14ac:dyDescent="0.2">
      <c r="A1691" s="130" t="s">
        <v>3909</v>
      </c>
      <c r="B1691" t="s">
        <v>57</v>
      </c>
      <c r="C1691" t="s">
        <v>3664</v>
      </c>
      <c r="D1691" t="s">
        <v>3665</v>
      </c>
      <c r="E1691">
        <v>3</v>
      </c>
      <c r="F1691">
        <v>3</v>
      </c>
      <c r="G1691">
        <v>1</v>
      </c>
      <c r="H1691">
        <v>3.8496809309165099</v>
      </c>
      <c r="I1691" t="s">
        <v>957</v>
      </c>
      <c r="J1691" t="s">
        <v>4182</v>
      </c>
      <c r="K1691">
        <v>0.128571428571429</v>
      </c>
      <c r="L1691" t="s">
        <v>959</v>
      </c>
      <c r="M1691">
        <v>4.3795620437956204</v>
      </c>
      <c r="N1691" t="s">
        <v>960</v>
      </c>
      <c r="O1691">
        <v>0</v>
      </c>
      <c r="P1691">
        <v>0</v>
      </c>
      <c r="Q1691">
        <v>0</v>
      </c>
      <c r="R1691">
        <v>0</v>
      </c>
    </row>
    <row r="1692" spans="1:18" ht="16" x14ac:dyDescent="0.2">
      <c r="A1692" s="130" t="s">
        <v>3909</v>
      </c>
      <c r="B1692" t="s">
        <v>57</v>
      </c>
      <c r="C1692" t="s">
        <v>2166</v>
      </c>
      <c r="D1692" t="s">
        <v>2167</v>
      </c>
      <c r="E1692">
        <v>3</v>
      </c>
      <c r="F1692">
        <v>3</v>
      </c>
      <c r="G1692">
        <v>1</v>
      </c>
      <c r="H1692">
        <v>3.79993709789079</v>
      </c>
      <c r="I1692" t="s">
        <v>957</v>
      </c>
      <c r="J1692" t="s">
        <v>4272</v>
      </c>
      <c r="K1692">
        <v>9.2857142857142902E-2</v>
      </c>
      <c r="L1692" t="s">
        <v>959</v>
      </c>
      <c r="M1692">
        <v>2.1897810218978102</v>
      </c>
      <c r="N1692" t="s">
        <v>960</v>
      </c>
      <c r="O1692">
        <v>0</v>
      </c>
      <c r="P1692">
        <v>0</v>
      </c>
      <c r="Q1692">
        <v>0</v>
      </c>
      <c r="R1692">
        <v>0</v>
      </c>
    </row>
    <row r="1693" spans="1:18" ht="16" x14ac:dyDescent="0.2">
      <c r="A1693" s="130" t="s">
        <v>3909</v>
      </c>
      <c r="B1693" t="s">
        <v>57</v>
      </c>
      <c r="C1693" t="s">
        <v>2313</v>
      </c>
      <c r="D1693" t="s">
        <v>2314</v>
      </c>
      <c r="E1693">
        <v>3</v>
      </c>
      <c r="F1693">
        <v>3</v>
      </c>
      <c r="G1693">
        <v>1</v>
      </c>
      <c r="H1693">
        <v>3.7963587505870602</v>
      </c>
      <c r="I1693" t="s">
        <v>957</v>
      </c>
      <c r="J1693" t="s">
        <v>4398</v>
      </c>
      <c r="K1693">
        <v>0.128571428571429</v>
      </c>
      <c r="L1693" t="s">
        <v>959</v>
      </c>
      <c r="M1693">
        <v>5.10948905109489</v>
      </c>
      <c r="N1693" t="s">
        <v>960</v>
      </c>
      <c r="O1693">
        <v>0</v>
      </c>
      <c r="P1693">
        <v>0</v>
      </c>
      <c r="Q1693">
        <v>0</v>
      </c>
      <c r="R1693">
        <v>0</v>
      </c>
    </row>
    <row r="1694" spans="1:18" ht="16" x14ac:dyDescent="0.2">
      <c r="A1694" s="130" t="s">
        <v>3909</v>
      </c>
      <c r="B1694" t="s">
        <v>61</v>
      </c>
      <c r="C1694" t="s">
        <v>2846</v>
      </c>
      <c r="D1694" t="s">
        <v>2847</v>
      </c>
      <c r="E1694">
        <v>6</v>
      </c>
      <c r="F1694">
        <v>6</v>
      </c>
      <c r="G1694">
        <v>1</v>
      </c>
      <c r="H1694">
        <v>2.7965495981964001</v>
      </c>
      <c r="I1694" t="s">
        <v>957</v>
      </c>
      <c r="J1694" t="s">
        <v>4693</v>
      </c>
      <c r="K1694">
        <v>1.4285714285714299E-2</v>
      </c>
      <c r="L1694" t="s">
        <v>959</v>
      </c>
      <c r="M1694">
        <v>1.4598540145985399</v>
      </c>
      <c r="N1694" t="s">
        <v>960</v>
      </c>
      <c r="O1694">
        <v>0</v>
      </c>
      <c r="P1694" t="s">
        <v>5018</v>
      </c>
      <c r="Q1694">
        <v>0</v>
      </c>
      <c r="R1694">
        <v>0</v>
      </c>
    </row>
    <row r="1695" spans="1:18" ht="16" x14ac:dyDescent="0.2">
      <c r="A1695" s="130" t="s">
        <v>3909</v>
      </c>
      <c r="B1695" t="s">
        <v>61</v>
      </c>
      <c r="C1695" t="s">
        <v>2893</v>
      </c>
      <c r="D1695" t="s">
        <v>2894</v>
      </c>
      <c r="E1695">
        <v>3</v>
      </c>
      <c r="F1695">
        <v>3</v>
      </c>
      <c r="G1695">
        <v>1</v>
      </c>
      <c r="H1695">
        <v>2.9907406987377398</v>
      </c>
      <c r="I1695" t="s">
        <v>957</v>
      </c>
      <c r="J1695" t="s">
        <v>2895</v>
      </c>
      <c r="K1695">
        <v>0.2</v>
      </c>
      <c r="L1695" t="s">
        <v>959</v>
      </c>
      <c r="M1695">
        <v>8.7591240875912408</v>
      </c>
      <c r="N1695" t="s">
        <v>960</v>
      </c>
      <c r="O1695">
        <v>0</v>
      </c>
      <c r="P1695">
        <v>0</v>
      </c>
      <c r="Q1695">
        <v>0</v>
      </c>
      <c r="R1695">
        <v>0</v>
      </c>
    </row>
    <row r="1696" spans="1:18" ht="16" x14ac:dyDescent="0.2">
      <c r="A1696" s="130" t="s">
        <v>3909</v>
      </c>
      <c r="B1696" t="s">
        <v>61</v>
      </c>
      <c r="C1696" t="s">
        <v>1885</v>
      </c>
      <c r="D1696" t="s">
        <v>1886</v>
      </c>
      <c r="E1696">
        <v>3</v>
      </c>
      <c r="F1696">
        <v>3</v>
      </c>
      <c r="G1696">
        <v>1</v>
      </c>
      <c r="H1696">
        <v>1.32494175325978</v>
      </c>
      <c r="I1696" t="s">
        <v>957</v>
      </c>
      <c r="J1696" t="s">
        <v>1888</v>
      </c>
      <c r="K1696">
        <v>3.5714285714285698E-2</v>
      </c>
      <c r="L1696" t="s">
        <v>959</v>
      </c>
      <c r="M1696">
        <v>3.6496350364963499</v>
      </c>
      <c r="N1696" t="s">
        <v>960</v>
      </c>
      <c r="O1696">
        <v>0</v>
      </c>
      <c r="P1696" t="s">
        <v>5018</v>
      </c>
      <c r="Q1696">
        <v>0</v>
      </c>
      <c r="R1696">
        <v>0</v>
      </c>
    </row>
    <row r="1697" spans="1:18" ht="16" x14ac:dyDescent="0.2">
      <c r="A1697" s="130" t="s">
        <v>3909</v>
      </c>
      <c r="B1697" t="s">
        <v>61</v>
      </c>
      <c r="C1697" t="s">
        <v>1615</v>
      </c>
      <c r="D1697" t="s">
        <v>1616</v>
      </c>
      <c r="E1697">
        <v>4</v>
      </c>
      <c r="F1697">
        <v>4</v>
      </c>
      <c r="G1697">
        <v>1</v>
      </c>
      <c r="H1697">
        <v>0.17190374260041999</v>
      </c>
      <c r="I1697" t="s">
        <v>957</v>
      </c>
      <c r="J1697" t="s">
        <v>4153</v>
      </c>
      <c r="K1697">
        <v>7.1428571428571397E-2</v>
      </c>
      <c r="L1697" t="s">
        <v>959</v>
      </c>
      <c r="M1697">
        <v>5.8394160583941597</v>
      </c>
      <c r="N1697" t="s">
        <v>960</v>
      </c>
      <c r="O1697">
        <v>0</v>
      </c>
      <c r="P1697" t="s">
        <v>5018</v>
      </c>
      <c r="Q1697">
        <v>0</v>
      </c>
      <c r="R1697">
        <v>0</v>
      </c>
    </row>
    <row r="1698" spans="1:18" ht="16" x14ac:dyDescent="0.2">
      <c r="A1698" s="130" t="s">
        <v>3909</v>
      </c>
      <c r="B1698" t="s">
        <v>61</v>
      </c>
      <c r="C1698" t="s">
        <v>3100</v>
      </c>
      <c r="D1698" t="s">
        <v>3101</v>
      </c>
      <c r="E1698" t="s">
        <v>1052</v>
      </c>
      <c r="F1698">
        <v>2</v>
      </c>
      <c r="G1698">
        <v>2</v>
      </c>
      <c r="H1698">
        <v>2.6136185654250101</v>
      </c>
      <c r="I1698" t="s">
        <v>957</v>
      </c>
      <c r="J1698" t="s">
        <v>4406</v>
      </c>
      <c r="K1698">
        <v>0.128571428571429</v>
      </c>
      <c r="L1698" t="s">
        <v>959</v>
      </c>
      <c r="M1698">
        <v>3.6496350364963499</v>
      </c>
      <c r="N1698" t="s">
        <v>960</v>
      </c>
      <c r="O1698">
        <v>0</v>
      </c>
      <c r="P1698">
        <v>0</v>
      </c>
      <c r="Q1698">
        <v>0</v>
      </c>
      <c r="R1698">
        <v>0</v>
      </c>
    </row>
    <row r="1699" spans="1:18" ht="16" x14ac:dyDescent="0.2">
      <c r="A1699" s="130" t="s">
        <v>3909</v>
      </c>
      <c r="B1699" t="s">
        <v>61</v>
      </c>
      <c r="C1699" t="s">
        <v>1402</v>
      </c>
      <c r="D1699" t="s">
        <v>1403</v>
      </c>
      <c r="E1699" t="s">
        <v>1230</v>
      </c>
      <c r="F1699">
        <v>4</v>
      </c>
      <c r="G1699">
        <v>2</v>
      </c>
      <c r="H1699">
        <v>2.9767218912789799</v>
      </c>
      <c r="I1699" t="s">
        <v>957</v>
      </c>
      <c r="J1699" t="s">
        <v>4024</v>
      </c>
      <c r="K1699">
        <v>0.185714285714286</v>
      </c>
      <c r="L1699" t="s">
        <v>959</v>
      </c>
      <c r="M1699">
        <v>9.4890510948905096</v>
      </c>
      <c r="N1699" t="s">
        <v>960</v>
      </c>
      <c r="O1699">
        <v>0</v>
      </c>
      <c r="P1699">
        <v>0</v>
      </c>
      <c r="Q1699">
        <v>0</v>
      </c>
      <c r="R1699">
        <v>0</v>
      </c>
    </row>
    <row r="1700" spans="1:18" ht="16" x14ac:dyDescent="0.2">
      <c r="A1700" s="130" t="s">
        <v>3909</v>
      </c>
      <c r="B1700" t="s">
        <v>61</v>
      </c>
      <c r="C1700" t="s">
        <v>1480</v>
      </c>
      <c r="D1700" t="s">
        <v>2208</v>
      </c>
      <c r="E1700" t="s">
        <v>1022</v>
      </c>
      <c r="F1700">
        <v>3</v>
      </c>
      <c r="G1700">
        <v>2</v>
      </c>
      <c r="H1700">
        <v>1.3673161262628599</v>
      </c>
      <c r="I1700" t="s">
        <v>957</v>
      </c>
      <c r="J1700" t="s">
        <v>4019</v>
      </c>
      <c r="K1700">
        <v>0.13571428571428601</v>
      </c>
      <c r="L1700" t="s">
        <v>959</v>
      </c>
      <c r="M1700">
        <v>8.0291970802919703</v>
      </c>
      <c r="N1700" t="s">
        <v>960</v>
      </c>
      <c r="O1700">
        <v>0</v>
      </c>
      <c r="P1700">
        <v>0</v>
      </c>
      <c r="Q1700">
        <v>0</v>
      </c>
      <c r="R1700" t="s">
        <v>5019</v>
      </c>
    </row>
    <row r="1701" spans="1:18" ht="16" x14ac:dyDescent="0.2">
      <c r="A1701" s="130" t="s">
        <v>3909</v>
      </c>
      <c r="B1701" t="s">
        <v>61</v>
      </c>
      <c r="C1701" t="s">
        <v>1649</v>
      </c>
      <c r="D1701" t="s">
        <v>1650</v>
      </c>
      <c r="E1701">
        <v>3</v>
      </c>
      <c r="F1701">
        <v>3</v>
      </c>
      <c r="G1701">
        <v>1</v>
      </c>
      <c r="H1701">
        <v>2.5655407312427698</v>
      </c>
      <c r="I1701" t="s">
        <v>957</v>
      </c>
      <c r="J1701" t="s">
        <v>2880</v>
      </c>
      <c r="K1701">
        <v>0.2</v>
      </c>
      <c r="L1701" t="s">
        <v>959</v>
      </c>
      <c r="M1701">
        <v>8.7591240875912408</v>
      </c>
      <c r="N1701" t="s">
        <v>960</v>
      </c>
      <c r="O1701">
        <v>0</v>
      </c>
      <c r="P1701">
        <v>0</v>
      </c>
      <c r="Q1701">
        <v>0</v>
      </c>
      <c r="R1701">
        <v>0</v>
      </c>
    </row>
    <row r="1702" spans="1:18" ht="16" x14ac:dyDescent="0.2">
      <c r="A1702" s="130" t="s">
        <v>3909</v>
      </c>
      <c r="B1702" t="s">
        <v>61</v>
      </c>
      <c r="C1702" t="s">
        <v>3925</v>
      </c>
      <c r="D1702" t="s">
        <v>3926</v>
      </c>
      <c r="E1702">
        <v>3</v>
      </c>
      <c r="F1702">
        <v>3</v>
      </c>
      <c r="G1702">
        <v>1</v>
      </c>
      <c r="H1702">
        <v>3.8596871801992698</v>
      </c>
      <c r="I1702" t="s">
        <v>957</v>
      </c>
      <c r="J1702" t="s">
        <v>4311</v>
      </c>
      <c r="K1702">
        <v>0.157142857142857</v>
      </c>
      <c r="L1702" t="s">
        <v>959</v>
      </c>
      <c r="M1702">
        <v>8.0291970802919703</v>
      </c>
      <c r="N1702" t="s">
        <v>987</v>
      </c>
      <c r="O1702">
        <v>0</v>
      </c>
      <c r="P1702">
        <v>0</v>
      </c>
      <c r="Q1702">
        <v>0</v>
      </c>
      <c r="R1702">
        <v>0</v>
      </c>
    </row>
    <row r="1703" spans="1:18" ht="16" x14ac:dyDescent="0.2">
      <c r="A1703" s="130" t="s">
        <v>3909</v>
      </c>
      <c r="B1703" t="s">
        <v>61</v>
      </c>
      <c r="C1703" t="s">
        <v>2814</v>
      </c>
      <c r="D1703" t="s">
        <v>2815</v>
      </c>
      <c r="E1703">
        <v>3</v>
      </c>
      <c r="F1703">
        <v>3</v>
      </c>
      <c r="G1703">
        <v>1</v>
      </c>
      <c r="H1703">
        <v>2.0945802780162301</v>
      </c>
      <c r="I1703" t="s">
        <v>957</v>
      </c>
      <c r="J1703" t="s">
        <v>4157</v>
      </c>
      <c r="K1703">
        <v>0.15</v>
      </c>
      <c r="L1703" t="s">
        <v>959</v>
      </c>
      <c r="M1703">
        <v>7.2992700729926998</v>
      </c>
      <c r="N1703" t="s">
        <v>960</v>
      </c>
      <c r="O1703">
        <v>0</v>
      </c>
      <c r="P1703">
        <v>0</v>
      </c>
      <c r="Q1703">
        <v>0</v>
      </c>
      <c r="R1703">
        <v>0</v>
      </c>
    </row>
    <row r="1704" spans="1:18" ht="16" x14ac:dyDescent="0.2">
      <c r="A1704" s="130" t="s">
        <v>3909</v>
      </c>
      <c r="B1704" t="s">
        <v>61</v>
      </c>
      <c r="C1704" t="s">
        <v>2877</v>
      </c>
      <c r="D1704" t="s">
        <v>2878</v>
      </c>
      <c r="E1704">
        <v>3</v>
      </c>
      <c r="F1704">
        <v>3</v>
      </c>
      <c r="G1704">
        <v>1</v>
      </c>
      <c r="H1704">
        <v>1.6973829445203801</v>
      </c>
      <c r="I1704" t="s">
        <v>957</v>
      </c>
      <c r="J1704" t="s">
        <v>4162</v>
      </c>
      <c r="K1704">
        <v>0.128571428571429</v>
      </c>
      <c r="L1704" t="s">
        <v>959</v>
      </c>
      <c r="M1704">
        <v>9.4890510948905096</v>
      </c>
      <c r="N1704" t="s">
        <v>960</v>
      </c>
      <c r="O1704">
        <v>0</v>
      </c>
      <c r="P1704" t="s">
        <v>5018</v>
      </c>
      <c r="Q1704">
        <v>0</v>
      </c>
      <c r="R1704">
        <v>0</v>
      </c>
    </row>
    <row r="1705" spans="1:18" ht="16" x14ac:dyDescent="0.2">
      <c r="A1705" s="130" t="s">
        <v>3909</v>
      </c>
      <c r="B1705" t="s">
        <v>179</v>
      </c>
      <c r="C1705" t="s">
        <v>2316</v>
      </c>
      <c r="D1705" t="s">
        <v>2317</v>
      </c>
      <c r="E1705" t="s">
        <v>1052</v>
      </c>
      <c r="F1705">
        <v>2</v>
      </c>
      <c r="G1705">
        <v>2</v>
      </c>
      <c r="H1705">
        <v>1.40733116649844</v>
      </c>
      <c r="I1705" t="s">
        <v>957</v>
      </c>
      <c r="J1705" t="s">
        <v>4902</v>
      </c>
      <c r="K1705">
        <v>0.192857142857143</v>
      </c>
      <c r="L1705" t="s">
        <v>959</v>
      </c>
      <c r="M1705">
        <v>8.7591240875912408</v>
      </c>
      <c r="N1705" t="s">
        <v>960</v>
      </c>
      <c r="O1705">
        <v>0</v>
      </c>
      <c r="P1705">
        <v>0</v>
      </c>
      <c r="Q1705">
        <v>0</v>
      </c>
      <c r="R1705">
        <v>0</v>
      </c>
    </row>
    <row r="1706" spans="1:18" ht="16" x14ac:dyDescent="0.2">
      <c r="A1706" s="130" t="s">
        <v>3909</v>
      </c>
      <c r="B1706" t="s">
        <v>179</v>
      </c>
      <c r="C1706" t="s">
        <v>3251</v>
      </c>
      <c r="D1706" t="s">
        <v>3252</v>
      </c>
      <c r="E1706" t="s">
        <v>2438</v>
      </c>
      <c r="F1706">
        <v>10</v>
      </c>
      <c r="G1706">
        <v>2</v>
      </c>
      <c r="H1706">
        <v>3.6872206248414199</v>
      </c>
      <c r="I1706" t="s">
        <v>957</v>
      </c>
      <c r="J1706" t="s">
        <v>4331</v>
      </c>
      <c r="K1706">
        <v>0.24137931034482801</v>
      </c>
      <c r="L1706" t="s">
        <v>972</v>
      </c>
      <c r="M1706">
        <v>2.9197080291970798</v>
      </c>
      <c r="N1706" t="s">
        <v>973</v>
      </c>
      <c r="O1706">
        <v>0</v>
      </c>
      <c r="P1706">
        <v>0</v>
      </c>
      <c r="Q1706">
        <v>0</v>
      </c>
      <c r="R1706">
        <v>0</v>
      </c>
    </row>
    <row r="1707" spans="1:18" ht="16" x14ac:dyDescent="0.2">
      <c r="A1707" s="130" t="s">
        <v>3909</v>
      </c>
      <c r="B1707" t="s">
        <v>179</v>
      </c>
      <c r="C1707" t="s">
        <v>3755</v>
      </c>
      <c r="D1707" t="s">
        <v>3756</v>
      </c>
      <c r="E1707" t="s">
        <v>4208</v>
      </c>
      <c r="F1707">
        <v>31</v>
      </c>
      <c r="G1707">
        <v>2</v>
      </c>
      <c r="H1707">
        <v>3.3023076208194699</v>
      </c>
      <c r="I1707" t="s">
        <v>957</v>
      </c>
      <c r="J1707" t="s">
        <v>4209</v>
      </c>
      <c r="K1707">
        <v>0.37931034482758602</v>
      </c>
      <c r="L1707" t="s">
        <v>972</v>
      </c>
      <c r="M1707">
        <v>5.10948905109489</v>
      </c>
      <c r="N1707" t="s">
        <v>973</v>
      </c>
      <c r="O1707">
        <v>0</v>
      </c>
      <c r="P1707">
        <v>0</v>
      </c>
      <c r="Q1707">
        <v>0</v>
      </c>
      <c r="R1707">
        <v>0</v>
      </c>
    </row>
    <row r="1708" spans="1:18" ht="16" x14ac:dyDescent="0.2">
      <c r="A1708" s="130" t="s">
        <v>3909</v>
      </c>
      <c r="B1708" t="s">
        <v>179</v>
      </c>
      <c r="C1708" t="s">
        <v>1010</v>
      </c>
      <c r="D1708" t="s">
        <v>1011</v>
      </c>
      <c r="E1708">
        <v>3</v>
      </c>
      <c r="F1708">
        <v>3</v>
      </c>
      <c r="G1708">
        <v>1</v>
      </c>
      <c r="H1708">
        <v>3.24886242566622</v>
      </c>
      <c r="I1708" t="s">
        <v>957</v>
      </c>
      <c r="J1708" t="s">
        <v>4300</v>
      </c>
      <c r="K1708">
        <v>7.8571428571428598E-2</v>
      </c>
      <c r="L1708" t="s">
        <v>959</v>
      </c>
      <c r="M1708">
        <v>2.1897810218978102</v>
      </c>
      <c r="N1708" t="s">
        <v>960</v>
      </c>
      <c r="O1708">
        <v>0</v>
      </c>
      <c r="P1708">
        <v>0</v>
      </c>
      <c r="Q1708">
        <v>0</v>
      </c>
      <c r="R1708">
        <v>0</v>
      </c>
    </row>
    <row r="1709" spans="1:18" ht="16" x14ac:dyDescent="0.2">
      <c r="A1709" s="130" t="s">
        <v>3909</v>
      </c>
      <c r="B1709" t="s">
        <v>179</v>
      </c>
      <c r="C1709" t="s">
        <v>2641</v>
      </c>
      <c r="D1709" t="s">
        <v>2642</v>
      </c>
      <c r="E1709">
        <v>5</v>
      </c>
      <c r="F1709">
        <v>5</v>
      </c>
      <c r="G1709">
        <v>1</v>
      </c>
      <c r="H1709">
        <v>3.0724333509014898</v>
      </c>
      <c r="I1709" t="s">
        <v>957</v>
      </c>
      <c r="J1709" t="s">
        <v>3875</v>
      </c>
      <c r="K1709">
        <v>0.17857142857142899</v>
      </c>
      <c r="L1709" t="s">
        <v>959</v>
      </c>
      <c r="M1709">
        <v>8.0291970802919703</v>
      </c>
      <c r="N1709" t="s">
        <v>960</v>
      </c>
      <c r="O1709">
        <v>0</v>
      </c>
      <c r="P1709">
        <v>0</v>
      </c>
      <c r="Q1709">
        <v>0</v>
      </c>
      <c r="R1709">
        <v>0</v>
      </c>
    </row>
    <row r="1710" spans="1:18" ht="16" x14ac:dyDescent="0.2">
      <c r="A1710" s="130" t="s">
        <v>3909</v>
      </c>
      <c r="B1710" t="s">
        <v>179</v>
      </c>
      <c r="C1710" t="s">
        <v>2424</v>
      </c>
      <c r="D1710" t="s">
        <v>2425</v>
      </c>
      <c r="E1710">
        <v>3</v>
      </c>
      <c r="F1710">
        <v>3</v>
      </c>
      <c r="G1710">
        <v>1</v>
      </c>
      <c r="H1710">
        <v>1.9413997032017001</v>
      </c>
      <c r="I1710" t="s">
        <v>957</v>
      </c>
      <c r="J1710" t="s">
        <v>4590</v>
      </c>
      <c r="K1710">
        <v>0.16428571428571401</v>
      </c>
      <c r="L1710" t="s">
        <v>959</v>
      </c>
      <c r="M1710">
        <v>8.0291970802919703</v>
      </c>
      <c r="N1710" t="s">
        <v>960</v>
      </c>
      <c r="O1710">
        <v>0</v>
      </c>
      <c r="P1710">
        <v>0</v>
      </c>
      <c r="Q1710">
        <v>0</v>
      </c>
      <c r="R1710">
        <v>0</v>
      </c>
    </row>
    <row r="1711" spans="1:18" ht="16" x14ac:dyDescent="0.2">
      <c r="A1711" s="130" t="s">
        <v>3909</v>
      </c>
      <c r="B1711" t="s">
        <v>179</v>
      </c>
      <c r="C1711" t="s">
        <v>3649</v>
      </c>
      <c r="D1711" t="s">
        <v>3650</v>
      </c>
      <c r="E1711" t="s">
        <v>3954</v>
      </c>
      <c r="F1711">
        <v>16</v>
      </c>
      <c r="G1711">
        <v>2</v>
      </c>
      <c r="H1711">
        <v>1.8258938126183799</v>
      </c>
      <c r="I1711" t="s">
        <v>957</v>
      </c>
      <c r="J1711" t="s">
        <v>3955</v>
      </c>
      <c r="K1711">
        <v>0.27586206896551702</v>
      </c>
      <c r="L1711" t="s">
        <v>972</v>
      </c>
      <c r="M1711">
        <v>2.1897810218978102</v>
      </c>
      <c r="N1711" t="s">
        <v>973</v>
      </c>
      <c r="O1711">
        <v>0</v>
      </c>
      <c r="P1711">
        <v>0</v>
      </c>
      <c r="Q1711">
        <v>0</v>
      </c>
      <c r="R1711">
        <v>0</v>
      </c>
    </row>
    <row r="1712" spans="1:18" ht="16" x14ac:dyDescent="0.2">
      <c r="A1712" s="130" t="s">
        <v>3909</v>
      </c>
      <c r="B1712" t="s">
        <v>179</v>
      </c>
      <c r="C1712" t="s">
        <v>2964</v>
      </c>
      <c r="D1712" t="s">
        <v>2965</v>
      </c>
      <c r="E1712">
        <v>3</v>
      </c>
      <c r="F1712">
        <v>3</v>
      </c>
      <c r="G1712">
        <v>1</v>
      </c>
      <c r="H1712">
        <v>3.4294692299173501</v>
      </c>
      <c r="I1712" t="s">
        <v>957</v>
      </c>
      <c r="J1712" t="s">
        <v>4114</v>
      </c>
      <c r="K1712">
        <v>0.121428571428571</v>
      </c>
      <c r="L1712" t="s">
        <v>959</v>
      </c>
      <c r="M1712">
        <v>3.6496350364963499</v>
      </c>
      <c r="N1712" t="s">
        <v>960</v>
      </c>
      <c r="O1712">
        <v>0</v>
      </c>
      <c r="P1712" t="s">
        <v>5017</v>
      </c>
      <c r="Q1712">
        <v>0</v>
      </c>
      <c r="R1712" t="s">
        <v>5019</v>
      </c>
    </row>
    <row r="1713" spans="1:18" ht="16" x14ac:dyDescent="0.2">
      <c r="A1713" s="130" t="s">
        <v>3909</v>
      </c>
      <c r="B1713" t="s">
        <v>179</v>
      </c>
      <c r="C1713" t="s">
        <v>2419</v>
      </c>
      <c r="D1713" t="s">
        <v>2420</v>
      </c>
      <c r="E1713">
        <v>3</v>
      </c>
      <c r="F1713">
        <v>3</v>
      </c>
      <c r="G1713">
        <v>1</v>
      </c>
      <c r="H1713">
        <v>2.4854824899957202</v>
      </c>
      <c r="I1713" t="s">
        <v>957</v>
      </c>
      <c r="J1713" t="s">
        <v>4481</v>
      </c>
      <c r="K1713">
        <v>0.17857142857142899</v>
      </c>
      <c r="L1713" t="s">
        <v>959</v>
      </c>
      <c r="M1713">
        <v>9.4890510948905096</v>
      </c>
      <c r="N1713" t="s">
        <v>960</v>
      </c>
      <c r="O1713">
        <v>0</v>
      </c>
      <c r="P1713">
        <v>0</v>
      </c>
      <c r="Q1713">
        <v>0</v>
      </c>
      <c r="R1713">
        <v>0</v>
      </c>
    </row>
    <row r="1714" spans="1:18" ht="16" x14ac:dyDescent="0.2">
      <c r="A1714" s="130" t="s">
        <v>3909</v>
      </c>
      <c r="B1714" t="s">
        <v>179</v>
      </c>
      <c r="C1714" t="s">
        <v>2536</v>
      </c>
      <c r="D1714" t="s">
        <v>2537</v>
      </c>
      <c r="E1714">
        <v>3</v>
      </c>
      <c r="F1714">
        <v>3</v>
      </c>
      <c r="G1714">
        <v>1</v>
      </c>
      <c r="H1714">
        <v>3.7207823768586401</v>
      </c>
      <c r="I1714" t="s">
        <v>957</v>
      </c>
      <c r="J1714" t="s">
        <v>4919</v>
      </c>
      <c r="K1714">
        <v>0.1</v>
      </c>
      <c r="L1714" t="s">
        <v>959</v>
      </c>
      <c r="M1714">
        <v>7.2992700729926998</v>
      </c>
      <c r="N1714" t="s">
        <v>960</v>
      </c>
      <c r="O1714">
        <v>0</v>
      </c>
      <c r="P1714">
        <v>0</v>
      </c>
      <c r="Q1714">
        <v>0</v>
      </c>
      <c r="R1714">
        <v>0</v>
      </c>
    </row>
    <row r="1715" spans="1:18" ht="16" x14ac:dyDescent="0.2">
      <c r="A1715" s="130" t="s">
        <v>3909</v>
      </c>
      <c r="B1715" t="s">
        <v>179</v>
      </c>
      <c r="C1715" t="s">
        <v>3830</v>
      </c>
      <c r="D1715" t="s">
        <v>3831</v>
      </c>
      <c r="E1715" t="s">
        <v>1085</v>
      </c>
      <c r="F1715">
        <v>5</v>
      </c>
      <c r="G1715">
        <v>2</v>
      </c>
      <c r="H1715">
        <v>2.2750468887903401</v>
      </c>
      <c r="I1715" t="s">
        <v>957</v>
      </c>
      <c r="J1715" t="s">
        <v>3980</v>
      </c>
      <c r="K1715">
        <v>0.17142857142857101</v>
      </c>
      <c r="L1715" t="s">
        <v>959</v>
      </c>
      <c r="M1715">
        <v>8.7591240875912408</v>
      </c>
      <c r="N1715" t="s">
        <v>960</v>
      </c>
      <c r="O1715">
        <v>0</v>
      </c>
      <c r="P1715">
        <v>0</v>
      </c>
      <c r="Q1715">
        <v>0</v>
      </c>
      <c r="R1715">
        <v>0</v>
      </c>
    </row>
    <row r="1716" spans="1:18" ht="16" x14ac:dyDescent="0.2">
      <c r="A1716" s="130" t="s">
        <v>3909</v>
      </c>
      <c r="B1716" t="s">
        <v>179</v>
      </c>
      <c r="C1716" t="s">
        <v>4262</v>
      </c>
      <c r="D1716" t="s">
        <v>4263</v>
      </c>
      <c r="E1716" t="s">
        <v>4264</v>
      </c>
      <c r="F1716">
        <v>33</v>
      </c>
      <c r="G1716">
        <v>2</v>
      </c>
      <c r="H1716">
        <v>3.15482994084969</v>
      </c>
      <c r="I1716" t="s">
        <v>957</v>
      </c>
      <c r="J1716" t="s">
        <v>4265</v>
      </c>
      <c r="K1716">
        <v>0.55172413793103403</v>
      </c>
      <c r="L1716" t="s">
        <v>972</v>
      </c>
      <c r="M1716">
        <v>5.8394160583941597</v>
      </c>
      <c r="N1716" t="s">
        <v>973</v>
      </c>
      <c r="O1716">
        <v>0</v>
      </c>
      <c r="P1716">
        <v>0</v>
      </c>
      <c r="Q1716">
        <v>0</v>
      </c>
      <c r="R1716">
        <v>0</v>
      </c>
    </row>
    <row r="1717" spans="1:18" ht="16" x14ac:dyDescent="0.2">
      <c r="A1717" s="130" t="s">
        <v>3909</v>
      </c>
      <c r="B1717" t="s">
        <v>211</v>
      </c>
      <c r="C1717" t="s">
        <v>142</v>
      </c>
      <c r="D1717" t="s">
        <v>1342</v>
      </c>
      <c r="E1717">
        <v>2</v>
      </c>
      <c r="F1717">
        <v>2</v>
      </c>
      <c r="G1717">
        <v>1</v>
      </c>
      <c r="H1717">
        <v>2.2907439588006602</v>
      </c>
      <c r="I1717" t="s">
        <v>957</v>
      </c>
      <c r="J1717" t="s">
        <v>3944</v>
      </c>
      <c r="K1717">
        <v>2.8571428571428598E-2</v>
      </c>
      <c r="L1717" t="s">
        <v>959</v>
      </c>
      <c r="M1717">
        <v>2.1897810218978102</v>
      </c>
      <c r="N1717" t="s">
        <v>960</v>
      </c>
      <c r="O1717">
        <v>0</v>
      </c>
      <c r="P1717">
        <v>0</v>
      </c>
      <c r="Q1717">
        <v>0</v>
      </c>
      <c r="R1717">
        <v>0</v>
      </c>
    </row>
    <row r="1718" spans="1:18" ht="16" x14ac:dyDescent="0.2">
      <c r="A1718" s="130" t="s">
        <v>3909</v>
      </c>
      <c r="B1718" t="s">
        <v>211</v>
      </c>
      <c r="C1718" t="s">
        <v>2077</v>
      </c>
      <c r="D1718" t="s">
        <v>2078</v>
      </c>
      <c r="E1718" t="s">
        <v>1598</v>
      </c>
      <c r="F1718">
        <v>7</v>
      </c>
      <c r="G1718">
        <v>2</v>
      </c>
      <c r="H1718">
        <v>2.1371229398314</v>
      </c>
      <c r="I1718" t="s">
        <v>957</v>
      </c>
      <c r="J1718" t="s">
        <v>4798</v>
      </c>
      <c r="K1718">
        <v>0.133333333333333</v>
      </c>
      <c r="L1718" t="s">
        <v>1004</v>
      </c>
      <c r="M1718">
        <v>3.6496350364963499</v>
      </c>
      <c r="N1718" t="s">
        <v>1005</v>
      </c>
      <c r="O1718">
        <v>0</v>
      </c>
      <c r="P1718">
        <v>0</v>
      </c>
      <c r="Q1718">
        <v>0</v>
      </c>
      <c r="R1718">
        <v>0</v>
      </c>
    </row>
    <row r="1719" spans="1:18" ht="16" x14ac:dyDescent="0.2">
      <c r="A1719" s="130" t="s">
        <v>3909</v>
      </c>
      <c r="B1719" t="s">
        <v>211</v>
      </c>
      <c r="C1719" t="s">
        <v>2203</v>
      </c>
      <c r="D1719" t="s">
        <v>2204</v>
      </c>
      <c r="E1719" t="s">
        <v>2857</v>
      </c>
      <c r="F1719">
        <v>6</v>
      </c>
      <c r="G1719">
        <v>2</v>
      </c>
      <c r="H1719">
        <v>2.9673014758835201</v>
      </c>
      <c r="I1719" t="s">
        <v>957</v>
      </c>
      <c r="J1719" t="s">
        <v>4185</v>
      </c>
      <c r="K1719">
        <v>0.4</v>
      </c>
      <c r="L1719" t="s">
        <v>1004</v>
      </c>
      <c r="M1719">
        <v>2.9197080291970798</v>
      </c>
      <c r="N1719" t="s">
        <v>1005</v>
      </c>
      <c r="O1719">
        <v>0</v>
      </c>
      <c r="P1719">
        <v>0</v>
      </c>
      <c r="Q1719">
        <v>0</v>
      </c>
      <c r="R1719">
        <v>0</v>
      </c>
    </row>
    <row r="1720" spans="1:18" ht="16" x14ac:dyDescent="0.2">
      <c r="A1720" s="130" t="s">
        <v>3909</v>
      </c>
      <c r="B1720" t="s">
        <v>211</v>
      </c>
      <c r="C1720" t="s">
        <v>1649</v>
      </c>
      <c r="D1720" t="s">
        <v>1650</v>
      </c>
      <c r="E1720" t="s">
        <v>1216</v>
      </c>
      <c r="F1720">
        <v>7</v>
      </c>
      <c r="G1720">
        <v>2</v>
      </c>
      <c r="H1720">
        <v>1.5866248301155601</v>
      </c>
      <c r="I1720" t="s">
        <v>957</v>
      </c>
      <c r="J1720" t="s">
        <v>4459</v>
      </c>
      <c r="K1720">
        <v>0.33333333333333298</v>
      </c>
      <c r="L1720" t="s">
        <v>1004</v>
      </c>
      <c r="M1720">
        <v>8.7591240875912408</v>
      </c>
      <c r="N1720" t="s">
        <v>1005</v>
      </c>
      <c r="O1720">
        <v>0</v>
      </c>
      <c r="P1720">
        <v>0</v>
      </c>
      <c r="Q1720">
        <v>0</v>
      </c>
      <c r="R1720">
        <v>0</v>
      </c>
    </row>
    <row r="1721" spans="1:18" ht="16" x14ac:dyDescent="0.2">
      <c r="A1721" s="130" t="s">
        <v>3909</v>
      </c>
      <c r="B1721" t="s">
        <v>211</v>
      </c>
      <c r="C1721" t="s">
        <v>1247</v>
      </c>
      <c r="D1721" t="s">
        <v>1248</v>
      </c>
      <c r="E1721" t="s">
        <v>4488</v>
      </c>
      <c r="F1721">
        <v>18</v>
      </c>
      <c r="G1721">
        <v>2</v>
      </c>
      <c r="H1721">
        <v>2.7713313939033499</v>
      </c>
      <c r="I1721" t="s">
        <v>957</v>
      </c>
      <c r="J1721" t="s">
        <v>4234</v>
      </c>
      <c r="K1721">
        <v>0.266666666666667</v>
      </c>
      <c r="L1721" t="s">
        <v>1004</v>
      </c>
      <c r="M1721">
        <v>6.5693430656934302</v>
      </c>
      <c r="N1721" t="s">
        <v>1005</v>
      </c>
      <c r="O1721">
        <v>0</v>
      </c>
      <c r="P1721">
        <v>0</v>
      </c>
      <c r="Q1721">
        <v>0</v>
      </c>
      <c r="R1721">
        <v>0</v>
      </c>
    </row>
    <row r="1722" spans="1:18" ht="16" x14ac:dyDescent="0.2">
      <c r="A1722" s="130" t="s">
        <v>3909</v>
      </c>
      <c r="B1722" t="s">
        <v>215</v>
      </c>
      <c r="C1722" t="s">
        <v>3946</v>
      </c>
      <c r="D1722" t="s">
        <v>3947</v>
      </c>
      <c r="E1722" t="s">
        <v>1576</v>
      </c>
      <c r="F1722">
        <v>4</v>
      </c>
      <c r="G1722">
        <v>3</v>
      </c>
      <c r="H1722">
        <v>3.0578475585309701</v>
      </c>
      <c r="I1722" t="s">
        <v>957</v>
      </c>
      <c r="J1722" t="s">
        <v>3948</v>
      </c>
      <c r="K1722">
        <v>0.23529411764705899</v>
      </c>
      <c r="L1722" t="s">
        <v>1099</v>
      </c>
      <c r="M1722">
        <v>1.4598540145985399</v>
      </c>
      <c r="N1722" t="s">
        <v>973</v>
      </c>
      <c r="O1722">
        <v>0</v>
      </c>
      <c r="P1722">
        <v>0</v>
      </c>
      <c r="Q1722">
        <v>0</v>
      </c>
      <c r="R1722">
        <v>0</v>
      </c>
    </row>
    <row r="1723" spans="1:18" ht="16" x14ac:dyDescent="0.2">
      <c r="A1723" s="130" t="s">
        <v>3909</v>
      </c>
      <c r="B1723" t="s">
        <v>215</v>
      </c>
      <c r="C1723" t="s">
        <v>3660</v>
      </c>
      <c r="E1723">
        <v>4</v>
      </c>
      <c r="F1723">
        <v>4</v>
      </c>
      <c r="G1723">
        <v>1</v>
      </c>
      <c r="H1723">
        <v>3.59349461903934</v>
      </c>
      <c r="I1723" t="s">
        <v>957</v>
      </c>
      <c r="J1723" t="s">
        <v>4015</v>
      </c>
      <c r="K1723">
        <v>0.17647058823529399</v>
      </c>
      <c r="L1723" t="s">
        <v>1099</v>
      </c>
      <c r="M1723">
        <v>2.9197080291970798</v>
      </c>
      <c r="N1723" t="s">
        <v>973</v>
      </c>
      <c r="O1723">
        <v>0</v>
      </c>
      <c r="P1723">
        <v>0</v>
      </c>
      <c r="Q1723">
        <v>0</v>
      </c>
      <c r="R1723">
        <v>0</v>
      </c>
    </row>
    <row r="1724" spans="1:18" ht="16" x14ac:dyDescent="0.2">
      <c r="A1724" s="130" t="s">
        <v>3909</v>
      </c>
      <c r="B1724" t="s">
        <v>215</v>
      </c>
      <c r="C1724" t="s">
        <v>1326</v>
      </c>
      <c r="D1724" t="s">
        <v>1327</v>
      </c>
      <c r="E1724" t="s">
        <v>1059</v>
      </c>
      <c r="F1724">
        <v>4</v>
      </c>
      <c r="G1724">
        <v>2</v>
      </c>
      <c r="H1724">
        <v>2.44306245084951</v>
      </c>
      <c r="I1724" t="s">
        <v>957</v>
      </c>
      <c r="J1724" t="s">
        <v>4422</v>
      </c>
      <c r="K1724">
        <v>0.17647058823529399</v>
      </c>
      <c r="L1724" t="s">
        <v>1099</v>
      </c>
      <c r="M1724">
        <v>4.3795620437956204</v>
      </c>
      <c r="N1724" t="s">
        <v>973</v>
      </c>
      <c r="O1724">
        <v>0</v>
      </c>
      <c r="P1724">
        <v>0</v>
      </c>
      <c r="Q1724">
        <v>0</v>
      </c>
      <c r="R1724">
        <v>0</v>
      </c>
    </row>
    <row r="1725" spans="1:18" ht="16" x14ac:dyDescent="0.2">
      <c r="A1725" s="130" t="s">
        <v>3909</v>
      </c>
      <c r="B1725" t="s">
        <v>215</v>
      </c>
      <c r="C1725" t="s">
        <v>4106</v>
      </c>
      <c r="D1725" t="s">
        <v>4107</v>
      </c>
      <c r="E1725">
        <v>3</v>
      </c>
      <c r="F1725">
        <v>3</v>
      </c>
      <c r="G1725">
        <v>1</v>
      </c>
      <c r="H1725">
        <v>2.4120374572274099</v>
      </c>
      <c r="I1725" t="s">
        <v>957</v>
      </c>
      <c r="J1725" t="s">
        <v>4108</v>
      </c>
      <c r="K1725">
        <v>0.11764705882352899</v>
      </c>
      <c r="L1725" t="s">
        <v>1099</v>
      </c>
      <c r="M1725">
        <v>2.1897810218978102</v>
      </c>
      <c r="N1725" t="s">
        <v>973</v>
      </c>
      <c r="O1725">
        <v>0</v>
      </c>
      <c r="P1725">
        <v>0</v>
      </c>
      <c r="Q1725">
        <v>0</v>
      </c>
      <c r="R1725">
        <v>0</v>
      </c>
    </row>
    <row r="1726" spans="1:18" ht="16" x14ac:dyDescent="0.2">
      <c r="A1726" s="130" t="s">
        <v>3909</v>
      </c>
      <c r="B1726" t="s">
        <v>215</v>
      </c>
      <c r="C1726" t="s">
        <v>4351</v>
      </c>
      <c r="D1726" t="s">
        <v>4352</v>
      </c>
      <c r="E1726" t="s">
        <v>1442</v>
      </c>
      <c r="F1726">
        <v>5</v>
      </c>
      <c r="G1726">
        <v>2</v>
      </c>
      <c r="H1726">
        <v>1.15785805189847</v>
      </c>
      <c r="I1726" t="s">
        <v>957</v>
      </c>
      <c r="J1726" t="s">
        <v>4912</v>
      </c>
      <c r="K1726">
        <v>0.17647058823529399</v>
      </c>
      <c r="L1726" t="s">
        <v>1099</v>
      </c>
      <c r="M1726">
        <v>5.10948905109489</v>
      </c>
      <c r="N1726" t="s">
        <v>973</v>
      </c>
      <c r="O1726">
        <v>0</v>
      </c>
      <c r="P1726">
        <v>0</v>
      </c>
      <c r="Q1726">
        <v>0</v>
      </c>
      <c r="R1726">
        <v>0</v>
      </c>
    </row>
    <row r="1727" spans="1:18" ht="16" x14ac:dyDescent="0.2">
      <c r="A1727" s="130" t="s">
        <v>3909</v>
      </c>
      <c r="B1727" t="s">
        <v>215</v>
      </c>
      <c r="C1727" t="s">
        <v>2390</v>
      </c>
      <c r="D1727" t="s">
        <v>2391</v>
      </c>
      <c r="E1727">
        <v>3</v>
      </c>
      <c r="F1727">
        <v>3</v>
      </c>
      <c r="G1727">
        <v>1</v>
      </c>
      <c r="H1727">
        <v>3.1140187140673401</v>
      </c>
      <c r="I1727" t="s">
        <v>957</v>
      </c>
      <c r="J1727" t="s">
        <v>4259</v>
      </c>
      <c r="K1727">
        <v>0.17647058823529399</v>
      </c>
      <c r="L1727" t="s">
        <v>1099</v>
      </c>
      <c r="M1727">
        <v>3.6496350364963499</v>
      </c>
      <c r="N1727" t="s">
        <v>973</v>
      </c>
      <c r="O1727">
        <v>0</v>
      </c>
      <c r="P1727">
        <v>0</v>
      </c>
      <c r="Q1727">
        <v>0</v>
      </c>
      <c r="R1727">
        <v>0</v>
      </c>
    </row>
    <row r="1728" spans="1:18" ht="16" x14ac:dyDescent="0.2">
      <c r="A1728" s="130" t="s">
        <v>3909</v>
      </c>
      <c r="B1728" t="s">
        <v>215</v>
      </c>
      <c r="C1728" t="s">
        <v>3192</v>
      </c>
      <c r="D1728" t="s">
        <v>3193</v>
      </c>
      <c r="E1728" t="s">
        <v>1102</v>
      </c>
      <c r="F1728">
        <v>4</v>
      </c>
      <c r="G1728">
        <v>2</v>
      </c>
      <c r="H1728">
        <v>3.4878406109161499</v>
      </c>
      <c r="I1728" t="s">
        <v>957</v>
      </c>
      <c r="J1728" t="s">
        <v>4055</v>
      </c>
      <c r="K1728">
        <v>0.11764705882352899</v>
      </c>
      <c r="L1728" t="s">
        <v>1099</v>
      </c>
      <c r="M1728">
        <v>5.10948905109489</v>
      </c>
      <c r="N1728" t="s">
        <v>973</v>
      </c>
      <c r="O1728">
        <v>0</v>
      </c>
      <c r="P1728" t="s">
        <v>5018</v>
      </c>
      <c r="Q1728">
        <v>0</v>
      </c>
      <c r="R1728" t="s">
        <v>5019</v>
      </c>
    </row>
    <row r="1729" spans="1:18" ht="16" x14ac:dyDescent="0.2">
      <c r="A1729" s="130" t="s">
        <v>3909</v>
      </c>
      <c r="B1729" t="s">
        <v>215</v>
      </c>
      <c r="C1729" t="s">
        <v>2111</v>
      </c>
      <c r="D1729" t="s">
        <v>2112</v>
      </c>
      <c r="E1729" t="s">
        <v>1102</v>
      </c>
      <c r="F1729">
        <v>4</v>
      </c>
      <c r="G1729">
        <v>2</v>
      </c>
      <c r="H1729">
        <v>1.57013322748738</v>
      </c>
      <c r="I1729" t="s">
        <v>957</v>
      </c>
      <c r="J1729" t="s">
        <v>4255</v>
      </c>
      <c r="K1729">
        <v>0.35294117647058798</v>
      </c>
      <c r="L1729" t="s">
        <v>1099</v>
      </c>
      <c r="M1729">
        <v>7.2992700729926998</v>
      </c>
      <c r="N1729" t="s">
        <v>973</v>
      </c>
      <c r="O1729">
        <v>0</v>
      </c>
      <c r="P1729">
        <v>0</v>
      </c>
      <c r="Q1729">
        <v>0</v>
      </c>
      <c r="R1729">
        <v>0</v>
      </c>
    </row>
    <row r="1730" spans="1:18" ht="16" x14ac:dyDescent="0.2">
      <c r="A1730" s="130" t="s">
        <v>3909</v>
      </c>
      <c r="B1730" t="s">
        <v>215</v>
      </c>
      <c r="C1730" t="s">
        <v>1547</v>
      </c>
      <c r="D1730" t="s">
        <v>1548</v>
      </c>
      <c r="E1730">
        <v>3</v>
      </c>
      <c r="F1730">
        <v>3</v>
      </c>
      <c r="G1730">
        <v>1</v>
      </c>
      <c r="H1730">
        <v>1.4515982882071401</v>
      </c>
      <c r="I1730" t="s">
        <v>957</v>
      </c>
      <c r="J1730" t="s">
        <v>4550</v>
      </c>
      <c r="K1730">
        <v>0.11764705882352899</v>
      </c>
      <c r="L1730" t="s">
        <v>1099</v>
      </c>
      <c r="M1730">
        <v>8.0291970802919703</v>
      </c>
      <c r="N1730" t="s">
        <v>973</v>
      </c>
      <c r="O1730">
        <v>0</v>
      </c>
      <c r="P1730">
        <v>0</v>
      </c>
      <c r="Q1730">
        <v>0</v>
      </c>
      <c r="R1730">
        <v>0</v>
      </c>
    </row>
    <row r="1731" spans="1:18" ht="16" x14ac:dyDescent="0.2">
      <c r="A1731" s="130" t="s">
        <v>3909</v>
      </c>
      <c r="B1731" t="s">
        <v>215</v>
      </c>
      <c r="C1731" t="s">
        <v>1469</v>
      </c>
      <c r="D1731" t="s">
        <v>1470</v>
      </c>
      <c r="E1731" t="s">
        <v>4733</v>
      </c>
      <c r="F1731">
        <v>7</v>
      </c>
      <c r="G1731">
        <v>3</v>
      </c>
      <c r="H1731">
        <v>3.64641174967382</v>
      </c>
      <c r="I1731" t="s">
        <v>957</v>
      </c>
      <c r="J1731" t="s">
        <v>4734</v>
      </c>
      <c r="K1731">
        <v>0.11764705882352899</v>
      </c>
      <c r="L1731" t="s">
        <v>1099</v>
      </c>
      <c r="M1731">
        <v>1.4598540145985399</v>
      </c>
      <c r="N1731" t="s">
        <v>973</v>
      </c>
      <c r="O1731">
        <v>0</v>
      </c>
      <c r="P1731">
        <v>0</v>
      </c>
      <c r="Q1731">
        <v>0</v>
      </c>
      <c r="R1731">
        <v>0</v>
      </c>
    </row>
    <row r="1732" spans="1:18" ht="16" x14ac:dyDescent="0.2">
      <c r="A1732" s="130" t="s">
        <v>3909</v>
      </c>
      <c r="B1732" t="s">
        <v>215</v>
      </c>
      <c r="C1732" t="s">
        <v>3910</v>
      </c>
      <c r="D1732" t="s">
        <v>3911</v>
      </c>
      <c r="E1732" t="s">
        <v>1102</v>
      </c>
      <c r="F1732">
        <v>4</v>
      </c>
      <c r="G1732">
        <v>2</v>
      </c>
      <c r="H1732">
        <v>2.31055710680375</v>
      </c>
      <c r="I1732" t="s">
        <v>957</v>
      </c>
      <c r="J1732" t="s">
        <v>4504</v>
      </c>
      <c r="K1732">
        <v>0.17647058823529399</v>
      </c>
      <c r="L1732" t="s">
        <v>1099</v>
      </c>
      <c r="M1732">
        <v>2.1897810218978102</v>
      </c>
      <c r="N1732" t="s">
        <v>973</v>
      </c>
      <c r="O1732">
        <v>0</v>
      </c>
      <c r="P1732">
        <v>0</v>
      </c>
      <c r="Q1732">
        <v>0</v>
      </c>
      <c r="R1732">
        <v>0</v>
      </c>
    </row>
    <row r="1733" spans="1:18" ht="16" x14ac:dyDescent="0.2">
      <c r="A1733" s="130" t="s">
        <v>3909</v>
      </c>
      <c r="B1733" t="s">
        <v>215</v>
      </c>
      <c r="C1733" t="s">
        <v>4193</v>
      </c>
      <c r="D1733" t="s">
        <v>4194</v>
      </c>
      <c r="E1733" t="s">
        <v>1059</v>
      </c>
      <c r="F1733">
        <v>4</v>
      </c>
      <c r="G1733">
        <v>2</v>
      </c>
      <c r="H1733">
        <v>1.9925422615305</v>
      </c>
      <c r="I1733" t="s">
        <v>957</v>
      </c>
      <c r="J1733" t="s">
        <v>4195</v>
      </c>
      <c r="K1733">
        <v>0.17647058823529399</v>
      </c>
      <c r="L1733" t="s">
        <v>1099</v>
      </c>
      <c r="M1733">
        <v>2.1897810218978102</v>
      </c>
      <c r="N1733" t="s">
        <v>973</v>
      </c>
      <c r="O1733">
        <v>0</v>
      </c>
      <c r="P1733">
        <v>0</v>
      </c>
      <c r="Q1733">
        <v>0</v>
      </c>
      <c r="R1733">
        <v>0</v>
      </c>
    </row>
    <row r="1734" spans="1:18" ht="16" x14ac:dyDescent="0.2">
      <c r="A1734" s="130" t="s">
        <v>3909</v>
      </c>
      <c r="B1734" t="s">
        <v>215</v>
      </c>
      <c r="C1734" t="s">
        <v>4198</v>
      </c>
      <c r="D1734" t="s">
        <v>4199</v>
      </c>
      <c r="E1734" t="s">
        <v>2857</v>
      </c>
      <c r="F1734">
        <v>6</v>
      </c>
      <c r="G1734">
        <v>2</v>
      </c>
      <c r="H1734">
        <v>2.2547573326335399</v>
      </c>
      <c r="I1734" t="s">
        <v>957</v>
      </c>
      <c r="J1734" t="s">
        <v>4601</v>
      </c>
      <c r="K1734">
        <v>0.23529411764705899</v>
      </c>
      <c r="L1734" t="s">
        <v>1099</v>
      </c>
      <c r="M1734">
        <v>2.9197080291970798</v>
      </c>
      <c r="N1734" t="s">
        <v>973</v>
      </c>
      <c r="O1734">
        <v>0</v>
      </c>
      <c r="P1734">
        <v>0</v>
      </c>
      <c r="Q1734">
        <v>0</v>
      </c>
      <c r="R1734">
        <v>0</v>
      </c>
    </row>
    <row r="1735" spans="1:18" ht="16" x14ac:dyDescent="0.2">
      <c r="A1735" s="130" t="s">
        <v>3909</v>
      </c>
      <c r="B1735" t="s">
        <v>215</v>
      </c>
      <c r="C1735" t="s">
        <v>2412</v>
      </c>
      <c r="D1735" t="s">
        <v>2413</v>
      </c>
      <c r="E1735" t="s">
        <v>1059</v>
      </c>
      <c r="F1735">
        <v>4</v>
      </c>
      <c r="G1735">
        <v>2</v>
      </c>
      <c r="H1735">
        <v>2.1161498231787901</v>
      </c>
      <c r="I1735" t="s">
        <v>957</v>
      </c>
      <c r="J1735" t="s">
        <v>4747</v>
      </c>
      <c r="K1735">
        <v>0.17647058823529399</v>
      </c>
      <c r="L1735" t="s">
        <v>1099</v>
      </c>
      <c r="M1735">
        <v>2.9197080291970798</v>
      </c>
      <c r="N1735" t="s">
        <v>973</v>
      </c>
      <c r="O1735">
        <v>0</v>
      </c>
      <c r="P1735">
        <v>0</v>
      </c>
      <c r="Q1735">
        <v>0</v>
      </c>
      <c r="R1735">
        <v>0</v>
      </c>
    </row>
    <row r="1736" spans="1:18" ht="16" x14ac:dyDescent="0.2">
      <c r="A1736" s="130" t="s">
        <v>3909</v>
      </c>
      <c r="B1736" t="s">
        <v>215</v>
      </c>
      <c r="C1736" t="s">
        <v>2971</v>
      </c>
      <c r="D1736" t="s">
        <v>2972</v>
      </c>
      <c r="E1736">
        <v>8</v>
      </c>
      <c r="F1736">
        <v>8</v>
      </c>
      <c r="G1736">
        <v>1</v>
      </c>
      <c r="H1736">
        <v>2.2417732814126099</v>
      </c>
      <c r="I1736" t="s">
        <v>957</v>
      </c>
      <c r="J1736" t="s">
        <v>4546</v>
      </c>
      <c r="K1736">
        <v>0.17647058823529399</v>
      </c>
      <c r="L1736" t="s">
        <v>1099</v>
      </c>
      <c r="M1736">
        <v>5.10948905109489</v>
      </c>
      <c r="N1736" t="s">
        <v>987</v>
      </c>
      <c r="O1736">
        <v>0</v>
      </c>
      <c r="P1736">
        <v>0</v>
      </c>
      <c r="Q1736">
        <v>0</v>
      </c>
      <c r="R1736">
        <v>0</v>
      </c>
    </row>
    <row r="1737" spans="1:18" ht="16" x14ac:dyDescent="0.2">
      <c r="A1737" s="130" t="s">
        <v>3909</v>
      </c>
      <c r="B1737" t="s">
        <v>215</v>
      </c>
      <c r="C1737" t="s">
        <v>1584</v>
      </c>
      <c r="D1737" t="s">
        <v>1585</v>
      </c>
      <c r="E1737">
        <v>4</v>
      </c>
      <c r="F1737">
        <v>4</v>
      </c>
      <c r="G1737">
        <v>1</v>
      </c>
      <c r="H1737">
        <v>1.54034657073792</v>
      </c>
      <c r="I1737" t="s">
        <v>957</v>
      </c>
      <c r="J1737" t="s">
        <v>4889</v>
      </c>
      <c r="K1737">
        <v>0.23529411764705899</v>
      </c>
      <c r="L1737" t="s">
        <v>1099</v>
      </c>
      <c r="M1737">
        <v>2.9197080291970798</v>
      </c>
      <c r="N1737" t="s">
        <v>973</v>
      </c>
      <c r="O1737">
        <v>0</v>
      </c>
      <c r="P1737">
        <v>0</v>
      </c>
      <c r="Q1737">
        <v>0</v>
      </c>
      <c r="R1737">
        <v>0</v>
      </c>
    </row>
    <row r="1738" spans="1:18" ht="16" x14ac:dyDescent="0.2">
      <c r="A1738" s="130" t="s">
        <v>3909</v>
      </c>
      <c r="B1738" t="s">
        <v>215</v>
      </c>
      <c r="C1738" t="s">
        <v>1057</v>
      </c>
      <c r="D1738" t="s">
        <v>1058</v>
      </c>
      <c r="E1738" t="s">
        <v>4989</v>
      </c>
      <c r="F1738">
        <v>7</v>
      </c>
      <c r="G1738">
        <v>3</v>
      </c>
      <c r="H1738">
        <v>2.8284936783216099</v>
      </c>
      <c r="I1738" t="s">
        <v>957</v>
      </c>
      <c r="J1738" t="s">
        <v>4976</v>
      </c>
      <c r="K1738">
        <v>0.23529411764705899</v>
      </c>
      <c r="L1738" t="s">
        <v>1099</v>
      </c>
      <c r="M1738">
        <v>5.10948905109489</v>
      </c>
      <c r="N1738" t="s">
        <v>973</v>
      </c>
      <c r="O1738">
        <v>0</v>
      </c>
      <c r="P1738">
        <v>0</v>
      </c>
      <c r="Q1738">
        <v>0</v>
      </c>
      <c r="R1738">
        <v>0</v>
      </c>
    </row>
    <row r="1739" spans="1:18" ht="16" x14ac:dyDescent="0.2">
      <c r="A1739" s="130" t="s">
        <v>3909</v>
      </c>
      <c r="B1739" t="s">
        <v>215</v>
      </c>
      <c r="C1739" t="s">
        <v>1450</v>
      </c>
      <c r="D1739" t="s">
        <v>1451</v>
      </c>
      <c r="E1739">
        <v>4</v>
      </c>
      <c r="F1739">
        <v>4</v>
      </c>
      <c r="G1739">
        <v>1</v>
      </c>
      <c r="H1739">
        <v>3.9478897775526498</v>
      </c>
      <c r="I1739" t="s">
        <v>957</v>
      </c>
      <c r="J1739" t="s">
        <v>3963</v>
      </c>
      <c r="K1739">
        <v>0.15</v>
      </c>
      <c r="L1739" t="s">
        <v>959</v>
      </c>
      <c r="M1739">
        <v>4.3795620437956204</v>
      </c>
      <c r="N1739" t="s">
        <v>987</v>
      </c>
      <c r="O1739">
        <v>0</v>
      </c>
      <c r="P1739">
        <v>0</v>
      </c>
      <c r="Q1739">
        <v>0</v>
      </c>
      <c r="R1739">
        <v>0</v>
      </c>
    </row>
    <row r="1740" spans="1:18" ht="16" x14ac:dyDescent="0.2">
      <c r="A1740" s="130" t="s">
        <v>3909</v>
      </c>
      <c r="B1740" t="s">
        <v>215</v>
      </c>
      <c r="C1740" t="s">
        <v>2057</v>
      </c>
      <c r="D1740" t="s">
        <v>2058</v>
      </c>
      <c r="E1740" t="s">
        <v>1052</v>
      </c>
      <c r="F1740">
        <v>2</v>
      </c>
      <c r="G1740">
        <v>2</v>
      </c>
      <c r="H1740">
        <v>3.8962773955318699</v>
      </c>
      <c r="I1740" t="s">
        <v>957</v>
      </c>
      <c r="J1740" t="s">
        <v>4850</v>
      </c>
      <c r="K1740">
        <v>0.11764705882352899</v>
      </c>
      <c r="L1740" t="s">
        <v>1099</v>
      </c>
      <c r="M1740">
        <v>2.1897810218978102</v>
      </c>
      <c r="N1740" t="s">
        <v>973</v>
      </c>
      <c r="O1740">
        <v>0</v>
      </c>
      <c r="P1740">
        <v>0</v>
      </c>
      <c r="Q1740">
        <v>0</v>
      </c>
      <c r="R1740">
        <v>0</v>
      </c>
    </row>
    <row r="1741" spans="1:18" ht="16" x14ac:dyDescent="0.2">
      <c r="A1741" s="130" t="s">
        <v>3909</v>
      </c>
      <c r="B1741" t="s">
        <v>215</v>
      </c>
      <c r="C1741" t="s">
        <v>4471</v>
      </c>
      <c r="D1741" t="s">
        <v>4472</v>
      </c>
      <c r="E1741" t="s">
        <v>1022</v>
      </c>
      <c r="F1741">
        <v>3</v>
      </c>
      <c r="G1741">
        <v>2</v>
      </c>
      <c r="H1741">
        <v>3.2420735663250699</v>
      </c>
      <c r="I1741" t="s">
        <v>957</v>
      </c>
      <c r="J1741" t="s">
        <v>4473</v>
      </c>
      <c r="K1741">
        <v>0.29411764705882398</v>
      </c>
      <c r="L1741" t="s">
        <v>1099</v>
      </c>
      <c r="M1741">
        <v>0.72992700729926996</v>
      </c>
      <c r="N1741" t="s">
        <v>973</v>
      </c>
      <c r="O1741">
        <v>0</v>
      </c>
      <c r="P1741">
        <v>0</v>
      </c>
      <c r="Q1741">
        <v>0</v>
      </c>
      <c r="R1741">
        <v>0</v>
      </c>
    </row>
    <row r="1742" spans="1:18" ht="16" x14ac:dyDescent="0.2">
      <c r="A1742" s="130" t="s">
        <v>3909</v>
      </c>
      <c r="B1742" t="s">
        <v>215</v>
      </c>
      <c r="C1742" t="s">
        <v>4326</v>
      </c>
      <c r="D1742" t="s">
        <v>4327</v>
      </c>
      <c r="E1742">
        <v>4</v>
      </c>
      <c r="F1742">
        <v>4</v>
      </c>
      <c r="G1742">
        <v>1</v>
      </c>
      <c r="H1742">
        <v>3.2848164418569299</v>
      </c>
      <c r="I1742" t="s">
        <v>957</v>
      </c>
      <c r="J1742" t="s">
        <v>4328</v>
      </c>
      <c r="K1742">
        <v>0.23529411764705899</v>
      </c>
      <c r="L1742" t="s">
        <v>1099</v>
      </c>
      <c r="M1742">
        <v>1.4598540145985399</v>
      </c>
      <c r="N1742" t="s">
        <v>973</v>
      </c>
      <c r="O1742">
        <v>0</v>
      </c>
      <c r="P1742">
        <v>0</v>
      </c>
      <c r="Q1742">
        <v>0</v>
      </c>
      <c r="R1742">
        <v>0</v>
      </c>
    </row>
    <row r="1743" spans="1:18" ht="16" x14ac:dyDescent="0.2">
      <c r="A1743" s="130" t="s">
        <v>3909</v>
      </c>
      <c r="B1743" t="s">
        <v>215</v>
      </c>
      <c r="C1743" t="s">
        <v>1838</v>
      </c>
      <c r="D1743" t="s">
        <v>1839</v>
      </c>
      <c r="E1743" t="s">
        <v>1974</v>
      </c>
      <c r="F1743">
        <v>5</v>
      </c>
      <c r="G1743">
        <v>2</v>
      </c>
      <c r="H1743">
        <v>2.46395207418262</v>
      </c>
      <c r="I1743" t="s">
        <v>957</v>
      </c>
      <c r="J1743" t="s">
        <v>4710</v>
      </c>
      <c r="K1743">
        <v>0.23529411764705899</v>
      </c>
      <c r="L1743" t="s">
        <v>1099</v>
      </c>
      <c r="M1743">
        <v>3.6496350364963499</v>
      </c>
      <c r="N1743" t="s">
        <v>987</v>
      </c>
      <c r="O1743">
        <v>0</v>
      </c>
      <c r="P1743">
        <v>0</v>
      </c>
      <c r="Q1743">
        <v>0</v>
      </c>
      <c r="R1743">
        <v>0</v>
      </c>
    </row>
    <row r="1744" spans="1:18" ht="16" x14ac:dyDescent="0.2">
      <c r="A1744" s="130" t="s">
        <v>3909</v>
      </c>
      <c r="B1744" t="s">
        <v>215</v>
      </c>
      <c r="C1744" t="s">
        <v>1150</v>
      </c>
      <c r="D1744" t="s">
        <v>1151</v>
      </c>
      <c r="E1744">
        <v>4</v>
      </c>
      <c r="F1744">
        <v>4</v>
      </c>
      <c r="G1744">
        <v>1</v>
      </c>
      <c r="H1744">
        <v>1.91720517307764</v>
      </c>
      <c r="I1744" t="s">
        <v>957</v>
      </c>
      <c r="J1744" t="s">
        <v>4701</v>
      </c>
      <c r="K1744">
        <v>0.17647058823529399</v>
      </c>
      <c r="L1744" t="s">
        <v>1099</v>
      </c>
      <c r="M1744">
        <v>5.10948905109489</v>
      </c>
      <c r="N1744" t="s">
        <v>973</v>
      </c>
      <c r="O1744">
        <v>0</v>
      </c>
      <c r="P1744">
        <v>0</v>
      </c>
      <c r="Q1744">
        <v>0</v>
      </c>
      <c r="R1744">
        <v>0</v>
      </c>
    </row>
    <row r="1745" spans="1:18" ht="16" x14ac:dyDescent="0.2">
      <c r="A1745" s="130" t="s">
        <v>3909</v>
      </c>
      <c r="B1745" t="s">
        <v>215</v>
      </c>
      <c r="C1745" t="s">
        <v>1406</v>
      </c>
      <c r="D1745" t="s">
        <v>1407</v>
      </c>
      <c r="E1745" t="s">
        <v>1442</v>
      </c>
      <c r="F1745">
        <v>5</v>
      </c>
      <c r="G1745">
        <v>2</v>
      </c>
      <c r="H1745">
        <v>3.2876086388066699</v>
      </c>
      <c r="I1745" t="s">
        <v>957</v>
      </c>
      <c r="J1745" t="s">
        <v>4260</v>
      </c>
      <c r="K1745">
        <v>0.17647058823529399</v>
      </c>
      <c r="L1745" t="s">
        <v>1099</v>
      </c>
      <c r="M1745">
        <v>5.8394160583941597</v>
      </c>
      <c r="N1745" t="s">
        <v>973</v>
      </c>
      <c r="O1745">
        <v>0</v>
      </c>
      <c r="P1745">
        <v>0</v>
      </c>
      <c r="Q1745">
        <v>0</v>
      </c>
      <c r="R1745">
        <v>0</v>
      </c>
    </row>
    <row r="1746" spans="1:18" ht="16" x14ac:dyDescent="0.2">
      <c r="A1746" s="130" t="s">
        <v>3909</v>
      </c>
      <c r="B1746" t="s">
        <v>215</v>
      </c>
      <c r="C1746" t="s">
        <v>1831</v>
      </c>
      <c r="D1746" t="s">
        <v>1832</v>
      </c>
      <c r="E1746" t="s">
        <v>1052</v>
      </c>
      <c r="F1746">
        <v>2</v>
      </c>
      <c r="G1746">
        <v>2</v>
      </c>
      <c r="H1746">
        <v>3.7576772464752399</v>
      </c>
      <c r="I1746" t="s">
        <v>957</v>
      </c>
      <c r="J1746" t="s">
        <v>4466</v>
      </c>
      <c r="K1746">
        <v>0.11764705882352899</v>
      </c>
      <c r="L1746" t="s">
        <v>1099</v>
      </c>
      <c r="M1746">
        <v>1.4598540145985399</v>
      </c>
      <c r="N1746" t="s">
        <v>973</v>
      </c>
      <c r="O1746">
        <v>0</v>
      </c>
      <c r="P1746">
        <v>0</v>
      </c>
      <c r="Q1746">
        <v>0</v>
      </c>
      <c r="R1746">
        <v>0</v>
      </c>
    </row>
    <row r="1747" spans="1:18" ht="16" x14ac:dyDescent="0.2">
      <c r="A1747" s="130" t="s">
        <v>3909</v>
      </c>
      <c r="B1747" t="s">
        <v>215</v>
      </c>
      <c r="C1747" t="s">
        <v>1124</v>
      </c>
      <c r="D1747" t="s">
        <v>1125</v>
      </c>
      <c r="E1747">
        <v>5</v>
      </c>
      <c r="F1747">
        <v>5</v>
      </c>
      <c r="G1747">
        <v>1</v>
      </c>
      <c r="H1747">
        <v>0.61299962914592099</v>
      </c>
      <c r="I1747" t="s">
        <v>957</v>
      </c>
      <c r="J1747" t="s">
        <v>4070</v>
      </c>
      <c r="K1747">
        <v>0.29411764705882398</v>
      </c>
      <c r="L1747" t="s">
        <v>1099</v>
      </c>
      <c r="M1747">
        <v>8.7591240875912408</v>
      </c>
      <c r="N1747" t="s">
        <v>973</v>
      </c>
      <c r="O1747">
        <v>0</v>
      </c>
      <c r="P1747">
        <v>0</v>
      </c>
      <c r="Q1747">
        <v>0</v>
      </c>
      <c r="R1747">
        <v>0</v>
      </c>
    </row>
    <row r="1748" spans="1:18" ht="16" x14ac:dyDescent="0.2">
      <c r="A1748" s="130" t="s">
        <v>3909</v>
      </c>
      <c r="B1748" t="s">
        <v>215</v>
      </c>
      <c r="C1748" t="s">
        <v>2536</v>
      </c>
      <c r="D1748" t="s">
        <v>2537</v>
      </c>
      <c r="E1748">
        <v>4</v>
      </c>
      <c r="F1748">
        <v>4</v>
      </c>
      <c r="G1748">
        <v>1</v>
      </c>
      <c r="H1748">
        <v>2.2576212689364801</v>
      </c>
      <c r="I1748" t="s">
        <v>957</v>
      </c>
      <c r="J1748" t="s">
        <v>4695</v>
      </c>
      <c r="K1748">
        <v>0.23529411764705899</v>
      </c>
      <c r="L1748" t="s">
        <v>1099</v>
      </c>
      <c r="M1748">
        <v>7.2992700729926998</v>
      </c>
      <c r="N1748" t="s">
        <v>973</v>
      </c>
      <c r="O1748">
        <v>0</v>
      </c>
      <c r="P1748">
        <v>0</v>
      </c>
      <c r="Q1748">
        <v>0</v>
      </c>
      <c r="R1748">
        <v>0</v>
      </c>
    </row>
    <row r="1749" spans="1:18" ht="16" x14ac:dyDescent="0.2">
      <c r="A1749" s="130" t="s">
        <v>3909</v>
      </c>
      <c r="B1749" t="s">
        <v>215</v>
      </c>
      <c r="C1749" t="s">
        <v>4916</v>
      </c>
      <c r="D1749" t="s">
        <v>4917</v>
      </c>
      <c r="E1749">
        <v>3</v>
      </c>
      <c r="F1749">
        <v>3</v>
      </c>
      <c r="G1749">
        <v>1</v>
      </c>
      <c r="H1749">
        <v>2.4120374572274099</v>
      </c>
      <c r="I1749" t="s">
        <v>957</v>
      </c>
      <c r="J1749" t="s">
        <v>4918</v>
      </c>
      <c r="K1749">
        <v>0.11764705882352899</v>
      </c>
      <c r="L1749" t="s">
        <v>1099</v>
      </c>
      <c r="M1749">
        <v>0.72992700729926996</v>
      </c>
      <c r="N1749" t="s">
        <v>973</v>
      </c>
      <c r="O1749">
        <v>0</v>
      </c>
      <c r="P1749">
        <v>0</v>
      </c>
      <c r="Q1749">
        <v>0</v>
      </c>
      <c r="R1749">
        <v>0</v>
      </c>
    </row>
    <row r="1750" spans="1:18" ht="16" x14ac:dyDescent="0.2">
      <c r="A1750" s="130" t="s">
        <v>3909</v>
      </c>
      <c r="B1750" t="s">
        <v>215</v>
      </c>
      <c r="C1750" t="s">
        <v>3083</v>
      </c>
      <c r="D1750" t="s">
        <v>3957</v>
      </c>
      <c r="E1750" t="s">
        <v>1102</v>
      </c>
      <c r="F1750">
        <v>4</v>
      </c>
      <c r="G1750">
        <v>2</v>
      </c>
      <c r="H1750">
        <v>1.59604827797361</v>
      </c>
      <c r="I1750" t="s">
        <v>957</v>
      </c>
      <c r="J1750" t="s">
        <v>3958</v>
      </c>
      <c r="K1750">
        <v>0.17647058823529399</v>
      </c>
      <c r="L1750" t="s">
        <v>1099</v>
      </c>
      <c r="M1750">
        <v>2.9197080291970798</v>
      </c>
      <c r="N1750" t="s">
        <v>973</v>
      </c>
      <c r="O1750">
        <v>0</v>
      </c>
      <c r="P1750">
        <v>0</v>
      </c>
      <c r="Q1750">
        <v>0</v>
      </c>
      <c r="R1750">
        <v>0</v>
      </c>
    </row>
    <row r="1751" spans="1:18" ht="16" x14ac:dyDescent="0.2">
      <c r="A1751" s="130" t="s">
        <v>3909</v>
      </c>
      <c r="B1751" t="s">
        <v>215</v>
      </c>
      <c r="C1751" t="s">
        <v>2464</v>
      </c>
      <c r="D1751" t="s">
        <v>2465</v>
      </c>
      <c r="E1751" t="s">
        <v>4056</v>
      </c>
      <c r="F1751">
        <v>9</v>
      </c>
      <c r="G1751">
        <v>5</v>
      </c>
      <c r="H1751">
        <v>2.8062635066205601</v>
      </c>
      <c r="I1751" t="s">
        <v>957</v>
      </c>
      <c r="J1751" t="s">
        <v>4057</v>
      </c>
      <c r="K1751" t="s">
        <v>4058</v>
      </c>
      <c r="L1751" t="s">
        <v>2377</v>
      </c>
      <c r="M1751">
        <v>6.5693430656934302</v>
      </c>
      <c r="N1751" t="s">
        <v>987</v>
      </c>
      <c r="O1751">
        <v>0</v>
      </c>
      <c r="P1751">
        <v>0</v>
      </c>
      <c r="Q1751">
        <v>0</v>
      </c>
      <c r="R1751">
        <v>0</v>
      </c>
    </row>
    <row r="1752" spans="1:18" ht="16" x14ac:dyDescent="0.2">
      <c r="A1752" s="130" t="s">
        <v>3909</v>
      </c>
      <c r="B1752" t="s">
        <v>215</v>
      </c>
      <c r="C1752" t="s">
        <v>2904</v>
      </c>
      <c r="D1752" t="s">
        <v>2905</v>
      </c>
      <c r="E1752" t="s">
        <v>4536</v>
      </c>
      <c r="F1752">
        <v>10</v>
      </c>
      <c r="G1752">
        <v>3</v>
      </c>
      <c r="H1752">
        <v>3.8678054126719501</v>
      </c>
      <c r="I1752" t="s">
        <v>957</v>
      </c>
      <c r="J1752" t="s">
        <v>4537</v>
      </c>
      <c r="K1752">
        <v>0.23529411764705899</v>
      </c>
      <c r="L1752" t="s">
        <v>1099</v>
      </c>
      <c r="M1752">
        <v>7.2992700729926998</v>
      </c>
      <c r="N1752" t="s">
        <v>973</v>
      </c>
      <c r="O1752">
        <v>0</v>
      </c>
      <c r="P1752">
        <v>0</v>
      </c>
      <c r="Q1752">
        <v>0</v>
      </c>
      <c r="R1752">
        <v>0</v>
      </c>
    </row>
    <row r="1753" spans="1:18" ht="16" x14ac:dyDescent="0.2">
      <c r="A1753" s="130" t="s">
        <v>3909</v>
      </c>
      <c r="B1753" t="s">
        <v>215</v>
      </c>
      <c r="C1753" t="s">
        <v>3715</v>
      </c>
      <c r="D1753" t="s">
        <v>3716</v>
      </c>
      <c r="E1753" t="s">
        <v>4617</v>
      </c>
      <c r="F1753">
        <v>11</v>
      </c>
      <c r="G1753">
        <v>3</v>
      </c>
      <c r="H1753">
        <v>3.4042102451476199</v>
      </c>
      <c r="I1753" t="s">
        <v>957</v>
      </c>
      <c r="J1753" t="s">
        <v>4618</v>
      </c>
      <c r="K1753">
        <v>0.23529411764705899</v>
      </c>
      <c r="L1753" t="s">
        <v>1099</v>
      </c>
      <c r="M1753">
        <v>4.3795620437956204</v>
      </c>
      <c r="N1753" t="s">
        <v>973</v>
      </c>
      <c r="O1753">
        <v>0</v>
      </c>
      <c r="P1753">
        <v>0</v>
      </c>
      <c r="Q1753">
        <v>0</v>
      </c>
      <c r="R1753">
        <v>0</v>
      </c>
    </row>
    <row r="1754" spans="1:18" ht="16" x14ac:dyDescent="0.2">
      <c r="A1754" s="130" t="s">
        <v>3909</v>
      </c>
      <c r="B1754" t="s">
        <v>215</v>
      </c>
      <c r="C1754" t="s">
        <v>3972</v>
      </c>
      <c r="D1754" t="s">
        <v>3973</v>
      </c>
      <c r="E1754" t="s">
        <v>1404</v>
      </c>
      <c r="F1754">
        <v>8</v>
      </c>
      <c r="G1754">
        <v>3</v>
      </c>
      <c r="H1754">
        <v>3.4652908896182599</v>
      </c>
      <c r="I1754" t="s">
        <v>957</v>
      </c>
      <c r="J1754" t="s">
        <v>3974</v>
      </c>
      <c r="K1754">
        <v>0.17647058823529399</v>
      </c>
      <c r="L1754" t="s">
        <v>1099</v>
      </c>
      <c r="M1754">
        <v>3.6496350364963499</v>
      </c>
      <c r="N1754" t="s">
        <v>973</v>
      </c>
      <c r="O1754">
        <v>0</v>
      </c>
      <c r="P1754">
        <v>0</v>
      </c>
      <c r="Q1754">
        <v>0</v>
      </c>
      <c r="R1754">
        <v>0</v>
      </c>
    </row>
    <row r="1755" spans="1:18" ht="16" x14ac:dyDescent="0.2">
      <c r="A1755" s="130" t="s">
        <v>3909</v>
      </c>
      <c r="B1755" t="s">
        <v>215</v>
      </c>
      <c r="C1755" t="s">
        <v>4814</v>
      </c>
      <c r="D1755" t="s">
        <v>4815</v>
      </c>
      <c r="E1755">
        <v>3</v>
      </c>
      <c r="F1755">
        <v>3</v>
      </c>
      <c r="G1755">
        <v>1</v>
      </c>
      <c r="H1755">
        <v>2.9159093787708299</v>
      </c>
      <c r="I1755" t="s">
        <v>957</v>
      </c>
      <c r="J1755" t="s">
        <v>4816</v>
      </c>
      <c r="K1755">
        <v>0.17647058823529399</v>
      </c>
      <c r="L1755" t="s">
        <v>1099</v>
      </c>
      <c r="M1755">
        <v>0.72992700729926996</v>
      </c>
      <c r="N1755" t="s">
        <v>973</v>
      </c>
      <c r="O1755">
        <v>0</v>
      </c>
      <c r="P1755">
        <v>0</v>
      </c>
      <c r="Q1755">
        <v>0</v>
      </c>
      <c r="R1755">
        <v>0</v>
      </c>
    </row>
    <row r="1756" spans="1:18" ht="16" x14ac:dyDescent="0.2">
      <c r="A1756" s="130" t="s">
        <v>3909</v>
      </c>
      <c r="B1756" t="s">
        <v>215</v>
      </c>
      <c r="C1756" t="s">
        <v>1712</v>
      </c>
      <c r="D1756" t="s">
        <v>1713</v>
      </c>
      <c r="E1756" t="s">
        <v>1102</v>
      </c>
      <c r="F1756">
        <v>4</v>
      </c>
      <c r="G1756">
        <v>2</v>
      </c>
      <c r="H1756">
        <v>3.7286240575629699</v>
      </c>
      <c r="I1756" t="s">
        <v>957</v>
      </c>
      <c r="J1756" t="s">
        <v>4569</v>
      </c>
      <c r="K1756">
        <v>0.17647058823529399</v>
      </c>
      <c r="L1756" t="s">
        <v>1099</v>
      </c>
      <c r="M1756">
        <v>2.1897810218978102</v>
      </c>
      <c r="N1756" t="s">
        <v>973</v>
      </c>
      <c r="O1756">
        <v>0</v>
      </c>
      <c r="P1756">
        <v>0</v>
      </c>
      <c r="Q1756">
        <v>0</v>
      </c>
      <c r="R1756">
        <v>0</v>
      </c>
    </row>
    <row r="1757" spans="1:18" ht="16" x14ac:dyDescent="0.2">
      <c r="A1757" s="130" t="s">
        <v>3909</v>
      </c>
      <c r="B1757" t="s">
        <v>215</v>
      </c>
      <c r="C1757" t="s">
        <v>2710</v>
      </c>
      <c r="D1757" t="s">
        <v>2711</v>
      </c>
      <c r="E1757" t="s">
        <v>1052</v>
      </c>
      <c r="F1757">
        <v>2</v>
      </c>
      <c r="G1757">
        <v>2</v>
      </c>
      <c r="H1757">
        <v>3.0664627131632298</v>
      </c>
      <c r="I1757" t="s">
        <v>957</v>
      </c>
      <c r="J1757" t="s">
        <v>4632</v>
      </c>
      <c r="K1757">
        <v>0.23529411764705899</v>
      </c>
      <c r="L1757" t="s">
        <v>1099</v>
      </c>
      <c r="M1757">
        <v>2.9197080291970798</v>
      </c>
      <c r="N1757" t="s">
        <v>973</v>
      </c>
      <c r="O1757">
        <v>0</v>
      </c>
      <c r="P1757">
        <v>0</v>
      </c>
      <c r="Q1757">
        <v>0</v>
      </c>
      <c r="R1757">
        <v>0</v>
      </c>
    </row>
    <row r="1758" spans="1:18" ht="16" x14ac:dyDescent="0.2">
      <c r="A1758" s="130" t="s">
        <v>3909</v>
      </c>
      <c r="B1758" t="s">
        <v>215</v>
      </c>
      <c r="C1758" t="s">
        <v>3935</v>
      </c>
      <c r="D1758" t="s">
        <v>3936</v>
      </c>
      <c r="E1758" t="s">
        <v>1022</v>
      </c>
      <c r="F1758">
        <v>3</v>
      </c>
      <c r="G1758">
        <v>2</v>
      </c>
      <c r="H1758">
        <v>2.79815695875463</v>
      </c>
      <c r="I1758" t="s">
        <v>957</v>
      </c>
      <c r="J1758" t="s">
        <v>4784</v>
      </c>
      <c r="K1758">
        <v>0.17647058823529399</v>
      </c>
      <c r="L1758" t="s">
        <v>1099</v>
      </c>
      <c r="M1758">
        <v>1.4598540145985399</v>
      </c>
      <c r="N1758" t="s">
        <v>973</v>
      </c>
      <c r="O1758">
        <v>0</v>
      </c>
      <c r="P1758">
        <v>0</v>
      </c>
      <c r="Q1758">
        <v>0</v>
      </c>
      <c r="R1758">
        <v>0</v>
      </c>
    </row>
    <row r="1759" spans="1:18" ht="16" x14ac:dyDescent="0.2">
      <c r="A1759" s="130" t="s">
        <v>3909</v>
      </c>
      <c r="B1759" t="s">
        <v>215</v>
      </c>
      <c r="C1759" t="s">
        <v>1247</v>
      </c>
      <c r="D1759" t="s">
        <v>1248</v>
      </c>
      <c r="E1759">
        <v>6</v>
      </c>
      <c r="F1759">
        <v>6</v>
      </c>
      <c r="G1759">
        <v>1</v>
      </c>
      <c r="H1759">
        <v>3.1358909995546602</v>
      </c>
      <c r="I1759" t="s">
        <v>957</v>
      </c>
      <c r="J1759" t="s">
        <v>4450</v>
      </c>
      <c r="K1759">
        <v>8.5714285714285701E-2</v>
      </c>
      <c r="L1759" t="s">
        <v>959</v>
      </c>
      <c r="M1759">
        <v>6.5693430656934302</v>
      </c>
      <c r="N1759" t="s">
        <v>960</v>
      </c>
      <c r="O1759">
        <v>0</v>
      </c>
      <c r="P1759">
        <v>0</v>
      </c>
      <c r="Q1759">
        <v>0</v>
      </c>
      <c r="R1759">
        <v>0</v>
      </c>
    </row>
    <row r="1760" spans="1:18" ht="16" x14ac:dyDescent="0.2">
      <c r="A1760" s="130" t="s">
        <v>3909</v>
      </c>
      <c r="B1760" t="s">
        <v>215</v>
      </c>
      <c r="C1760" t="s">
        <v>2074</v>
      </c>
      <c r="D1760" t="s">
        <v>2075</v>
      </c>
      <c r="E1760">
        <v>4</v>
      </c>
      <c r="F1760">
        <v>4</v>
      </c>
      <c r="G1760">
        <v>1</v>
      </c>
      <c r="H1760">
        <v>2.2576212689364801</v>
      </c>
      <c r="I1760" t="s">
        <v>957</v>
      </c>
      <c r="J1760" t="s">
        <v>4755</v>
      </c>
      <c r="K1760">
        <v>0.23529411764705899</v>
      </c>
      <c r="L1760" t="s">
        <v>1099</v>
      </c>
      <c r="M1760">
        <v>5.8394160583941597</v>
      </c>
      <c r="N1760" t="s">
        <v>973</v>
      </c>
      <c r="O1760">
        <v>0</v>
      </c>
      <c r="P1760">
        <v>0</v>
      </c>
      <c r="Q1760">
        <v>0</v>
      </c>
      <c r="R1760">
        <v>0</v>
      </c>
    </row>
    <row r="1761" spans="1:18" ht="16" x14ac:dyDescent="0.2">
      <c r="A1761" s="130" t="s">
        <v>3909</v>
      </c>
      <c r="B1761" t="s">
        <v>215</v>
      </c>
      <c r="C1761" t="s">
        <v>2249</v>
      </c>
      <c r="D1761" t="s">
        <v>2250</v>
      </c>
      <c r="E1761" t="s">
        <v>1442</v>
      </c>
      <c r="F1761">
        <v>5</v>
      </c>
      <c r="G1761">
        <v>2</v>
      </c>
      <c r="H1761">
        <v>3.86488560481689</v>
      </c>
      <c r="I1761" t="s">
        <v>957</v>
      </c>
      <c r="J1761" t="s">
        <v>4762</v>
      </c>
      <c r="K1761">
        <v>0.29411764705882398</v>
      </c>
      <c r="L1761" t="s">
        <v>1099</v>
      </c>
      <c r="M1761">
        <v>6.5693430656934302</v>
      </c>
      <c r="N1761" t="s">
        <v>973</v>
      </c>
      <c r="O1761">
        <v>0</v>
      </c>
      <c r="P1761">
        <v>0</v>
      </c>
      <c r="Q1761">
        <v>0</v>
      </c>
      <c r="R1761">
        <v>0</v>
      </c>
    </row>
    <row r="1762" spans="1:18" ht="16" x14ac:dyDescent="0.2">
      <c r="A1762" s="130" t="s">
        <v>3909</v>
      </c>
      <c r="B1762" t="s">
        <v>215</v>
      </c>
      <c r="C1762" t="s">
        <v>1944</v>
      </c>
      <c r="D1762" t="s">
        <v>1945</v>
      </c>
      <c r="E1762">
        <v>3</v>
      </c>
      <c r="F1762">
        <v>3</v>
      </c>
      <c r="G1762">
        <v>1</v>
      </c>
      <c r="H1762">
        <v>2.21227891328535</v>
      </c>
      <c r="I1762" t="s">
        <v>957</v>
      </c>
      <c r="J1762" t="s">
        <v>4222</v>
      </c>
      <c r="K1762">
        <v>0.11764705882352899</v>
      </c>
      <c r="L1762" t="s">
        <v>1099</v>
      </c>
      <c r="M1762">
        <v>5.10948905109489</v>
      </c>
      <c r="N1762" t="s">
        <v>973</v>
      </c>
      <c r="O1762">
        <v>0</v>
      </c>
      <c r="P1762">
        <v>0</v>
      </c>
      <c r="Q1762">
        <v>0</v>
      </c>
      <c r="R1762">
        <v>0</v>
      </c>
    </row>
    <row r="1763" spans="1:18" ht="16" x14ac:dyDescent="0.2">
      <c r="A1763" s="130" t="s">
        <v>3909</v>
      </c>
      <c r="B1763" t="s">
        <v>215</v>
      </c>
      <c r="C1763" t="s">
        <v>1748</v>
      </c>
      <c r="D1763" t="s">
        <v>1749</v>
      </c>
      <c r="E1763" t="s">
        <v>1052</v>
      </c>
      <c r="F1763">
        <v>2</v>
      </c>
      <c r="G1763">
        <v>2</v>
      </c>
      <c r="H1763">
        <v>2.9154759474226499</v>
      </c>
      <c r="I1763" t="s">
        <v>957</v>
      </c>
      <c r="J1763" t="s">
        <v>4346</v>
      </c>
      <c r="K1763">
        <v>0.11764705882352899</v>
      </c>
      <c r="L1763" t="s">
        <v>1099</v>
      </c>
      <c r="M1763">
        <v>6.5693430656934302</v>
      </c>
      <c r="N1763" t="s">
        <v>973</v>
      </c>
      <c r="O1763">
        <v>0</v>
      </c>
      <c r="P1763">
        <v>0</v>
      </c>
      <c r="Q1763">
        <v>0</v>
      </c>
      <c r="R1763">
        <v>0</v>
      </c>
    </row>
    <row r="1764" spans="1:18" ht="16" x14ac:dyDescent="0.2">
      <c r="A1764" s="130" t="s">
        <v>3909</v>
      </c>
      <c r="B1764" t="s">
        <v>219</v>
      </c>
      <c r="C1764" t="s">
        <v>4165</v>
      </c>
      <c r="D1764" t="s">
        <v>4166</v>
      </c>
      <c r="E1764" t="s">
        <v>1816</v>
      </c>
      <c r="F1764">
        <v>4</v>
      </c>
      <c r="G1764">
        <v>3</v>
      </c>
      <c r="H1764">
        <v>0.75885603210299202</v>
      </c>
      <c r="I1764" t="s">
        <v>957</v>
      </c>
      <c r="J1764" t="s">
        <v>4167</v>
      </c>
      <c r="K1764">
        <v>1.4285714285714299E-2</v>
      </c>
      <c r="L1764" t="s">
        <v>959</v>
      </c>
      <c r="M1764">
        <v>0.72992700729926996</v>
      </c>
      <c r="N1764" t="s">
        <v>2505</v>
      </c>
      <c r="O1764">
        <v>0</v>
      </c>
      <c r="P1764">
        <v>0</v>
      </c>
      <c r="Q1764">
        <v>0</v>
      </c>
      <c r="R1764">
        <v>0</v>
      </c>
    </row>
    <row r="1765" spans="1:18" ht="16" x14ac:dyDescent="0.2">
      <c r="A1765" s="130" t="s">
        <v>3909</v>
      </c>
      <c r="B1765" t="s">
        <v>219</v>
      </c>
      <c r="C1765" t="s">
        <v>3044</v>
      </c>
      <c r="D1765" t="s">
        <v>3045</v>
      </c>
      <c r="E1765" t="s">
        <v>1816</v>
      </c>
      <c r="F1765">
        <v>4</v>
      </c>
      <c r="G1765">
        <v>3</v>
      </c>
      <c r="H1765">
        <v>1.73883375322143</v>
      </c>
      <c r="I1765" t="s">
        <v>957</v>
      </c>
      <c r="J1765" t="s">
        <v>4178</v>
      </c>
      <c r="K1765">
        <v>0.16428571428571401</v>
      </c>
      <c r="L1765" t="s">
        <v>959</v>
      </c>
      <c r="M1765">
        <v>8.7591240875912408</v>
      </c>
      <c r="N1765" t="s">
        <v>960</v>
      </c>
      <c r="O1765">
        <v>0</v>
      </c>
      <c r="P1765">
        <v>0</v>
      </c>
      <c r="Q1765">
        <v>0</v>
      </c>
      <c r="R1765">
        <v>0</v>
      </c>
    </row>
    <row r="1766" spans="1:18" ht="16" x14ac:dyDescent="0.2">
      <c r="A1766" s="130" t="s">
        <v>3909</v>
      </c>
      <c r="B1766" t="s">
        <v>219</v>
      </c>
      <c r="C1766" t="s">
        <v>3524</v>
      </c>
      <c r="D1766" t="s">
        <v>3525</v>
      </c>
      <c r="E1766">
        <v>11</v>
      </c>
      <c r="F1766">
        <v>11</v>
      </c>
      <c r="G1766">
        <v>1</v>
      </c>
      <c r="H1766">
        <v>0.82731502111731603</v>
      </c>
      <c r="I1766" t="s">
        <v>957</v>
      </c>
      <c r="J1766" t="s">
        <v>4470</v>
      </c>
      <c r="K1766">
        <v>4.2857142857142899E-2</v>
      </c>
      <c r="L1766" t="s">
        <v>959</v>
      </c>
      <c r="M1766">
        <v>5.8394160583941597</v>
      </c>
      <c r="N1766" t="s">
        <v>2505</v>
      </c>
      <c r="O1766">
        <v>0</v>
      </c>
      <c r="P1766">
        <v>0</v>
      </c>
      <c r="Q1766">
        <v>0</v>
      </c>
      <c r="R1766">
        <v>0</v>
      </c>
    </row>
    <row r="1767" spans="1:18" ht="16" x14ac:dyDescent="0.2">
      <c r="A1767" s="130" t="s">
        <v>3909</v>
      </c>
      <c r="B1767" t="s">
        <v>223</v>
      </c>
      <c r="C1767" t="s">
        <v>1398</v>
      </c>
      <c r="D1767" t="s">
        <v>1399</v>
      </c>
      <c r="E1767" t="s">
        <v>1022</v>
      </c>
      <c r="F1767">
        <v>3</v>
      </c>
      <c r="G1767">
        <v>2</v>
      </c>
      <c r="H1767">
        <v>2.08543848290069</v>
      </c>
      <c r="I1767" t="s">
        <v>957</v>
      </c>
      <c r="J1767" t="s">
        <v>4258</v>
      </c>
      <c r="K1767">
        <v>0.17857142857142899</v>
      </c>
      <c r="L1767" t="s">
        <v>959</v>
      </c>
      <c r="M1767">
        <v>7.2992700729926998</v>
      </c>
      <c r="N1767" t="s">
        <v>960</v>
      </c>
      <c r="O1767" t="s">
        <v>5017</v>
      </c>
      <c r="P1767">
        <v>0</v>
      </c>
      <c r="Q1767">
        <v>0</v>
      </c>
      <c r="R1767">
        <v>0</v>
      </c>
    </row>
    <row r="1768" spans="1:18" ht="16" x14ac:dyDescent="0.2">
      <c r="A1768" s="130" t="s">
        <v>3909</v>
      </c>
      <c r="B1768" t="s">
        <v>223</v>
      </c>
      <c r="C1768" t="s">
        <v>3524</v>
      </c>
      <c r="D1768" t="s">
        <v>3525</v>
      </c>
      <c r="E1768" t="s">
        <v>4712</v>
      </c>
      <c r="F1768">
        <v>18</v>
      </c>
      <c r="G1768">
        <v>2</v>
      </c>
      <c r="H1768">
        <v>2.7723361771191701</v>
      </c>
      <c r="I1768" t="s">
        <v>957</v>
      </c>
      <c r="J1768" t="s">
        <v>4652</v>
      </c>
      <c r="K1768">
        <v>4.2857142857142899E-2</v>
      </c>
      <c r="L1768" t="s">
        <v>959</v>
      </c>
      <c r="M1768">
        <v>5.8394160583941597</v>
      </c>
      <c r="N1768" t="s">
        <v>960</v>
      </c>
      <c r="O1768" t="s">
        <v>5017</v>
      </c>
      <c r="P1768">
        <v>0</v>
      </c>
      <c r="Q1768">
        <v>0</v>
      </c>
      <c r="R1768">
        <v>0</v>
      </c>
    </row>
    <row r="1769" spans="1:18" ht="16" x14ac:dyDescent="0.2">
      <c r="A1769" s="130" t="s">
        <v>3909</v>
      </c>
      <c r="B1769" t="s">
        <v>223</v>
      </c>
      <c r="C1769" t="s">
        <v>2008</v>
      </c>
      <c r="D1769" t="s">
        <v>4585</v>
      </c>
      <c r="E1769">
        <v>4</v>
      </c>
      <c r="F1769">
        <v>4</v>
      </c>
      <c r="G1769">
        <v>1</v>
      </c>
      <c r="H1769">
        <v>0.32451781783398498</v>
      </c>
      <c r="I1769" t="s">
        <v>957</v>
      </c>
      <c r="J1769" t="s">
        <v>4586</v>
      </c>
      <c r="K1769">
        <v>2.1428571428571401E-2</v>
      </c>
      <c r="L1769" t="s">
        <v>959</v>
      </c>
      <c r="M1769">
        <v>1.4598540145985399</v>
      </c>
      <c r="N1769" t="s">
        <v>960</v>
      </c>
      <c r="O1769" t="s">
        <v>5017</v>
      </c>
      <c r="P1769">
        <v>0</v>
      </c>
      <c r="Q1769">
        <v>0</v>
      </c>
      <c r="R1769">
        <v>0</v>
      </c>
    </row>
    <row r="1770" spans="1:18" ht="16" x14ac:dyDescent="0.2">
      <c r="A1770" s="130" t="s">
        <v>3909</v>
      </c>
      <c r="B1770" t="s">
        <v>227</v>
      </c>
      <c r="C1770" t="s">
        <v>2855</v>
      </c>
      <c r="D1770" t="s">
        <v>2856</v>
      </c>
      <c r="E1770">
        <v>3</v>
      </c>
      <c r="F1770">
        <v>3</v>
      </c>
      <c r="G1770">
        <v>1</v>
      </c>
      <c r="H1770">
        <v>3.2795663669996902</v>
      </c>
      <c r="I1770" t="s">
        <v>957</v>
      </c>
      <c r="J1770" t="s">
        <v>4377</v>
      </c>
      <c r="K1770">
        <v>0.107142857142857</v>
      </c>
      <c r="L1770" t="s">
        <v>959</v>
      </c>
      <c r="M1770">
        <v>2.9197080291970798</v>
      </c>
      <c r="N1770" t="s">
        <v>960</v>
      </c>
      <c r="O1770">
        <v>0</v>
      </c>
      <c r="P1770">
        <v>0</v>
      </c>
      <c r="Q1770">
        <v>0</v>
      </c>
      <c r="R1770">
        <v>0</v>
      </c>
    </row>
    <row r="1771" spans="1:18" ht="16" x14ac:dyDescent="0.2">
      <c r="A1771" s="130" t="s">
        <v>3909</v>
      </c>
      <c r="B1771" t="s">
        <v>227</v>
      </c>
      <c r="C1771" t="s">
        <v>997</v>
      </c>
      <c r="D1771" t="s">
        <v>998</v>
      </c>
      <c r="E1771">
        <v>3</v>
      </c>
      <c r="F1771">
        <v>3</v>
      </c>
      <c r="G1771">
        <v>1</v>
      </c>
      <c r="H1771">
        <v>2.60132318531514</v>
      </c>
      <c r="I1771" t="s">
        <v>957</v>
      </c>
      <c r="J1771" t="s">
        <v>3950</v>
      </c>
      <c r="K1771">
        <v>0.11764705882352899</v>
      </c>
      <c r="L1771" t="s">
        <v>1099</v>
      </c>
      <c r="M1771">
        <v>8.0291970802919703</v>
      </c>
      <c r="N1771" t="s">
        <v>973</v>
      </c>
      <c r="O1771">
        <v>0</v>
      </c>
      <c r="P1771">
        <v>0</v>
      </c>
      <c r="Q1771">
        <v>0</v>
      </c>
      <c r="R1771">
        <v>0</v>
      </c>
    </row>
    <row r="1772" spans="1:18" ht="16" x14ac:dyDescent="0.2">
      <c r="A1772" s="130" t="s">
        <v>3909</v>
      </c>
      <c r="B1772" t="s">
        <v>227</v>
      </c>
      <c r="C1772" t="s">
        <v>2952</v>
      </c>
      <c r="D1772" t="s">
        <v>2953</v>
      </c>
      <c r="E1772">
        <v>3</v>
      </c>
      <c r="F1772">
        <v>3</v>
      </c>
      <c r="G1772">
        <v>1</v>
      </c>
      <c r="H1772">
        <v>2.8346033501396999</v>
      </c>
      <c r="I1772" t="s">
        <v>957</v>
      </c>
      <c r="J1772" t="s">
        <v>4322</v>
      </c>
      <c r="K1772">
        <v>0.107142857142857</v>
      </c>
      <c r="L1772" t="s">
        <v>959</v>
      </c>
      <c r="M1772">
        <v>5.10948905109489</v>
      </c>
      <c r="N1772" t="s">
        <v>960</v>
      </c>
      <c r="O1772">
        <v>0</v>
      </c>
      <c r="P1772">
        <v>0</v>
      </c>
      <c r="Q1772">
        <v>0</v>
      </c>
      <c r="R1772">
        <v>0</v>
      </c>
    </row>
    <row r="1773" spans="1:18" ht="16" x14ac:dyDescent="0.2">
      <c r="A1773" s="130" t="s">
        <v>3909</v>
      </c>
      <c r="B1773" t="s">
        <v>227</v>
      </c>
      <c r="C1773" t="s">
        <v>2322</v>
      </c>
      <c r="D1773" t="s">
        <v>2323</v>
      </c>
      <c r="E1773" t="s">
        <v>1052</v>
      </c>
      <c r="F1773">
        <v>2</v>
      </c>
      <c r="G1773">
        <v>2</v>
      </c>
      <c r="H1773">
        <v>1.46295592911644</v>
      </c>
      <c r="I1773" t="s">
        <v>957</v>
      </c>
      <c r="J1773" t="s">
        <v>4091</v>
      </c>
      <c r="K1773">
        <v>0.192857142857143</v>
      </c>
      <c r="L1773" t="s">
        <v>959</v>
      </c>
      <c r="M1773">
        <v>6.5693430656934302</v>
      </c>
      <c r="N1773" t="s">
        <v>960</v>
      </c>
      <c r="O1773">
        <v>0</v>
      </c>
      <c r="P1773">
        <v>0</v>
      </c>
      <c r="Q1773">
        <v>0</v>
      </c>
      <c r="R1773">
        <v>0</v>
      </c>
    </row>
    <row r="1774" spans="1:18" ht="16" x14ac:dyDescent="0.2">
      <c r="A1774" s="130" t="s">
        <v>3909</v>
      </c>
      <c r="B1774" t="s">
        <v>227</v>
      </c>
      <c r="C1774" t="s">
        <v>2589</v>
      </c>
      <c r="D1774" t="s">
        <v>2590</v>
      </c>
      <c r="E1774">
        <v>8</v>
      </c>
      <c r="F1774">
        <v>8</v>
      </c>
      <c r="G1774">
        <v>1</v>
      </c>
      <c r="H1774">
        <v>3.34396102024709</v>
      </c>
      <c r="I1774" t="s">
        <v>957</v>
      </c>
      <c r="J1774" t="s">
        <v>4010</v>
      </c>
      <c r="K1774">
        <v>0.11764705882352899</v>
      </c>
      <c r="L1774" t="s">
        <v>1099</v>
      </c>
      <c r="M1774">
        <v>7.2992700729926998</v>
      </c>
      <c r="N1774" t="s">
        <v>973</v>
      </c>
      <c r="O1774">
        <v>0</v>
      </c>
      <c r="P1774">
        <v>0</v>
      </c>
      <c r="Q1774">
        <v>0</v>
      </c>
      <c r="R1774">
        <v>0</v>
      </c>
    </row>
    <row r="1775" spans="1:18" ht="16" x14ac:dyDescent="0.2">
      <c r="A1775" s="130" t="s">
        <v>3909</v>
      </c>
      <c r="B1775" t="s">
        <v>227</v>
      </c>
      <c r="C1775" t="s">
        <v>3258</v>
      </c>
      <c r="D1775" t="s">
        <v>3259</v>
      </c>
      <c r="E1775">
        <v>3</v>
      </c>
      <c r="F1775">
        <v>3</v>
      </c>
      <c r="G1775">
        <v>1</v>
      </c>
      <c r="H1775">
        <v>2.55065324572359</v>
      </c>
      <c r="I1775" t="s">
        <v>957</v>
      </c>
      <c r="J1775" t="s">
        <v>4122</v>
      </c>
      <c r="K1775">
        <v>0.17647058823529399</v>
      </c>
      <c r="L1775" t="s">
        <v>1099</v>
      </c>
      <c r="M1775">
        <v>2.1897810218978102</v>
      </c>
      <c r="N1775" t="s">
        <v>973</v>
      </c>
      <c r="O1775">
        <v>0</v>
      </c>
      <c r="P1775">
        <v>0</v>
      </c>
      <c r="Q1775">
        <v>0</v>
      </c>
      <c r="R1775">
        <v>0</v>
      </c>
    </row>
    <row r="1776" spans="1:18" ht="16" x14ac:dyDescent="0.2">
      <c r="A1776" s="130" t="s">
        <v>3909</v>
      </c>
      <c r="B1776" t="s">
        <v>227</v>
      </c>
      <c r="C1776" t="s">
        <v>1814</v>
      </c>
      <c r="D1776" t="s">
        <v>1815</v>
      </c>
      <c r="E1776" t="s">
        <v>1052</v>
      </c>
      <c r="F1776">
        <v>2</v>
      </c>
      <c r="G1776">
        <v>2</v>
      </c>
      <c r="H1776">
        <v>2.1200070020291899</v>
      </c>
      <c r="I1776" t="s">
        <v>957</v>
      </c>
      <c r="J1776" t="s">
        <v>4552</v>
      </c>
      <c r="K1776">
        <v>0.157142857142857</v>
      </c>
      <c r="L1776" t="s">
        <v>959</v>
      </c>
      <c r="M1776">
        <v>5.8394160583941597</v>
      </c>
      <c r="N1776" t="s">
        <v>960</v>
      </c>
      <c r="O1776">
        <v>0</v>
      </c>
      <c r="P1776">
        <v>0</v>
      </c>
      <c r="Q1776">
        <v>0</v>
      </c>
      <c r="R1776">
        <v>0</v>
      </c>
    </row>
    <row r="1777" spans="1:18" ht="16" x14ac:dyDescent="0.2">
      <c r="A1777" s="130" t="s">
        <v>3909</v>
      </c>
      <c r="B1777" t="s">
        <v>227</v>
      </c>
      <c r="C1777" t="s">
        <v>2384</v>
      </c>
      <c r="D1777" t="s">
        <v>2385</v>
      </c>
      <c r="E1777">
        <v>3</v>
      </c>
      <c r="F1777">
        <v>3</v>
      </c>
      <c r="G1777">
        <v>1</v>
      </c>
      <c r="H1777">
        <v>2.7634406886994398</v>
      </c>
      <c r="I1777" t="s">
        <v>957</v>
      </c>
      <c r="J1777" t="s">
        <v>4098</v>
      </c>
      <c r="K1777">
        <v>0.14285714285714299</v>
      </c>
      <c r="L1777" t="s">
        <v>959</v>
      </c>
      <c r="M1777">
        <v>3.6496350364963499</v>
      </c>
      <c r="N1777" t="s">
        <v>960</v>
      </c>
      <c r="O1777">
        <v>0</v>
      </c>
      <c r="P1777">
        <v>0</v>
      </c>
      <c r="Q1777">
        <v>0</v>
      </c>
      <c r="R1777">
        <v>0</v>
      </c>
    </row>
    <row r="1778" spans="1:18" ht="16" x14ac:dyDescent="0.2">
      <c r="A1778" s="130" t="s">
        <v>3909</v>
      </c>
      <c r="B1778" t="s">
        <v>227</v>
      </c>
      <c r="C1778" t="s">
        <v>1649</v>
      </c>
      <c r="D1778" t="s">
        <v>1650</v>
      </c>
      <c r="E1778" t="s">
        <v>1022</v>
      </c>
      <c r="F1778">
        <v>3</v>
      </c>
      <c r="G1778">
        <v>2</v>
      </c>
      <c r="H1778">
        <v>2.5655407312427698</v>
      </c>
      <c r="I1778" t="s">
        <v>957</v>
      </c>
      <c r="J1778" t="s">
        <v>4543</v>
      </c>
      <c r="K1778">
        <v>0.2</v>
      </c>
      <c r="L1778" t="s">
        <v>959</v>
      </c>
      <c r="M1778">
        <v>8.7591240875912408</v>
      </c>
      <c r="N1778" t="s">
        <v>960</v>
      </c>
      <c r="O1778">
        <v>0</v>
      </c>
      <c r="P1778">
        <v>0</v>
      </c>
      <c r="Q1778">
        <v>0</v>
      </c>
      <c r="R1778">
        <v>0</v>
      </c>
    </row>
    <row r="1779" spans="1:18" ht="16" x14ac:dyDescent="0.2">
      <c r="A1779" s="130" t="s">
        <v>3909</v>
      </c>
      <c r="B1779" t="s">
        <v>227</v>
      </c>
      <c r="C1779" t="s">
        <v>1124</v>
      </c>
      <c r="D1779" t="s">
        <v>1125</v>
      </c>
      <c r="E1779">
        <v>6</v>
      </c>
      <c r="F1779">
        <v>6</v>
      </c>
      <c r="G1779">
        <v>1</v>
      </c>
      <c r="H1779">
        <v>3.2596012026013299</v>
      </c>
      <c r="I1779" t="s">
        <v>957</v>
      </c>
      <c r="J1779" t="s">
        <v>4070</v>
      </c>
      <c r="K1779">
        <v>0.29411764705882398</v>
      </c>
      <c r="L1779" t="s">
        <v>1099</v>
      </c>
      <c r="M1779">
        <v>8.7591240875912408</v>
      </c>
      <c r="N1779" t="s">
        <v>973</v>
      </c>
      <c r="O1779">
        <v>0</v>
      </c>
      <c r="P1779">
        <v>0</v>
      </c>
      <c r="Q1779">
        <v>0</v>
      </c>
      <c r="R1779">
        <v>0</v>
      </c>
    </row>
    <row r="1780" spans="1:18" ht="16" x14ac:dyDescent="0.2">
      <c r="A1780" s="130" t="s">
        <v>3909</v>
      </c>
      <c r="B1780" t="s">
        <v>227</v>
      </c>
      <c r="C1780" t="s">
        <v>2811</v>
      </c>
      <c r="D1780" t="s">
        <v>2812</v>
      </c>
      <c r="E1780">
        <v>3</v>
      </c>
      <c r="F1780">
        <v>3</v>
      </c>
      <c r="G1780">
        <v>1</v>
      </c>
      <c r="H1780">
        <v>4.0566567983928898</v>
      </c>
      <c r="I1780" t="s">
        <v>957</v>
      </c>
      <c r="J1780" t="s">
        <v>3913</v>
      </c>
      <c r="K1780">
        <v>7.1428571428571397E-2</v>
      </c>
      <c r="L1780" t="s">
        <v>959</v>
      </c>
      <c r="M1780">
        <v>2.9197080291970798</v>
      </c>
      <c r="N1780" t="s">
        <v>960</v>
      </c>
      <c r="O1780">
        <v>0</v>
      </c>
      <c r="P1780">
        <v>0</v>
      </c>
      <c r="Q1780">
        <v>0</v>
      </c>
      <c r="R1780">
        <v>0</v>
      </c>
    </row>
    <row r="1781" spans="1:18" ht="16" x14ac:dyDescent="0.2">
      <c r="A1781" s="130" t="s">
        <v>3909</v>
      </c>
      <c r="B1781" t="s">
        <v>227</v>
      </c>
      <c r="C1781" t="s">
        <v>2552</v>
      </c>
      <c r="D1781" t="s">
        <v>2553</v>
      </c>
      <c r="E1781" t="s">
        <v>1039</v>
      </c>
      <c r="F1781">
        <v>3</v>
      </c>
      <c r="G1781">
        <v>2</v>
      </c>
      <c r="H1781">
        <v>4.0757713088055496</v>
      </c>
      <c r="I1781" t="s">
        <v>957</v>
      </c>
      <c r="J1781" t="s">
        <v>4574</v>
      </c>
      <c r="K1781">
        <v>0.05</v>
      </c>
      <c r="L1781" t="s">
        <v>959</v>
      </c>
      <c r="M1781">
        <v>2.9197080291970798</v>
      </c>
      <c r="N1781" t="s">
        <v>960</v>
      </c>
      <c r="O1781">
        <v>0</v>
      </c>
      <c r="P1781">
        <v>0</v>
      </c>
      <c r="Q1781">
        <v>0</v>
      </c>
      <c r="R1781">
        <v>0</v>
      </c>
    </row>
    <row r="1782" spans="1:18" ht="16" x14ac:dyDescent="0.2">
      <c r="A1782" s="130" t="s">
        <v>3909</v>
      </c>
      <c r="B1782" t="s">
        <v>227</v>
      </c>
      <c r="C1782" t="s">
        <v>1041</v>
      </c>
      <c r="E1782" t="s">
        <v>1085</v>
      </c>
      <c r="F1782">
        <v>5</v>
      </c>
      <c r="G1782">
        <v>2</v>
      </c>
      <c r="H1782">
        <v>2.8493612150467298</v>
      </c>
      <c r="I1782" t="s">
        <v>957</v>
      </c>
      <c r="J1782" t="s">
        <v>4183</v>
      </c>
      <c r="K1782">
        <v>0.17142857142857101</v>
      </c>
      <c r="L1782" t="s">
        <v>959</v>
      </c>
      <c r="M1782">
        <v>6.5693430656934302</v>
      </c>
      <c r="N1782" t="s">
        <v>960</v>
      </c>
      <c r="O1782">
        <v>0</v>
      </c>
      <c r="P1782">
        <v>0</v>
      </c>
      <c r="Q1782">
        <v>0</v>
      </c>
      <c r="R1782">
        <v>0</v>
      </c>
    </row>
    <row r="1783" spans="1:18" ht="16" x14ac:dyDescent="0.2">
      <c r="A1783" s="130" t="s">
        <v>3909</v>
      </c>
      <c r="B1783" t="s">
        <v>227</v>
      </c>
      <c r="C1783" t="s">
        <v>1708</v>
      </c>
      <c r="D1783" t="s">
        <v>1709</v>
      </c>
      <c r="E1783" t="s">
        <v>1442</v>
      </c>
      <c r="F1783">
        <v>5</v>
      </c>
      <c r="G1783">
        <v>2</v>
      </c>
      <c r="H1783">
        <v>1.7134578354406</v>
      </c>
      <c r="I1783" t="s">
        <v>957</v>
      </c>
      <c r="J1783" t="s">
        <v>4964</v>
      </c>
      <c r="K1783">
        <v>2.1428571428571401E-2</v>
      </c>
      <c r="L1783" t="s">
        <v>959</v>
      </c>
      <c r="M1783">
        <v>2.1897810218978102</v>
      </c>
      <c r="N1783" t="s">
        <v>960</v>
      </c>
      <c r="O1783">
        <v>0</v>
      </c>
      <c r="P1783">
        <v>0</v>
      </c>
      <c r="Q1783">
        <v>0</v>
      </c>
      <c r="R1783">
        <v>0</v>
      </c>
    </row>
    <row r="1784" spans="1:18" ht="16" x14ac:dyDescent="0.2">
      <c r="A1784" s="130" t="s">
        <v>3909</v>
      </c>
      <c r="B1784" t="s">
        <v>227</v>
      </c>
      <c r="C1784" t="s">
        <v>2818</v>
      </c>
      <c r="D1784" t="s">
        <v>2819</v>
      </c>
      <c r="E1784">
        <v>3</v>
      </c>
      <c r="F1784">
        <v>3</v>
      </c>
      <c r="G1784">
        <v>1</v>
      </c>
      <c r="H1784">
        <v>2.8084722912370799</v>
      </c>
      <c r="I1784" t="s">
        <v>957</v>
      </c>
      <c r="J1784" t="s">
        <v>4549</v>
      </c>
      <c r="K1784">
        <v>0.13571428571428601</v>
      </c>
      <c r="L1784" t="s">
        <v>959</v>
      </c>
      <c r="M1784">
        <v>5.10948905109489</v>
      </c>
      <c r="N1784" t="s">
        <v>960</v>
      </c>
      <c r="O1784">
        <v>0</v>
      </c>
      <c r="P1784">
        <v>0</v>
      </c>
      <c r="Q1784">
        <v>0</v>
      </c>
      <c r="R1784">
        <v>0</v>
      </c>
    </row>
    <row r="1785" spans="1:18" ht="16" x14ac:dyDescent="0.2">
      <c r="A1785" s="130" t="s">
        <v>3909</v>
      </c>
      <c r="B1785" t="s">
        <v>227</v>
      </c>
      <c r="C1785" t="s">
        <v>2433</v>
      </c>
      <c r="D1785" t="s">
        <v>2434</v>
      </c>
      <c r="E1785">
        <v>4</v>
      </c>
      <c r="F1785">
        <v>4</v>
      </c>
      <c r="G1785">
        <v>1</v>
      </c>
      <c r="H1785">
        <v>2.7933559182460801</v>
      </c>
      <c r="I1785" t="s">
        <v>957</v>
      </c>
      <c r="J1785" t="s">
        <v>4871</v>
      </c>
      <c r="K1785">
        <v>0.114285714285714</v>
      </c>
      <c r="L1785" t="s">
        <v>959</v>
      </c>
      <c r="M1785">
        <v>7.2992700729926998</v>
      </c>
      <c r="N1785" t="s">
        <v>960</v>
      </c>
      <c r="O1785">
        <v>0</v>
      </c>
      <c r="P1785">
        <v>0</v>
      </c>
      <c r="Q1785">
        <v>0</v>
      </c>
      <c r="R1785">
        <v>0</v>
      </c>
    </row>
    <row r="1786" spans="1:18" ht="16" x14ac:dyDescent="0.2">
      <c r="A1786" s="130" t="s">
        <v>3909</v>
      </c>
      <c r="B1786" t="s">
        <v>227</v>
      </c>
      <c r="C1786" t="s">
        <v>2599</v>
      </c>
      <c r="D1786" t="s">
        <v>2600</v>
      </c>
      <c r="E1786" t="s">
        <v>1692</v>
      </c>
      <c r="F1786">
        <v>5</v>
      </c>
      <c r="G1786">
        <v>2</v>
      </c>
      <c r="H1786">
        <v>3.9265643068210498</v>
      </c>
      <c r="I1786" t="s">
        <v>957</v>
      </c>
      <c r="J1786" t="s">
        <v>3122</v>
      </c>
      <c r="K1786">
        <v>8.5714285714285701E-2</v>
      </c>
      <c r="L1786" t="s">
        <v>959</v>
      </c>
      <c r="M1786">
        <v>2.9197080291970798</v>
      </c>
      <c r="N1786" t="s">
        <v>960</v>
      </c>
      <c r="O1786">
        <v>0</v>
      </c>
      <c r="P1786">
        <v>0</v>
      </c>
      <c r="Q1786">
        <v>0</v>
      </c>
      <c r="R1786">
        <v>0</v>
      </c>
    </row>
    <row r="1787" spans="1:18" ht="16" x14ac:dyDescent="0.2">
      <c r="A1787" s="130" t="s">
        <v>3909</v>
      </c>
      <c r="B1787" t="s">
        <v>227</v>
      </c>
      <c r="C1787" t="s">
        <v>2791</v>
      </c>
      <c r="D1787" t="s">
        <v>2792</v>
      </c>
      <c r="E1787">
        <v>3</v>
      </c>
      <c r="F1787">
        <v>3</v>
      </c>
      <c r="G1787">
        <v>1</v>
      </c>
      <c r="H1787">
        <v>3.1140187140673401</v>
      </c>
      <c r="I1787" t="s">
        <v>957</v>
      </c>
      <c r="J1787" t="s">
        <v>4684</v>
      </c>
      <c r="K1787">
        <v>0.17647058823529399</v>
      </c>
      <c r="L1787" t="s">
        <v>1099</v>
      </c>
      <c r="M1787">
        <v>1.4598540145985399</v>
      </c>
      <c r="N1787" t="s">
        <v>973</v>
      </c>
      <c r="O1787">
        <v>0</v>
      </c>
      <c r="P1787">
        <v>0</v>
      </c>
      <c r="Q1787">
        <v>0</v>
      </c>
      <c r="R1787">
        <v>0</v>
      </c>
    </row>
    <row r="1788" spans="1:18" ht="16" x14ac:dyDescent="0.2">
      <c r="A1788" s="130" t="s">
        <v>3909</v>
      </c>
      <c r="B1788" t="s">
        <v>227</v>
      </c>
      <c r="C1788" t="s">
        <v>4190</v>
      </c>
      <c r="D1788" t="s">
        <v>4373</v>
      </c>
      <c r="E1788">
        <v>3</v>
      </c>
      <c r="F1788">
        <v>3</v>
      </c>
      <c r="G1788">
        <v>1</v>
      </c>
      <c r="H1788">
        <v>0.61666441700132801</v>
      </c>
      <c r="I1788" t="s">
        <v>957</v>
      </c>
      <c r="J1788" t="s">
        <v>4486</v>
      </c>
      <c r="K1788">
        <v>0.35294117647058798</v>
      </c>
      <c r="L1788" t="s">
        <v>1099</v>
      </c>
      <c r="M1788">
        <v>4.3795620437956204</v>
      </c>
      <c r="N1788" t="s">
        <v>973</v>
      </c>
      <c r="O1788">
        <v>0</v>
      </c>
      <c r="P1788">
        <v>0</v>
      </c>
      <c r="Q1788">
        <v>0</v>
      </c>
      <c r="R1788">
        <v>0</v>
      </c>
    </row>
    <row r="1789" spans="1:18" ht="16" x14ac:dyDescent="0.2">
      <c r="A1789" s="130" t="s">
        <v>3909</v>
      </c>
      <c r="B1789" t="s">
        <v>231</v>
      </c>
      <c r="C1789" t="s">
        <v>2139</v>
      </c>
      <c r="D1789" t="s">
        <v>2140</v>
      </c>
      <c r="E1789">
        <v>3</v>
      </c>
      <c r="F1789">
        <v>3</v>
      </c>
      <c r="G1789">
        <v>1</v>
      </c>
      <c r="H1789">
        <v>2.2416772687337998</v>
      </c>
      <c r="I1789" t="s">
        <v>957</v>
      </c>
      <c r="J1789" t="s">
        <v>4354</v>
      </c>
      <c r="K1789">
        <v>0.128571428571429</v>
      </c>
      <c r="L1789" t="s">
        <v>959</v>
      </c>
      <c r="M1789">
        <v>5.8394160583941597</v>
      </c>
      <c r="N1789" t="s">
        <v>960</v>
      </c>
      <c r="O1789">
        <v>0</v>
      </c>
      <c r="P1789">
        <v>0</v>
      </c>
      <c r="Q1789">
        <v>0</v>
      </c>
      <c r="R1789">
        <v>0</v>
      </c>
    </row>
    <row r="1790" spans="1:18" ht="16" x14ac:dyDescent="0.2">
      <c r="A1790" s="130" t="s">
        <v>3909</v>
      </c>
      <c r="B1790" t="s">
        <v>231</v>
      </c>
      <c r="C1790" t="s">
        <v>2520</v>
      </c>
      <c r="D1790" t="s">
        <v>2521</v>
      </c>
      <c r="E1790" t="s">
        <v>1052</v>
      </c>
      <c r="F1790">
        <v>2</v>
      </c>
      <c r="G1790">
        <v>2</v>
      </c>
      <c r="H1790">
        <v>2.25459691779366</v>
      </c>
      <c r="I1790" t="s">
        <v>957</v>
      </c>
      <c r="J1790" t="s">
        <v>4207</v>
      </c>
      <c r="K1790">
        <v>0.157142857142857</v>
      </c>
      <c r="L1790" t="s">
        <v>959</v>
      </c>
      <c r="M1790">
        <v>5.10948905109489</v>
      </c>
      <c r="N1790" t="s">
        <v>960</v>
      </c>
      <c r="O1790">
        <v>0</v>
      </c>
      <c r="P1790">
        <v>0</v>
      </c>
      <c r="Q1790">
        <v>0</v>
      </c>
      <c r="R1790">
        <v>0</v>
      </c>
    </row>
    <row r="1791" spans="1:18" ht="16" x14ac:dyDescent="0.2">
      <c r="A1791" s="130" t="s">
        <v>3909</v>
      </c>
      <c r="B1791" t="s">
        <v>231</v>
      </c>
      <c r="C1791" t="s">
        <v>2316</v>
      </c>
      <c r="D1791" t="s">
        <v>2317</v>
      </c>
      <c r="E1791" t="s">
        <v>1052</v>
      </c>
      <c r="F1791">
        <v>2</v>
      </c>
      <c r="G1791">
        <v>2</v>
      </c>
      <c r="H1791">
        <v>1.40733116649844</v>
      </c>
      <c r="I1791" t="s">
        <v>957</v>
      </c>
      <c r="J1791" t="s">
        <v>3285</v>
      </c>
      <c r="K1791">
        <v>0.192857142857143</v>
      </c>
      <c r="L1791" t="s">
        <v>959</v>
      </c>
      <c r="M1791">
        <v>8.7591240875912408</v>
      </c>
      <c r="N1791" t="s">
        <v>960</v>
      </c>
      <c r="O1791">
        <v>0</v>
      </c>
      <c r="P1791">
        <v>0</v>
      </c>
      <c r="Q1791">
        <v>0</v>
      </c>
      <c r="R1791">
        <v>0</v>
      </c>
    </row>
    <row r="1792" spans="1:18" ht="16" x14ac:dyDescent="0.2">
      <c r="A1792" s="130" t="s">
        <v>3909</v>
      </c>
      <c r="B1792" t="s">
        <v>231</v>
      </c>
      <c r="C1792" t="s">
        <v>3305</v>
      </c>
      <c r="D1792" t="s">
        <v>3306</v>
      </c>
      <c r="E1792" t="s">
        <v>1840</v>
      </c>
      <c r="F1792">
        <v>5</v>
      </c>
      <c r="G1792">
        <v>3</v>
      </c>
      <c r="H1792">
        <v>3.0679645876323498</v>
      </c>
      <c r="I1792" t="s">
        <v>957</v>
      </c>
      <c r="J1792" t="s">
        <v>4656</v>
      </c>
      <c r="K1792">
        <v>0.16428571428571401</v>
      </c>
      <c r="L1792" t="s">
        <v>959</v>
      </c>
      <c r="M1792">
        <v>8.7591240875912408</v>
      </c>
      <c r="N1792" t="s">
        <v>960</v>
      </c>
      <c r="O1792">
        <v>0</v>
      </c>
      <c r="P1792">
        <v>0</v>
      </c>
      <c r="Q1792">
        <v>0</v>
      </c>
      <c r="R1792">
        <v>0</v>
      </c>
    </row>
    <row r="1793" spans="1:18" ht="16" x14ac:dyDescent="0.2">
      <c r="A1793" s="130" t="s">
        <v>3909</v>
      </c>
      <c r="B1793" t="s">
        <v>231</v>
      </c>
      <c r="C1793" t="s">
        <v>4337</v>
      </c>
      <c r="D1793" t="s">
        <v>4338</v>
      </c>
      <c r="E1793">
        <v>3</v>
      </c>
      <c r="F1793">
        <v>3</v>
      </c>
      <c r="G1793">
        <v>1</v>
      </c>
      <c r="H1793">
        <v>3.3149804345786</v>
      </c>
      <c r="I1793" t="s">
        <v>957</v>
      </c>
      <c r="J1793" t="s">
        <v>4407</v>
      </c>
      <c r="K1793">
        <v>6.4285714285714293E-2</v>
      </c>
      <c r="L1793" t="s">
        <v>959</v>
      </c>
      <c r="M1793">
        <v>1.4598540145985399</v>
      </c>
      <c r="N1793" t="s">
        <v>960</v>
      </c>
      <c r="O1793">
        <v>0</v>
      </c>
      <c r="P1793">
        <v>0</v>
      </c>
      <c r="Q1793">
        <v>0</v>
      </c>
      <c r="R1793">
        <v>0</v>
      </c>
    </row>
    <row r="1794" spans="1:18" ht="16" x14ac:dyDescent="0.2">
      <c r="A1794" s="130" t="s">
        <v>3909</v>
      </c>
      <c r="B1794" t="s">
        <v>231</v>
      </c>
      <c r="C1794" t="s">
        <v>2773</v>
      </c>
      <c r="D1794" t="s">
        <v>2774</v>
      </c>
      <c r="E1794" t="s">
        <v>1039</v>
      </c>
      <c r="F1794">
        <v>3</v>
      </c>
      <c r="G1794">
        <v>2</v>
      </c>
      <c r="H1794">
        <v>1.7908549407355701</v>
      </c>
      <c r="I1794" t="s">
        <v>957</v>
      </c>
      <c r="J1794" t="s">
        <v>4508</v>
      </c>
      <c r="K1794">
        <v>0.20714285714285699</v>
      </c>
      <c r="L1794" t="s">
        <v>959</v>
      </c>
      <c r="M1794">
        <v>8.0291970802919703</v>
      </c>
      <c r="N1794" t="s">
        <v>960</v>
      </c>
      <c r="O1794">
        <v>0</v>
      </c>
      <c r="P1794">
        <v>0</v>
      </c>
      <c r="Q1794">
        <v>0</v>
      </c>
      <c r="R1794">
        <v>0</v>
      </c>
    </row>
    <row r="1795" spans="1:18" ht="16" x14ac:dyDescent="0.2">
      <c r="A1795" s="130" t="s">
        <v>3909</v>
      </c>
      <c r="B1795" t="s">
        <v>231</v>
      </c>
      <c r="C1795" t="s">
        <v>4773</v>
      </c>
      <c r="D1795" t="s">
        <v>4774</v>
      </c>
      <c r="E1795" t="s">
        <v>1052</v>
      </c>
      <c r="F1795">
        <v>2</v>
      </c>
      <c r="G1795">
        <v>2</v>
      </c>
      <c r="H1795">
        <v>3.2504118770160702</v>
      </c>
      <c r="I1795" t="s">
        <v>957</v>
      </c>
      <c r="J1795" t="s">
        <v>4827</v>
      </c>
      <c r="K1795">
        <v>0.107142857142857</v>
      </c>
      <c r="L1795" t="s">
        <v>959</v>
      </c>
      <c r="M1795">
        <v>2.1897810218978102</v>
      </c>
      <c r="N1795" t="s">
        <v>960</v>
      </c>
      <c r="O1795">
        <v>0</v>
      </c>
      <c r="P1795">
        <v>0</v>
      </c>
      <c r="Q1795">
        <v>0</v>
      </c>
      <c r="R1795">
        <v>0</v>
      </c>
    </row>
    <row r="1796" spans="1:18" ht="16" x14ac:dyDescent="0.2">
      <c r="A1796" s="130" t="s">
        <v>3909</v>
      </c>
      <c r="B1796" t="s">
        <v>231</v>
      </c>
      <c r="C1796" t="s">
        <v>1402</v>
      </c>
      <c r="D1796" t="s">
        <v>1403</v>
      </c>
      <c r="E1796" t="s">
        <v>3197</v>
      </c>
      <c r="F1796">
        <v>6</v>
      </c>
      <c r="G1796">
        <v>3</v>
      </c>
      <c r="H1796">
        <v>3.6565604961387801</v>
      </c>
      <c r="I1796" t="s">
        <v>957</v>
      </c>
      <c r="J1796" t="s">
        <v>4969</v>
      </c>
      <c r="K1796">
        <v>0.185714285714286</v>
      </c>
      <c r="L1796" t="s">
        <v>959</v>
      </c>
      <c r="M1796">
        <v>9.4890510948905096</v>
      </c>
      <c r="N1796" t="s">
        <v>960</v>
      </c>
      <c r="O1796">
        <v>0</v>
      </c>
      <c r="P1796">
        <v>0</v>
      </c>
      <c r="Q1796">
        <v>0</v>
      </c>
      <c r="R1796">
        <v>0</v>
      </c>
    </row>
    <row r="1797" spans="1:18" ht="16" x14ac:dyDescent="0.2">
      <c r="A1797" s="130" t="s">
        <v>3909</v>
      </c>
      <c r="B1797" t="s">
        <v>231</v>
      </c>
      <c r="C1797" t="s">
        <v>2491</v>
      </c>
      <c r="D1797" t="s">
        <v>2492</v>
      </c>
      <c r="E1797" t="s">
        <v>2093</v>
      </c>
      <c r="F1797">
        <v>6</v>
      </c>
      <c r="G1797">
        <v>3</v>
      </c>
      <c r="H1797">
        <v>3.4379889936805199</v>
      </c>
      <c r="I1797" t="s">
        <v>957</v>
      </c>
      <c r="J1797" t="s">
        <v>4063</v>
      </c>
      <c r="K1797">
        <v>0.121428571428571</v>
      </c>
      <c r="L1797" t="s">
        <v>959</v>
      </c>
      <c r="M1797">
        <v>8.0291970802919703</v>
      </c>
      <c r="N1797" t="s">
        <v>960</v>
      </c>
      <c r="O1797">
        <v>0</v>
      </c>
      <c r="P1797">
        <v>0</v>
      </c>
      <c r="Q1797">
        <v>0</v>
      </c>
      <c r="R1797">
        <v>0</v>
      </c>
    </row>
    <row r="1798" spans="1:18" ht="16" x14ac:dyDescent="0.2">
      <c r="A1798" s="130" t="s">
        <v>3909</v>
      </c>
      <c r="B1798" t="s">
        <v>231</v>
      </c>
      <c r="C1798" t="s">
        <v>2339</v>
      </c>
      <c r="D1798" t="s">
        <v>2340</v>
      </c>
      <c r="E1798" t="s">
        <v>1102</v>
      </c>
      <c r="F1798">
        <v>4</v>
      </c>
      <c r="G1798">
        <v>2</v>
      </c>
      <c r="H1798">
        <v>3.71668145659077</v>
      </c>
      <c r="I1798" t="s">
        <v>957</v>
      </c>
      <c r="J1798" t="s">
        <v>4542</v>
      </c>
      <c r="K1798">
        <v>0.1</v>
      </c>
      <c r="L1798" t="s">
        <v>959</v>
      </c>
      <c r="M1798">
        <v>5.10948905109489</v>
      </c>
      <c r="N1798" t="s">
        <v>960</v>
      </c>
      <c r="O1798">
        <v>0</v>
      </c>
      <c r="P1798">
        <v>0</v>
      </c>
      <c r="Q1798">
        <v>0</v>
      </c>
      <c r="R1798">
        <v>0</v>
      </c>
    </row>
    <row r="1799" spans="1:18" ht="16" x14ac:dyDescent="0.2">
      <c r="A1799" s="130" t="s">
        <v>3909</v>
      </c>
      <c r="B1799" t="s">
        <v>231</v>
      </c>
      <c r="C1799" t="s">
        <v>3600</v>
      </c>
      <c r="D1799" t="s">
        <v>3601</v>
      </c>
      <c r="E1799">
        <v>3</v>
      </c>
      <c r="F1799">
        <v>3</v>
      </c>
      <c r="G1799">
        <v>1</v>
      </c>
      <c r="H1799">
        <v>2.8493081091786001</v>
      </c>
      <c r="I1799" t="s">
        <v>957</v>
      </c>
      <c r="J1799" t="s">
        <v>4780</v>
      </c>
      <c r="K1799">
        <v>0.114285714285714</v>
      </c>
      <c r="L1799" t="s">
        <v>959</v>
      </c>
      <c r="M1799">
        <v>4.3795620437956204</v>
      </c>
      <c r="N1799" t="s">
        <v>960</v>
      </c>
      <c r="O1799">
        <v>0</v>
      </c>
      <c r="P1799">
        <v>0</v>
      </c>
      <c r="Q1799">
        <v>0</v>
      </c>
      <c r="R1799">
        <v>0</v>
      </c>
    </row>
    <row r="1800" spans="1:18" ht="16" x14ac:dyDescent="0.2">
      <c r="A1800" s="130" t="s">
        <v>3909</v>
      </c>
      <c r="B1800" t="s">
        <v>231</v>
      </c>
      <c r="C1800" t="s">
        <v>1332</v>
      </c>
      <c r="D1800" t="s">
        <v>1333</v>
      </c>
      <c r="E1800">
        <v>3</v>
      </c>
      <c r="F1800">
        <v>3</v>
      </c>
      <c r="G1800">
        <v>1</v>
      </c>
      <c r="H1800">
        <v>1.28980549324195</v>
      </c>
      <c r="I1800" t="s">
        <v>957</v>
      </c>
      <c r="J1800" t="s">
        <v>4335</v>
      </c>
      <c r="K1800">
        <v>0.114285714285714</v>
      </c>
      <c r="L1800" t="s">
        <v>959</v>
      </c>
      <c r="M1800">
        <v>9.4890510948905096</v>
      </c>
      <c r="N1800" t="s">
        <v>960</v>
      </c>
      <c r="O1800">
        <v>0</v>
      </c>
      <c r="P1800">
        <v>0</v>
      </c>
      <c r="Q1800">
        <v>0</v>
      </c>
      <c r="R1800">
        <v>0</v>
      </c>
    </row>
    <row r="1801" spans="1:18" ht="16" x14ac:dyDescent="0.2">
      <c r="A1801" s="130" t="s">
        <v>3909</v>
      </c>
      <c r="B1801" t="s">
        <v>231</v>
      </c>
      <c r="C1801" t="s">
        <v>3914</v>
      </c>
      <c r="D1801" t="s">
        <v>3915</v>
      </c>
      <c r="E1801">
        <v>5</v>
      </c>
      <c r="F1801">
        <v>5</v>
      </c>
      <c r="G1801">
        <v>1</v>
      </c>
      <c r="H1801">
        <v>3.8261331538930898</v>
      </c>
      <c r="I1801" t="s">
        <v>957</v>
      </c>
      <c r="J1801" t="s">
        <v>4175</v>
      </c>
      <c r="K1801">
        <v>0.121428571428571</v>
      </c>
      <c r="L1801" t="s">
        <v>959</v>
      </c>
      <c r="M1801">
        <v>5.8394160583941597</v>
      </c>
      <c r="N1801" t="s">
        <v>960</v>
      </c>
      <c r="O1801">
        <v>0</v>
      </c>
      <c r="P1801">
        <v>0</v>
      </c>
      <c r="Q1801">
        <v>0</v>
      </c>
      <c r="R1801">
        <v>0</v>
      </c>
    </row>
    <row r="1802" spans="1:18" ht="16" x14ac:dyDescent="0.2">
      <c r="A1802" s="130" t="s">
        <v>3909</v>
      </c>
      <c r="B1802" t="s">
        <v>231</v>
      </c>
      <c r="C1802" t="s">
        <v>2419</v>
      </c>
      <c r="D1802" t="s">
        <v>2420</v>
      </c>
      <c r="E1802">
        <v>3</v>
      </c>
      <c r="F1802">
        <v>3</v>
      </c>
      <c r="G1802">
        <v>1</v>
      </c>
      <c r="H1802">
        <v>2.4854824899957202</v>
      </c>
      <c r="I1802" t="s">
        <v>957</v>
      </c>
      <c r="J1802" t="s">
        <v>3991</v>
      </c>
      <c r="K1802">
        <v>0.17857142857142899</v>
      </c>
      <c r="L1802" t="s">
        <v>959</v>
      </c>
      <c r="M1802">
        <v>9.4890510948905096</v>
      </c>
      <c r="N1802" t="s">
        <v>960</v>
      </c>
      <c r="O1802">
        <v>0</v>
      </c>
      <c r="P1802">
        <v>0</v>
      </c>
      <c r="Q1802">
        <v>0</v>
      </c>
      <c r="R1802">
        <v>0</v>
      </c>
    </row>
    <row r="1803" spans="1:18" ht="16" x14ac:dyDescent="0.2">
      <c r="A1803" s="130" t="s">
        <v>3909</v>
      </c>
      <c r="B1803" t="s">
        <v>231</v>
      </c>
      <c r="C1803" t="s">
        <v>1802</v>
      </c>
      <c r="D1803" t="s">
        <v>1803</v>
      </c>
      <c r="E1803" t="s">
        <v>1442</v>
      </c>
      <c r="F1803">
        <v>5</v>
      </c>
      <c r="G1803">
        <v>2</v>
      </c>
      <c r="H1803">
        <v>2.9353307595093501</v>
      </c>
      <c r="I1803" t="s">
        <v>957</v>
      </c>
      <c r="J1803" t="s">
        <v>3965</v>
      </c>
      <c r="K1803">
        <v>0.1</v>
      </c>
      <c r="L1803" t="s">
        <v>959</v>
      </c>
      <c r="M1803">
        <v>6.5693430656934302</v>
      </c>
      <c r="N1803" t="s">
        <v>960</v>
      </c>
      <c r="O1803">
        <v>0</v>
      </c>
      <c r="P1803">
        <v>0</v>
      </c>
      <c r="Q1803">
        <v>0</v>
      </c>
      <c r="R1803">
        <v>0</v>
      </c>
    </row>
    <row r="1804" spans="1:18" ht="16" x14ac:dyDescent="0.2">
      <c r="A1804" s="130" t="s">
        <v>3909</v>
      </c>
      <c r="B1804" t="s">
        <v>231</v>
      </c>
      <c r="C1804" t="s">
        <v>1869</v>
      </c>
      <c r="D1804" t="s">
        <v>1870</v>
      </c>
      <c r="E1804" t="s">
        <v>1022</v>
      </c>
      <c r="F1804">
        <v>3</v>
      </c>
      <c r="G1804">
        <v>2</v>
      </c>
      <c r="H1804">
        <v>2.29289179379691</v>
      </c>
      <c r="I1804" t="s">
        <v>957</v>
      </c>
      <c r="J1804" t="s">
        <v>4254</v>
      </c>
      <c r="K1804">
        <v>0.13571428571428601</v>
      </c>
      <c r="L1804" t="s">
        <v>959</v>
      </c>
      <c r="M1804">
        <v>6.5693430656934302</v>
      </c>
      <c r="N1804" t="s">
        <v>960</v>
      </c>
      <c r="O1804">
        <v>0</v>
      </c>
      <c r="P1804">
        <v>0</v>
      </c>
      <c r="Q1804">
        <v>0</v>
      </c>
      <c r="R1804">
        <v>0</v>
      </c>
    </row>
    <row r="1805" spans="1:18" ht="16" x14ac:dyDescent="0.2">
      <c r="A1805" s="130" t="s">
        <v>3909</v>
      </c>
      <c r="B1805" t="s">
        <v>231</v>
      </c>
      <c r="C1805" t="s">
        <v>2536</v>
      </c>
      <c r="D1805" t="s">
        <v>2537</v>
      </c>
      <c r="E1805">
        <v>4</v>
      </c>
      <c r="F1805">
        <v>4</v>
      </c>
      <c r="G1805">
        <v>1</v>
      </c>
      <c r="H1805">
        <v>3.7207823768586401</v>
      </c>
      <c r="I1805" t="s">
        <v>957</v>
      </c>
      <c r="J1805" t="s">
        <v>2538</v>
      </c>
      <c r="K1805">
        <v>0.1</v>
      </c>
      <c r="L1805" t="s">
        <v>959</v>
      </c>
      <c r="M1805">
        <v>7.2992700729926998</v>
      </c>
      <c r="N1805" t="s">
        <v>960</v>
      </c>
      <c r="O1805">
        <v>0</v>
      </c>
      <c r="P1805">
        <v>0</v>
      </c>
      <c r="Q1805">
        <v>0</v>
      </c>
      <c r="R1805">
        <v>0</v>
      </c>
    </row>
    <row r="1806" spans="1:18" ht="16" x14ac:dyDescent="0.2">
      <c r="A1806" s="130" t="s">
        <v>3909</v>
      </c>
      <c r="B1806" t="s">
        <v>231</v>
      </c>
      <c r="C1806" t="s">
        <v>1430</v>
      </c>
      <c r="D1806" t="s">
        <v>1765</v>
      </c>
      <c r="E1806">
        <v>3</v>
      </c>
      <c r="F1806">
        <v>3</v>
      </c>
      <c r="G1806">
        <v>1</v>
      </c>
      <c r="H1806">
        <v>2.2736690218135398</v>
      </c>
      <c r="I1806" t="s">
        <v>957</v>
      </c>
      <c r="J1806" t="s">
        <v>4671</v>
      </c>
      <c r="K1806">
        <v>0.15</v>
      </c>
      <c r="L1806" t="s">
        <v>959</v>
      </c>
      <c r="M1806">
        <v>6.5693430656934302</v>
      </c>
      <c r="N1806" t="s">
        <v>960</v>
      </c>
      <c r="O1806">
        <v>0</v>
      </c>
      <c r="P1806">
        <v>0</v>
      </c>
      <c r="Q1806">
        <v>0</v>
      </c>
      <c r="R1806">
        <v>0</v>
      </c>
    </row>
    <row r="1807" spans="1:18" ht="16" x14ac:dyDescent="0.2">
      <c r="A1807" s="130" t="s">
        <v>3909</v>
      </c>
      <c r="B1807" t="s">
        <v>231</v>
      </c>
      <c r="C1807" t="s">
        <v>2821</v>
      </c>
      <c r="D1807" t="s">
        <v>2822</v>
      </c>
      <c r="E1807" t="s">
        <v>1022</v>
      </c>
      <c r="F1807">
        <v>3</v>
      </c>
      <c r="G1807">
        <v>2</v>
      </c>
      <c r="H1807">
        <v>2.1667485774801101</v>
      </c>
      <c r="I1807" t="s">
        <v>957</v>
      </c>
      <c r="J1807" t="s">
        <v>4092</v>
      </c>
      <c r="K1807">
        <v>0.157142857142857</v>
      </c>
      <c r="L1807" t="s">
        <v>959</v>
      </c>
      <c r="M1807">
        <v>6.5693430656934302</v>
      </c>
      <c r="N1807" t="s">
        <v>960</v>
      </c>
      <c r="O1807">
        <v>0</v>
      </c>
      <c r="P1807">
        <v>0</v>
      </c>
      <c r="Q1807">
        <v>0</v>
      </c>
      <c r="R1807">
        <v>0</v>
      </c>
    </row>
    <row r="1808" spans="1:18" ht="16" x14ac:dyDescent="0.2">
      <c r="A1808" s="130" t="s">
        <v>3909</v>
      </c>
      <c r="B1808" t="s">
        <v>231</v>
      </c>
      <c r="C1808" t="s">
        <v>3925</v>
      </c>
      <c r="D1808" t="s">
        <v>3926</v>
      </c>
      <c r="E1808">
        <v>3</v>
      </c>
      <c r="F1808">
        <v>3</v>
      </c>
      <c r="G1808">
        <v>1</v>
      </c>
      <c r="H1808">
        <v>3.8596871801992698</v>
      </c>
      <c r="I1808" t="s">
        <v>957</v>
      </c>
      <c r="J1808" t="s">
        <v>4901</v>
      </c>
      <c r="K1808">
        <v>0.157142857142857</v>
      </c>
      <c r="L1808" t="s">
        <v>959</v>
      </c>
      <c r="M1808">
        <v>8.0291970802919703</v>
      </c>
      <c r="N1808" t="s">
        <v>960</v>
      </c>
      <c r="O1808">
        <v>0</v>
      </c>
      <c r="P1808">
        <v>0</v>
      </c>
      <c r="Q1808">
        <v>0</v>
      </c>
      <c r="R1808">
        <v>0</v>
      </c>
    </row>
    <row r="1809" spans="1:18" ht="16" x14ac:dyDescent="0.2">
      <c r="A1809" s="130" t="s">
        <v>3909</v>
      </c>
      <c r="B1809" t="s">
        <v>231</v>
      </c>
      <c r="C1809" t="s">
        <v>1247</v>
      </c>
      <c r="D1809" t="s">
        <v>1248</v>
      </c>
      <c r="E1809">
        <v>5</v>
      </c>
      <c r="F1809">
        <v>5</v>
      </c>
      <c r="G1809">
        <v>1</v>
      </c>
      <c r="H1809">
        <v>2.5787530047099301</v>
      </c>
      <c r="I1809" t="s">
        <v>957</v>
      </c>
      <c r="J1809" t="s">
        <v>4663</v>
      </c>
      <c r="K1809">
        <v>8.5714285714285701E-2</v>
      </c>
      <c r="L1809" t="s">
        <v>959</v>
      </c>
      <c r="M1809">
        <v>6.5693430656934302</v>
      </c>
      <c r="N1809" t="s">
        <v>960</v>
      </c>
      <c r="O1809">
        <v>0</v>
      </c>
      <c r="P1809">
        <v>0</v>
      </c>
      <c r="Q1809">
        <v>0</v>
      </c>
      <c r="R1809">
        <v>0</v>
      </c>
    </row>
    <row r="1810" spans="1:18" ht="16" x14ac:dyDescent="0.2">
      <c r="A1810" s="130" t="s">
        <v>3909</v>
      </c>
      <c r="B1810" t="s">
        <v>231</v>
      </c>
      <c r="C1810" t="s">
        <v>3625</v>
      </c>
      <c r="D1810" t="s">
        <v>3626</v>
      </c>
      <c r="E1810">
        <v>3</v>
      </c>
      <c r="F1810">
        <v>3</v>
      </c>
      <c r="G1810">
        <v>1</v>
      </c>
      <c r="H1810">
        <v>1.6882010297144801</v>
      </c>
      <c r="I1810" t="s">
        <v>957</v>
      </c>
      <c r="J1810" t="s">
        <v>4220</v>
      </c>
      <c r="K1810">
        <v>2.8571428571428598E-2</v>
      </c>
      <c r="L1810" t="s">
        <v>959</v>
      </c>
      <c r="M1810">
        <v>2.1897810218978102</v>
      </c>
      <c r="N1810" t="s">
        <v>960</v>
      </c>
      <c r="O1810">
        <v>0</v>
      </c>
      <c r="P1810">
        <v>0</v>
      </c>
      <c r="Q1810">
        <v>0</v>
      </c>
      <c r="R1810">
        <v>0</v>
      </c>
    </row>
    <row r="1811" spans="1:18" ht="16" x14ac:dyDescent="0.2">
      <c r="A1811" s="130" t="s">
        <v>3909</v>
      </c>
      <c r="B1811" t="s">
        <v>231</v>
      </c>
      <c r="C1811" t="s">
        <v>1941</v>
      </c>
      <c r="D1811" t="s">
        <v>1942</v>
      </c>
      <c r="E1811">
        <v>3</v>
      </c>
      <c r="F1811">
        <v>3</v>
      </c>
      <c r="G1811">
        <v>1</v>
      </c>
      <c r="H1811">
        <v>2.2507809515464801</v>
      </c>
      <c r="I1811" t="s">
        <v>957</v>
      </c>
      <c r="J1811" t="s">
        <v>1943</v>
      </c>
      <c r="K1811">
        <v>0.121428571428571</v>
      </c>
      <c r="L1811" t="s">
        <v>959</v>
      </c>
      <c r="M1811">
        <v>8.0291970802919703</v>
      </c>
      <c r="N1811" t="s">
        <v>960</v>
      </c>
      <c r="O1811">
        <v>0</v>
      </c>
      <c r="P1811">
        <v>0</v>
      </c>
      <c r="Q1811">
        <v>0</v>
      </c>
      <c r="R1811">
        <v>0</v>
      </c>
    </row>
    <row r="1812" spans="1:18" ht="16" x14ac:dyDescent="0.2">
      <c r="A1812" s="130" t="s">
        <v>3909</v>
      </c>
      <c r="B1812" t="s">
        <v>235</v>
      </c>
      <c r="C1812" t="s">
        <v>3645</v>
      </c>
      <c r="D1812" t="s">
        <v>3646</v>
      </c>
      <c r="E1812">
        <v>3</v>
      </c>
      <c r="F1812">
        <v>3</v>
      </c>
      <c r="G1812">
        <v>1</v>
      </c>
      <c r="H1812">
        <v>2.1551974631325002</v>
      </c>
      <c r="I1812" t="s">
        <v>957</v>
      </c>
      <c r="J1812" t="s">
        <v>4735</v>
      </c>
      <c r="K1812">
        <v>0.14285714285714299</v>
      </c>
      <c r="L1812" t="s">
        <v>959</v>
      </c>
      <c r="M1812">
        <v>5.8394160583941597</v>
      </c>
      <c r="N1812" t="s">
        <v>960</v>
      </c>
      <c r="O1812">
        <v>0</v>
      </c>
      <c r="P1812">
        <v>0</v>
      </c>
      <c r="Q1812">
        <v>0</v>
      </c>
      <c r="R1812">
        <v>0</v>
      </c>
    </row>
    <row r="1813" spans="1:18" ht="16" x14ac:dyDescent="0.2">
      <c r="A1813" s="130" t="s">
        <v>3909</v>
      </c>
      <c r="B1813" t="s">
        <v>235</v>
      </c>
      <c r="C1813" t="s">
        <v>310</v>
      </c>
      <c r="D1813" t="s">
        <v>1113</v>
      </c>
      <c r="E1813">
        <v>3</v>
      </c>
      <c r="F1813">
        <v>3</v>
      </c>
      <c r="G1813">
        <v>1</v>
      </c>
      <c r="H1813">
        <v>3.40916967982694</v>
      </c>
      <c r="I1813" t="s">
        <v>957</v>
      </c>
      <c r="J1813" t="s">
        <v>4077</v>
      </c>
      <c r="K1813">
        <v>6.4285714285714293E-2</v>
      </c>
      <c r="L1813" t="s">
        <v>959</v>
      </c>
      <c r="M1813">
        <v>3.6496350364963499</v>
      </c>
      <c r="N1813" t="s">
        <v>960</v>
      </c>
      <c r="O1813">
        <v>0</v>
      </c>
      <c r="P1813">
        <v>0</v>
      </c>
      <c r="Q1813">
        <v>0</v>
      </c>
      <c r="R1813">
        <v>0</v>
      </c>
    </row>
    <row r="1814" spans="1:18" ht="16" x14ac:dyDescent="0.2">
      <c r="A1814" s="130" t="s">
        <v>3909</v>
      </c>
      <c r="B1814" t="s">
        <v>235</v>
      </c>
      <c r="C1814" t="s">
        <v>2491</v>
      </c>
      <c r="D1814" t="s">
        <v>2492</v>
      </c>
      <c r="E1814">
        <v>3</v>
      </c>
      <c r="F1814">
        <v>3</v>
      </c>
      <c r="G1814">
        <v>1</v>
      </c>
      <c r="H1814">
        <v>1.55783876276148</v>
      </c>
      <c r="I1814" t="s">
        <v>957</v>
      </c>
      <c r="J1814" t="s">
        <v>4288</v>
      </c>
      <c r="K1814">
        <v>0.121428571428571</v>
      </c>
      <c r="L1814" t="s">
        <v>959</v>
      </c>
      <c r="M1814">
        <v>8.0291970802919703</v>
      </c>
      <c r="N1814" t="s">
        <v>960</v>
      </c>
      <c r="O1814">
        <v>0</v>
      </c>
      <c r="P1814">
        <v>0</v>
      </c>
      <c r="Q1814">
        <v>0</v>
      </c>
      <c r="R1814">
        <v>0</v>
      </c>
    </row>
    <row r="1815" spans="1:18" ht="16" x14ac:dyDescent="0.2">
      <c r="A1815" s="130" t="s">
        <v>3909</v>
      </c>
      <c r="B1815" t="s">
        <v>235</v>
      </c>
      <c r="C1815" t="s">
        <v>1184</v>
      </c>
      <c r="D1815" t="s">
        <v>1185</v>
      </c>
      <c r="E1815" t="s">
        <v>1052</v>
      </c>
      <c r="F1815">
        <v>2</v>
      </c>
      <c r="G1815">
        <v>2</v>
      </c>
      <c r="H1815">
        <v>3.8472117832752302</v>
      </c>
      <c r="I1815" t="s">
        <v>957</v>
      </c>
      <c r="J1815" t="s">
        <v>4932</v>
      </c>
      <c r="K1815">
        <v>0.114285714285714</v>
      </c>
      <c r="L1815" t="s">
        <v>959</v>
      </c>
      <c r="M1815">
        <v>1.4598540145985399</v>
      </c>
      <c r="N1815" t="s">
        <v>960</v>
      </c>
      <c r="O1815">
        <v>0</v>
      </c>
      <c r="P1815">
        <v>0</v>
      </c>
      <c r="Q1815">
        <v>0</v>
      </c>
      <c r="R1815">
        <v>0</v>
      </c>
    </row>
    <row r="1816" spans="1:18" ht="16" x14ac:dyDescent="0.2">
      <c r="A1816" s="130" t="s">
        <v>3909</v>
      </c>
      <c r="B1816" t="s">
        <v>235</v>
      </c>
      <c r="C1816" t="s">
        <v>2249</v>
      </c>
      <c r="D1816" t="s">
        <v>2250</v>
      </c>
      <c r="E1816" t="s">
        <v>1052</v>
      </c>
      <c r="F1816">
        <v>2</v>
      </c>
      <c r="G1816">
        <v>2</v>
      </c>
      <c r="H1816">
        <v>2.94180338569101</v>
      </c>
      <c r="I1816" t="s">
        <v>957</v>
      </c>
      <c r="J1816" t="s">
        <v>4929</v>
      </c>
      <c r="K1816">
        <v>0.17857142857142899</v>
      </c>
      <c r="L1816" t="s">
        <v>959</v>
      </c>
      <c r="M1816">
        <v>6.5693430656934302</v>
      </c>
      <c r="N1816" t="s">
        <v>960</v>
      </c>
      <c r="O1816">
        <v>0</v>
      </c>
      <c r="P1816">
        <v>0</v>
      </c>
      <c r="Q1816">
        <v>0</v>
      </c>
      <c r="R1816">
        <v>0</v>
      </c>
    </row>
    <row r="1817" spans="1:18" ht="16" x14ac:dyDescent="0.2">
      <c r="A1817" s="130" t="s">
        <v>3909</v>
      </c>
      <c r="B1817" t="s">
        <v>239</v>
      </c>
      <c r="C1817" t="s">
        <v>3192</v>
      </c>
      <c r="D1817" t="s">
        <v>3193</v>
      </c>
      <c r="E1817" t="s">
        <v>1039</v>
      </c>
      <c r="F1817">
        <v>3</v>
      </c>
      <c r="G1817">
        <v>2</v>
      </c>
      <c r="H1817">
        <v>3.4899203515319401</v>
      </c>
      <c r="I1817" t="s">
        <v>957</v>
      </c>
      <c r="J1817" t="s">
        <v>3234</v>
      </c>
      <c r="K1817">
        <v>0.107142857142857</v>
      </c>
      <c r="L1817" t="s">
        <v>959</v>
      </c>
      <c r="M1817">
        <v>5.10948905109489</v>
      </c>
      <c r="N1817" t="s">
        <v>960</v>
      </c>
      <c r="O1817">
        <v>0</v>
      </c>
      <c r="P1817" t="s">
        <v>5018</v>
      </c>
      <c r="Q1817">
        <v>0</v>
      </c>
      <c r="R1817" t="s">
        <v>5019</v>
      </c>
    </row>
    <row r="1818" spans="1:18" ht="16" x14ac:dyDescent="0.2">
      <c r="A1818" s="130" t="s">
        <v>3909</v>
      </c>
      <c r="B1818" t="s">
        <v>239</v>
      </c>
      <c r="C1818" t="s">
        <v>2749</v>
      </c>
      <c r="D1818" t="s">
        <v>2750</v>
      </c>
      <c r="E1818">
        <v>3</v>
      </c>
      <c r="F1818">
        <v>3</v>
      </c>
      <c r="G1818">
        <v>1</v>
      </c>
      <c r="H1818">
        <v>2.3864098029198701</v>
      </c>
      <c r="I1818" t="s">
        <v>957</v>
      </c>
      <c r="J1818" t="s">
        <v>4393</v>
      </c>
      <c r="K1818">
        <v>0.128571428571429</v>
      </c>
      <c r="L1818" t="s">
        <v>959</v>
      </c>
      <c r="M1818">
        <v>6.5693430656934302</v>
      </c>
      <c r="N1818" t="s">
        <v>960</v>
      </c>
      <c r="O1818">
        <v>0</v>
      </c>
      <c r="P1818">
        <v>0</v>
      </c>
      <c r="Q1818">
        <v>0</v>
      </c>
      <c r="R1818">
        <v>0</v>
      </c>
    </row>
    <row r="1819" spans="1:18" ht="16" x14ac:dyDescent="0.2">
      <c r="A1819" s="130" t="s">
        <v>3909</v>
      </c>
      <c r="B1819" t="s">
        <v>243</v>
      </c>
      <c r="C1819" t="s">
        <v>1436</v>
      </c>
      <c r="D1819" t="s">
        <v>1437</v>
      </c>
      <c r="E1819" t="s">
        <v>1022</v>
      </c>
      <c r="F1819">
        <v>3</v>
      </c>
      <c r="G1819">
        <v>2</v>
      </c>
      <c r="H1819">
        <v>4.1085797450834596</v>
      </c>
      <c r="I1819" t="s">
        <v>957</v>
      </c>
      <c r="J1819" t="s">
        <v>4515</v>
      </c>
      <c r="K1819">
        <v>0.17142857142857101</v>
      </c>
      <c r="L1819" t="s">
        <v>959</v>
      </c>
      <c r="M1819">
        <v>4.3795620437956204</v>
      </c>
      <c r="N1819" t="s">
        <v>960</v>
      </c>
      <c r="O1819">
        <v>0</v>
      </c>
      <c r="P1819">
        <v>0</v>
      </c>
      <c r="Q1819">
        <v>0</v>
      </c>
      <c r="R1819">
        <v>0</v>
      </c>
    </row>
    <row r="1820" spans="1:18" ht="16" x14ac:dyDescent="0.2">
      <c r="A1820" s="130" t="s">
        <v>3909</v>
      </c>
      <c r="B1820" t="s">
        <v>243</v>
      </c>
      <c r="C1820" t="s">
        <v>2546</v>
      </c>
      <c r="D1820" t="s">
        <v>2547</v>
      </c>
      <c r="E1820">
        <v>3</v>
      </c>
      <c r="F1820">
        <v>3</v>
      </c>
      <c r="G1820">
        <v>1</v>
      </c>
      <c r="H1820">
        <v>3.43170671824954</v>
      </c>
      <c r="I1820" t="s">
        <v>957</v>
      </c>
      <c r="J1820" t="s">
        <v>4101</v>
      </c>
      <c r="K1820">
        <v>0.107142857142857</v>
      </c>
      <c r="L1820" t="s">
        <v>959</v>
      </c>
      <c r="M1820">
        <v>4.3795620437956204</v>
      </c>
      <c r="N1820" t="s">
        <v>960</v>
      </c>
      <c r="O1820">
        <v>0</v>
      </c>
      <c r="P1820">
        <v>0</v>
      </c>
      <c r="Q1820">
        <v>0</v>
      </c>
      <c r="R1820">
        <v>0</v>
      </c>
    </row>
    <row r="1821" spans="1:18" ht="16" x14ac:dyDescent="0.2">
      <c r="A1821" s="130" t="s">
        <v>3909</v>
      </c>
      <c r="B1821" t="s">
        <v>243</v>
      </c>
      <c r="C1821" t="s">
        <v>1383</v>
      </c>
      <c r="D1821" t="s">
        <v>1384</v>
      </c>
      <c r="E1821">
        <v>3</v>
      </c>
      <c r="F1821">
        <v>3</v>
      </c>
      <c r="G1821">
        <v>1</v>
      </c>
      <c r="H1821">
        <v>2.2416691354829301</v>
      </c>
      <c r="I1821" t="s">
        <v>957</v>
      </c>
      <c r="J1821" t="s">
        <v>4321</v>
      </c>
      <c r="K1821">
        <v>0.1</v>
      </c>
      <c r="L1821" t="s">
        <v>959</v>
      </c>
      <c r="M1821">
        <v>3.6496350364963499</v>
      </c>
      <c r="N1821" t="s">
        <v>960</v>
      </c>
      <c r="O1821">
        <v>0</v>
      </c>
      <c r="P1821">
        <v>0</v>
      </c>
      <c r="Q1821">
        <v>0</v>
      </c>
      <c r="R1821">
        <v>0</v>
      </c>
    </row>
    <row r="1822" spans="1:18" ht="16" x14ac:dyDescent="0.2">
      <c r="A1822" s="130" t="s">
        <v>3909</v>
      </c>
      <c r="B1822" t="s">
        <v>243</v>
      </c>
      <c r="C1822" t="s">
        <v>3600</v>
      </c>
      <c r="D1822" t="s">
        <v>3601</v>
      </c>
      <c r="E1822">
        <v>4</v>
      </c>
      <c r="F1822">
        <v>4</v>
      </c>
      <c r="G1822">
        <v>1</v>
      </c>
      <c r="H1822">
        <v>3.9130498032719401</v>
      </c>
      <c r="I1822" t="s">
        <v>957</v>
      </c>
      <c r="J1822" t="s">
        <v>4852</v>
      </c>
      <c r="K1822">
        <v>0.114285714285714</v>
      </c>
      <c r="L1822" t="s">
        <v>959</v>
      </c>
      <c r="M1822">
        <v>4.3795620437956204</v>
      </c>
      <c r="N1822" t="s">
        <v>960</v>
      </c>
      <c r="O1822">
        <v>0</v>
      </c>
      <c r="P1822">
        <v>0</v>
      </c>
      <c r="Q1822">
        <v>0</v>
      </c>
      <c r="R1822">
        <v>0</v>
      </c>
    </row>
    <row r="1823" spans="1:18" ht="16" x14ac:dyDescent="0.2">
      <c r="A1823" s="130" t="s">
        <v>3909</v>
      </c>
      <c r="B1823" t="s">
        <v>243</v>
      </c>
      <c r="C1823" t="s">
        <v>1822</v>
      </c>
      <c r="D1823" t="s">
        <v>1823</v>
      </c>
      <c r="E1823">
        <v>4</v>
      </c>
      <c r="F1823">
        <v>4</v>
      </c>
      <c r="G1823">
        <v>1</v>
      </c>
      <c r="H1823">
        <v>3.8927458691654202</v>
      </c>
      <c r="I1823" t="s">
        <v>957</v>
      </c>
      <c r="J1823" t="s">
        <v>4048</v>
      </c>
      <c r="K1823">
        <v>0.107142857142857</v>
      </c>
      <c r="L1823" t="s">
        <v>959</v>
      </c>
      <c r="M1823">
        <v>8.0291970802919703</v>
      </c>
      <c r="N1823" t="s">
        <v>960</v>
      </c>
      <c r="O1823">
        <v>0</v>
      </c>
      <c r="P1823">
        <v>0</v>
      </c>
      <c r="Q1823">
        <v>0</v>
      </c>
      <c r="R1823">
        <v>0</v>
      </c>
    </row>
    <row r="1824" spans="1:18" ht="16" x14ac:dyDescent="0.2">
      <c r="A1824" s="130" t="s">
        <v>3909</v>
      </c>
      <c r="B1824" t="s">
        <v>243</v>
      </c>
      <c r="C1824" t="s">
        <v>2877</v>
      </c>
      <c r="D1824" t="s">
        <v>2878</v>
      </c>
      <c r="E1824">
        <v>4</v>
      </c>
      <c r="F1824">
        <v>4</v>
      </c>
      <c r="G1824">
        <v>1</v>
      </c>
      <c r="H1824">
        <v>2.3841852920141702</v>
      </c>
      <c r="I1824" t="s">
        <v>957</v>
      </c>
      <c r="J1824" t="s">
        <v>4162</v>
      </c>
      <c r="K1824">
        <v>0.128571428571429</v>
      </c>
      <c r="L1824" t="s">
        <v>959</v>
      </c>
      <c r="M1824">
        <v>9.4890510948905096</v>
      </c>
      <c r="N1824" t="s">
        <v>960</v>
      </c>
      <c r="O1824">
        <v>0</v>
      </c>
      <c r="P1824" t="s">
        <v>5018</v>
      </c>
      <c r="Q1824">
        <v>0</v>
      </c>
      <c r="R1824">
        <v>0</v>
      </c>
    </row>
    <row r="1825" spans="1:18" ht="16" x14ac:dyDescent="0.2">
      <c r="A1825" s="130" t="s">
        <v>3909</v>
      </c>
      <c r="B1825" t="s">
        <v>183</v>
      </c>
      <c r="C1825" t="s">
        <v>4463</v>
      </c>
      <c r="D1825" t="s">
        <v>4464</v>
      </c>
      <c r="E1825" t="s">
        <v>1706</v>
      </c>
      <c r="F1825">
        <v>14</v>
      </c>
      <c r="G1825">
        <v>2</v>
      </c>
      <c r="H1825">
        <v>1.2343070962698499</v>
      </c>
      <c r="I1825" t="s">
        <v>957</v>
      </c>
      <c r="J1825" t="s">
        <v>4465</v>
      </c>
      <c r="K1825">
        <v>1.4285714285714299E-2</v>
      </c>
      <c r="L1825" t="s">
        <v>959</v>
      </c>
      <c r="M1825">
        <v>0.72992700729926996</v>
      </c>
      <c r="N1825" t="s">
        <v>960</v>
      </c>
      <c r="O1825" t="s">
        <v>5017</v>
      </c>
      <c r="P1825">
        <v>0</v>
      </c>
      <c r="Q1825">
        <v>0</v>
      </c>
      <c r="R1825">
        <v>0</v>
      </c>
    </row>
    <row r="1826" spans="1:18" ht="16" x14ac:dyDescent="0.2">
      <c r="A1826" s="130" t="s">
        <v>3909</v>
      </c>
      <c r="B1826" t="s">
        <v>183</v>
      </c>
      <c r="C1826" t="s">
        <v>1564</v>
      </c>
      <c r="D1826" t="s">
        <v>1565</v>
      </c>
      <c r="E1826" t="s">
        <v>1022</v>
      </c>
      <c r="F1826">
        <v>3</v>
      </c>
      <c r="G1826">
        <v>2</v>
      </c>
      <c r="H1826">
        <v>3.5901176668471102</v>
      </c>
      <c r="I1826" t="s">
        <v>957</v>
      </c>
      <c r="J1826" t="s">
        <v>4421</v>
      </c>
      <c r="K1826">
        <v>8.5714285714285701E-2</v>
      </c>
      <c r="L1826" t="s">
        <v>959</v>
      </c>
      <c r="M1826">
        <v>2.9197080291970798</v>
      </c>
      <c r="N1826" t="s">
        <v>960</v>
      </c>
      <c r="O1826" t="s">
        <v>5017</v>
      </c>
      <c r="P1826">
        <v>0</v>
      </c>
      <c r="Q1826">
        <v>0</v>
      </c>
      <c r="R1826">
        <v>0</v>
      </c>
    </row>
    <row r="1827" spans="1:18" ht="16" x14ac:dyDescent="0.2">
      <c r="A1827" s="130" t="s">
        <v>3909</v>
      </c>
      <c r="B1827" t="s">
        <v>247</v>
      </c>
      <c r="C1827" t="s">
        <v>3645</v>
      </c>
      <c r="D1827" t="s">
        <v>3646</v>
      </c>
      <c r="E1827">
        <v>4</v>
      </c>
      <c r="F1827">
        <v>4</v>
      </c>
      <c r="G1827">
        <v>1</v>
      </c>
      <c r="H1827">
        <v>2.9818485448819501</v>
      </c>
      <c r="I1827" t="s">
        <v>957</v>
      </c>
      <c r="J1827" t="s">
        <v>4163</v>
      </c>
      <c r="K1827">
        <v>0.14285714285714299</v>
      </c>
      <c r="L1827" t="s">
        <v>959</v>
      </c>
      <c r="M1827">
        <v>5.8394160583941597</v>
      </c>
      <c r="N1827" t="s">
        <v>960</v>
      </c>
      <c r="O1827">
        <v>0</v>
      </c>
      <c r="P1827">
        <v>0</v>
      </c>
      <c r="Q1827">
        <v>0</v>
      </c>
      <c r="R1827">
        <v>0</v>
      </c>
    </row>
    <row r="1828" spans="1:18" ht="16" x14ac:dyDescent="0.2">
      <c r="A1828" s="130" t="s">
        <v>3909</v>
      </c>
      <c r="B1828" t="s">
        <v>247</v>
      </c>
      <c r="C1828" t="s">
        <v>2310</v>
      </c>
      <c r="D1828" t="s">
        <v>2311</v>
      </c>
      <c r="E1828">
        <v>3</v>
      </c>
      <c r="F1828">
        <v>3</v>
      </c>
      <c r="G1828">
        <v>1</v>
      </c>
      <c r="H1828">
        <v>2.87369615111685</v>
      </c>
      <c r="I1828" t="s">
        <v>957</v>
      </c>
      <c r="J1828" t="s">
        <v>4105</v>
      </c>
      <c r="K1828">
        <v>0.128571428571429</v>
      </c>
      <c r="L1828" t="s">
        <v>959</v>
      </c>
      <c r="M1828">
        <v>8.7591240875912408</v>
      </c>
      <c r="N1828" t="s">
        <v>982</v>
      </c>
      <c r="O1828">
        <v>0</v>
      </c>
      <c r="P1828">
        <v>0</v>
      </c>
      <c r="Q1828">
        <v>0</v>
      </c>
      <c r="R1828">
        <v>0</v>
      </c>
    </row>
    <row r="1829" spans="1:18" ht="16" x14ac:dyDescent="0.2">
      <c r="A1829" s="130" t="s">
        <v>3909</v>
      </c>
      <c r="B1829" t="s">
        <v>247</v>
      </c>
      <c r="C1829" t="s">
        <v>3251</v>
      </c>
      <c r="D1829" t="s">
        <v>3252</v>
      </c>
      <c r="E1829" t="s">
        <v>1438</v>
      </c>
      <c r="F1829">
        <v>8</v>
      </c>
      <c r="G1829">
        <v>2</v>
      </c>
      <c r="H1829">
        <v>3.3477543731354702</v>
      </c>
      <c r="I1829" t="s">
        <v>957</v>
      </c>
      <c r="J1829" t="s">
        <v>4759</v>
      </c>
      <c r="K1829">
        <v>0.33333333333333298</v>
      </c>
      <c r="L1829" t="s">
        <v>1004</v>
      </c>
      <c r="M1829">
        <v>2.9197080291970798</v>
      </c>
      <c r="N1829" t="s">
        <v>1005</v>
      </c>
      <c r="O1829">
        <v>0</v>
      </c>
      <c r="P1829">
        <v>0</v>
      </c>
      <c r="Q1829">
        <v>0</v>
      </c>
      <c r="R1829">
        <v>0</v>
      </c>
    </row>
    <row r="1830" spans="1:18" ht="16" x14ac:dyDescent="0.2">
      <c r="A1830" s="130" t="s">
        <v>3909</v>
      </c>
      <c r="B1830" t="s">
        <v>247</v>
      </c>
      <c r="C1830" t="s">
        <v>1304</v>
      </c>
      <c r="D1830" t="s">
        <v>1305</v>
      </c>
      <c r="E1830">
        <v>3</v>
      </c>
      <c r="F1830">
        <v>3</v>
      </c>
      <c r="G1830">
        <v>1</v>
      </c>
      <c r="H1830">
        <v>3.8769882310992498</v>
      </c>
      <c r="I1830" t="s">
        <v>957</v>
      </c>
      <c r="J1830" t="s">
        <v>4261</v>
      </c>
      <c r="K1830">
        <v>9.2857142857142902E-2</v>
      </c>
      <c r="L1830" t="s">
        <v>959</v>
      </c>
      <c r="M1830">
        <v>3.6496350364963499</v>
      </c>
      <c r="N1830" t="s">
        <v>960</v>
      </c>
      <c r="O1830">
        <v>0</v>
      </c>
      <c r="P1830">
        <v>0</v>
      </c>
      <c r="Q1830">
        <v>0</v>
      </c>
      <c r="R1830">
        <v>0</v>
      </c>
    </row>
    <row r="1831" spans="1:18" ht="16" x14ac:dyDescent="0.2">
      <c r="A1831" s="130" t="s">
        <v>3909</v>
      </c>
      <c r="B1831" t="s">
        <v>247</v>
      </c>
      <c r="C1831" t="s">
        <v>2546</v>
      </c>
      <c r="D1831" t="s">
        <v>2547</v>
      </c>
      <c r="E1831" t="s">
        <v>1052</v>
      </c>
      <c r="F1831">
        <v>2</v>
      </c>
      <c r="G1831">
        <v>2</v>
      </c>
      <c r="H1831">
        <v>2.1870462504906398</v>
      </c>
      <c r="I1831" t="s">
        <v>957</v>
      </c>
      <c r="J1831" t="s">
        <v>4600</v>
      </c>
      <c r="K1831">
        <v>0.107142857142857</v>
      </c>
      <c r="L1831" t="s">
        <v>959</v>
      </c>
      <c r="M1831">
        <v>4.3795620437956204</v>
      </c>
      <c r="N1831" t="s">
        <v>960</v>
      </c>
      <c r="O1831">
        <v>0</v>
      </c>
      <c r="P1831">
        <v>0</v>
      </c>
      <c r="Q1831">
        <v>0</v>
      </c>
      <c r="R1831">
        <v>0</v>
      </c>
    </row>
    <row r="1832" spans="1:18" ht="16" x14ac:dyDescent="0.2">
      <c r="A1832" s="130" t="s">
        <v>3909</v>
      </c>
      <c r="B1832" t="s">
        <v>247</v>
      </c>
      <c r="C1832" t="s">
        <v>2129</v>
      </c>
      <c r="E1832">
        <v>3</v>
      </c>
      <c r="F1832">
        <v>3</v>
      </c>
      <c r="G1832">
        <v>1</v>
      </c>
      <c r="H1832">
        <v>2.7963360851755898</v>
      </c>
      <c r="I1832" t="s">
        <v>957</v>
      </c>
      <c r="J1832" t="s">
        <v>2130</v>
      </c>
      <c r="K1832">
        <v>2.8571428571428598E-2</v>
      </c>
      <c r="L1832" t="s">
        <v>959</v>
      </c>
      <c r="M1832">
        <v>1.4598540145985399</v>
      </c>
      <c r="N1832" t="s">
        <v>960</v>
      </c>
      <c r="O1832">
        <v>0</v>
      </c>
      <c r="P1832">
        <v>0</v>
      </c>
      <c r="Q1832">
        <v>0</v>
      </c>
      <c r="R1832">
        <v>0</v>
      </c>
    </row>
    <row r="1833" spans="1:18" ht="16" x14ac:dyDescent="0.2">
      <c r="A1833" s="130" t="s">
        <v>3909</v>
      </c>
      <c r="B1833" t="s">
        <v>247</v>
      </c>
      <c r="C1833" t="s">
        <v>1822</v>
      </c>
      <c r="D1833" t="s">
        <v>1823</v>
      </c>
      <c r="E1833">
        <v>3</v>
      </c>
      <c r="F1833">
        <v>3</v>
      </c>
      <c r="G1833">
        <v>1</v>
      </c>
      <c r="H1833">
        <v>3.8927458691654202</v>
      </c>
      <c r="I1833" t="s">
        <v>957</v>
      </c>
      <c r="J1833" t="s">
        <v>4009</v>
      </c>
      <c r="K1833">
        <v>0.107142857142857</v>
      </c>
      <c r="L1833" t="s">
        <v>959</v>
      </c>
      <c r="M1833">
        <v>8.0291970802919703</v>
      </c>
      <c r="N1833" t="s">
        <v>960</v>
      </c>
      <c r="O1833">
        <v>0</v>
      </c>
      <c r="P1833">
        <v>0</v>
      </c>
      <c r="Q1833">
        <v>0</v>
      </c>
      <c r="R1833">
        <v>0</v>
      </c>
    </row>
    <row r="1834" spans="1:18" ht="16" x14ac:dyDescent="0.2">
      <c r="A1834" s="130" t="s">
        <v>3909</v>
      </c>
      <c r="B1834" t="s">
        <v>247</v>
      </c>
      <c r="C1834" t="s">
        <v>3044</v>
      </c>
      <c r="D1834" t="s">
        <v>3045</v>
      </c>
      <c r="E1834" t="s">
        <v>1052</v>
      </c>
      <c r="F1834">
        <v>2</v>
      </c>
      <c r="G1834">
        <v>2</v>
      </c>
      <c r="H1834">
        <v>0.90446599828899998</v>
      </c>
      <c r="I1834" t="s">
        <v>957</v>
      </c>
      <c r="J1834" t="s">
        <v>4149</v>
      </c>
      <c r="K1834">
        <v>0.16428571428571401</v>
      </c>
      <c r="L1834" t="s">
        <v>959</v>
      </c>
      <c r="M1834">
        <v>8.7591240875912408</v>
      </c>
      <c r="N1834" t="s">
        <v>960</v>
      </c>
      <c r="O1834">
        <v>0</v>
      </c>
      <c r="P1834">
        <v>0</v>
      </c>
      <c r="Q1834">
        <v>0</v>
      </c>
      <c r="R1834">
        <v>0</v>
      </c>
    </row>
    <row r="1835" spans="1:18" ht="16" x14ac:dyDescent="0.2">
      <c r="A1835" s="130" t="s">
        <v>3909</v>
      </c>
      <c r="B1835" t="s">
        <v>247</v>
      </c>
      <c r="C1835" t="s">
        <v>2665</v>
      </c>
      <c r="D1835" t="s">
        <v>2666</v>
      </c>
      <c r="E1835">
        <v>5</v>
      </c>
      <c r="F1835">
        <v>5</v>
      </c>
      <c r="G1835">
        <v>1</v>
      </c>
      <c r="H1835">
        <v>2.8737491296714599</v>
      </c>
      <c r="I1835" t="s">
        <v>957</v>
      </c>
      <c r="J1835" t="s">
        <v>4564</v>
      </c>
      <c r="K1835">
        <v>5.7142857142857099E-2</v>
      </c>
      <c r="L1835" t="s">
        <v>959</v>
      </c>
      <c r="M1835">
        <v>2.9197080291970798</v>
      </c>
      <c r="N1835" t="s">
        <v>960</v>
      </c>
      <c r="O1835">
        <v>0</v>
      </c>
      <c r="P1835">
        <v>0</v>
      </c>
      <c r="Q1835">
        <v>0</v>
      </c>
      <c r="R1835">
        <v>0</v>
      </c>
    </row>
    <row r="1836" spans="1:18" ht="16" x14ac:dyDescent="0.2">
      <c r="A1836" s="130" t="s">
        <v>3909</v>
      </c>
      <c r="B1836" t="s">
        <v>247</v>
      </c>
      <c r="C1836" t="s">
        <v>1480</v>
      </c>
      <c r="D1836" t="s">
        <v>2208</v>
      </c>
      <c r="E1836" t="s">
        <v>1022</v>
      </c>
      <c r="F1836">
        <v>3</v>
      </c>
      <c r="G1836">
        <v>2</v>
      </c>
      <c r="H1836">
        <v>1.3673161262628599</v>
      </c>
      <c r="I1836" t="s">
        <v>957</v>
      </c>
      <c r="J1836" t="s">
        <v>4125</v>
      </c>
      <c r="K1836">
        <v>0.13571428571428601</v>
      </c>
      <c r="L1836" t="s">
        <v>959</v>
      </c>
      <c r="M1836">
        <v>8.0291970802919703</v>
      </c>
      <c r="N1836" t="s">
        <v>960</v>
      </c>
      <c r="O1836">
        <v>0</v>
      </c>
      <c r="P1836">
        <v>0</v>
      </c>
      <c r="Q1836">
        <v>0</v>
      </c>
      <c r="R1836" t="s">
        <v>5019</v>
      </c>
    </row>
    <row r="1837" spans="1:18" ht="16" x14ac:dyDescent="0.2">
      <c r="A1837" s="130" t="s">
        <v>3909</v>
      </c>
      <c r="B1837" t="s">
        <v>247</v>
      </c>
      <c r="C1837" t="s">
        <v>3549</v>
      </c>
      <c r="D1837" t="s">
        <v>3550</v>
      </c>
      <c r="E1837">
        <v>3</v>
      </c>
      <c r="F1837">
        <v>3</v>
      </c>
      <c r="G1837">
        <v>1</v>
      </c>
      <c r="H1837">
        <v>3.8337108655274599</v>
      </c>
      <c r="I1837" t="s">
        <v>957</v>
      </c>
      <c r="J1837" t="s">
        <v>4113</v>
      </c>
      <c r="K1837">
        <v>0.15</v>
      </c>
      <c r="L1837" t="s">
        <v>959</v>
      </c>
      <c r="M1837">
        <v>2.9197080291970798</v>
      </c>
      <c r="N1837" t="s">
        <v>982</v>
      </c>
      <c r="O1837">
        <v>0</v>
      </c>
      <c r="P1837">
        <v>0</v>
      </c>
      <c r="Q1837">
        <v>0</v>
      </c>
      <c r="R1837">
        <v>0</v>
      </c>
    </row>
    <row r="1838" spans="1:18" ht="16" x14ac:dyDescent="0.2">
      <c r="A1838" s="130" t="s">
        <v>3909</v>
      </c>
      <c r="B1838" t="s">
        <v>252</v>
      </c>
      <c r="C1838" t="s">
        <v>2952</v>
      </c>
      <c r="D1838" t="s">
        <v>2953</v>
      </c>
      <c r="E1838">
        <v>4</v>
      </c>
      <c r="F1838">
        <v>4</v>
      </c>
      <c r="G1838">
        <v>1</v>
      </c>
      <c r="H1838">
        <v>3.87893090019117</v>
      </c>
      <c r="I1838" t="s">
        <v>957</v>
      </c>
      <c r="J1838" t="s">
        <v>4462</v>
      </c>
      <c r="K1838">
        <v>0.107142857142857</v>
      </c>
      <c r="L1838" t="s">
        <v>959</v>
      </c>
      <c r="M1838">
        <v>5.10948905109489</v>
      </c>
      <c r="N1838" t="s">
        <v>960</v>
      </c>
      <c r="O1838">
        <v>0</v>
      </c>
      <c r="P1838">
        <v>0</v>
      </c>
      <c r="Q1838">
        <v>0</v>
      </c>
      <c r="R1838">
        <v>0</v>
      </c>
    </row>
    <row r="1839" spans="1:18" ht="16" x14ac:dyDescent="0.2">
      <c r="A1839" s="130" t="s">
        <v>3909</v>
      </c>
      <c r="B1839" t="s">
        <v>252</v>
      </c>
      <c r="C1839" t="s">
        <v>2339</v>
      </c>
      <c r="D1839" t="s">
        <v>2340</v>
      </c>
      <c r="E1839" t="s">
        <v>1052</v>
      </c>
      <c r="F1839">
        <v>2</v>
      </c>
      <c r="G1839">
        <v>2</v>
      </c>
      <c r="H1839">
        <v>1.71923268913316</v>
      </c>
      <c r="I1839" t="s">
        <v>957</v>
      </c>
      <c r="J1839" t="s">
        <v>4031</v>
      </c>
      <c r="K1839">
        <v>0.1</v>
      </c>
      <c r="L1839" t="s">
        <v>959</v>
      </c>
      <c r="M1839">
        <v>5.10948905109489</v>
      </c>
      <c r="N1839" t="s">
        <v>960</v>
      </c>
      <c r="O1839">
        <v>0</v>
      </c>
      <c r="P1839">
        <v>0</v>
      </c>
      <c r="Q1839">
        <v>0</v>
      </c>
      <c r="R1839">
        <v>0</v>
      </c>
    </row>
    <row r="1840" spans="1:18" ht="16" x14ac:dyDescent="0.2">
      <c r="A1840" s="130" t="s">
        <v>3909</v>
      </c>
      <c r="B1840" t="s">
        <v>252</v>
      </c>
      <c r="C1840" t="s">
        <v>2832</v>
      </c>
      <c r="D1840" t="s">
        <v>2833</v>
      </c>
      <c r="E1840">
        <v>3</v>
      </c>
      <c r="F1840">
        <v>3</v>
      </c>
      <c r="G1840">
        <v>1</v>
      </c>
      <c r="H1840">
        <v>2.90934759627015</v>
      </c>
      <c r="I1840" t="s">
        <v>957</v>
      </c>
      <c r="J1840" t="s">
        <v>4568</v>
      </c>
      <c r="K1840">
        <v>0.15</v>
      </c>
      <c r="L1840" t="s">
        <v>959</v>
      </c>
      <c r="M1840">
        <v>4.3795620437956204</v>
      </c>
      <c r="N1840" t="s">
        <v>960</v>
      </c>
      <c r="O1840">
        <v>0</v>
      </c>
      <c r="P1840">
        <v>0</v>
      </c>
      <c r="Q1840">
        <v>0</v>
      </c>
      <c r="R1840">
        <v>0</v>
      </c>
    </row>
    <row r="1841" spans="1:18" ht="16" x14ac:dyDescent="0.2">
      <c r="A1841" s="130" t="s">
        <v>3909</v>
      </c>
      <c r="B1841" t="s">
        <v>252</v>
      </c>
      <c r="C1841" t="s">
        <v>2419</v>
      </c>
      <c r="D1841" t="s">
        <v>2420</v>
      </c>
      <c r="E1841">
        <v>3</v>
      </c>
      <c r="F1841">
        <v>3</v>
      </c>
      <c r="G1841">
        <v>1</v>
      </c>
      <c r="H1841">
        <v>2.4854824899957202</v>
      </c>
      <c r="I1841" t="s">
        <v>957</v>
      </c>
      <c r="J1841" t="s">
        <v>4764</v>
      </c>
      <c r="K1841">
        <v>0.17857142857142899</v>
      </c>
      <c r="L1841" t="s">
        <v>959</v>
      </c>
      <c r="M1841">
        <v>9.4890510948905096</v>
      </c>
      <c r="N1841" t="s">
        <v>960</v>
      </c>
      <c r="O1841">
        <v>0</v>
      </c>
      <c r="P1841">
        <v>0</v>
      </c>
      <c r="Q1841">
        <v>0</v>
      </c>
      <c r="R1841">
        <v>0</v>
      </c>
    </row>
    <row r="1842" spans="1:18" ht="16" x14ac:dyDescent="0.2">
      <c r="A1842" s="130" t="s">
        <v>3909</v>
      </c>
      <c r="B1842" t="s">
        <v>252</v>
      </c>
      <c r="C1842" t="s">
        <v>3477</v>
      </c>
      <c r="D1842" t="s">
        <v>3478</v>
      </c>
      <c r="E1842">
        <v>3</v>
      </c>
      <c r="F1842">
        <v>3</v>
      </c>
      <c r="G1842">
        <v>1</v>
      </c>
      <c r="H1842">
        <v>2.8944300720496399</v>
      </c>
      <c r="I1842" t="s">
        <v>957</v>
      </c>
      <c r="J1842" t="s">
        <v>4330</v>
      </c>
      <c r="K1842">
        <v>0.185714285714286</v>
      </c>
      <c r="L1842" t="s">
        <v>959</v>
      </c>
      <c r="M1842">
        <v>6.5693430656934302</v>
      </c>
      <c r="N1842" t="s">
        <v>960</v>
      </c>
      <c r="O1842">
        <v>0</v>
      </c>
      <c r="P1842">
        <v>0</v>
      </c>
      <c r="Q1842">
        <v>0</v>
      </c>
      <c r="R1842">
        <v>0</v>
      </c>
    </row>
    <row r="1843" spans="1:18" ht="16" x14ac:dyDescent="0.2">
      <c r="A1843" s="130" t="s">
        <v>3909</v>
      </c>
      <c r="B1843" t="s">
        <v>252</v>
      </c>
      <c r="C1843" t="s">
        <v>2464</v>
      </c>
      <c r="D1843" t="s">
        <v>2465</v>
      </c>
      <c r="E1843">
        <v>4</v>
      </c>
      <c r="F1843">
        <v>4</v>
      </c>
      <c r="G1843">
        <v>1</v>
      </c>
      <c r="H1843">
        <v>1.7018255038575001</v>
      </c>
      <c r="I1843" t="s">
        <v>957</v>
      </c>
      <c r="J1843" t="s">
        <v>4076</v>
      </c>
      <c r="K1843">
        <v>0.16428571428571401</v>
      </c>
      <c r="L1843" t="s">
        <v>959</v>
      </c>
      <c r="M1843">
        <v>6.5693430656934302</v>
      </c>
      <c r="N1843" t="s">
        <v>960</v>
      </c>
      <c r="O1843">
        <v>0</v>
      </c>
      <c r="P1843">
        <v>0</v>
      </c>
      <c r="Q1843">
        <v>0</v>
      </c>
      <c r="R1843">
        <v>0</v>
      </c>
    </row>
    <row r="1844" spans="1:18" ht="16" x14ac:dyDescent="0.2">
      <c r="A1844" s="130" t="s">
        <v>3909</v>
      </c>
      <c r="B1844" t="s">
        <v>252</v>
      </c>
      <c r="C1844" t="s">
        <v>1512</v>
      </c>
      <c r="D1844" t="s">
        <v>1513</v>
      </c>
      <c r="E1844">
        <v>3</v>
      </c>
      <c r="F1844">
        <v>3</v>
      </c>
      <c r="G1844">
        <v>1</v>
      </c>
      <c r="H1844">
        <v>1.1038056438273101</v>
      </c>
      <c r="I1844" t="s">
        <v>957</v>
      </c>
      <c r="J1844" t="s">
        <v>4992</v>
      </c>
      <c r="K1844">
        <v>0.185714285714286</v>
      </c>
      <c r="L1844" t="s">
        <v>959</v>
      </c>
      <c r="M1844">
        <v>9.4890510948905096</v>
      </c>
      <c r="N1844" t="s">
        <v>960</v>
      </c>
      <c r="O1844">
        <v>0</v>
      </c>
      <c r="P1844">
        <v>0</v>
      </c>
      <c r="Q1844">
        <v>0</v>
      </c>
      <c r="R1844">
        <v>0</v>
      </c>
    </row>
    <row r="1845" spans="1:18" ht="16" x14ac:dyDescent="0.2">
      <c r="A1845" s="130" t="s">
        <v>3909</v>
      </c>
      <c r="B1845" t="s">
        <v>252</v>
      </c>
      <c r="C1845" t="s">
        <v>1748</v>
      </c>
      <c r="D1845" t="s">
        <v>1749</v>
      </c>
      <c r="E1845">
        <v>3</v>
      </c>
      <c r="F1845">
        <v>3</v>
      </c>
      <c r="G1845">
        <v>1</v>
      </c>
      <c r="H1845">
        <v>3.7315829194227801</v>
      </c>
      <c r="I1845" t="s">
        <v>957</v>
      </c>
      <c r="J1845" t="s">
        <v>4187</v>
      </c>
      <c r="K1845">
        <v>0.114285714285714</v>
      </c>
      <c r="L1845" t="s">
        <v>959</v>
      </c>
      <c r="M1845">
        <v>6.5693430656934302</v>
      </c>
      <c r="N1845" t="s">
        <v>960</v>
      </c>
      <c r="O1845">
        <v>0</v>
      </c>
      <c r="P1845">
        <v>0</v>
      </c>
      <c r="Q1845">
        <v>0</v>
      </c>
      <c r="R1845">
        <v>0</v>
      </c>
    </row>
    <row r="1846" spans="1:18" ht="16" x14ac:dyDescent="0.2">
      <c r="A1846" s="130" t="s">
        <v>3909</v>
      </c>
      <c r="B1846" t="s">
        <v>187</v>
      </c>
      <c r="C1846" t="s">
        <v>2476</v>
      </c>
      <c r="D1846" t="s">
        <v>2477</v>
      </c>
      <c r="E1846">
        <v>4</v>
      </c>
      <c r="F1846">
        <v>4</v>
      </c>
      <c r="G1846">
        <v>1</v>
      </c>
      <c r="H1846">
        <v>3.6553565621489699</v>
      </c>
      <c r="I1846" t="s">
        <v>957</v>
      </c>
      <c r="J1846" t="s">
        <v>3931</v>
      </c>
      <c r="K1846">
        <v>0.14285714285714299</v>
      </c>
      <c r="L1846" t="s">
        <v>959</v>
      </c>
      <c r="M1846">
        <v>3.6496350364963499</v>
      </c>
      <c r="N1846" t="s">
        <v>960</v>
      </c>
      <c r="O1846">
        <v>0</v>
      </c>
      <c r="P1846">
        <v>0</v>
      </c>
      <c r="Q1846">
        <v>0</v>
      </c>
      <c r="R1846">
        <v>0</v>
      </c>
    </row>
    <row r="1847" spans="1:18" ht="16" x14ac:dyDescent="0.2">
      <c r="A1847" s="130" t="s">
        <v>3909</v>
      </c>
      <c r="B1847" t="s">
        <v>260</v>
      </c>
      <c r="C1847" t="s">
        <v>1376</v>
      </c>
      <c r="D1847" t="s">
        <v>1377</v>
      </c>
      <c r="E1847" t="s">
        <v>1102</v>
      </c>
      <c r="F1847">
        <v>4</v>
      </c>
      <c r="G1847">
        <v>2</v>
      </c>
      <c r="H1847">
        <v>1.5868372593834299</v>
      </c>
      <c r="I1847" t="s">
        <v>957</v>
      </c>
      <c r="J1847" t="s">
        <v>4081</v>
      </c>
      <c r="K1847">
        <v>0.17142857142857101</v>
      </c>
      <c r="L1847" t="s">
        <v>959</v>
      </c>
      <c r="M1847">
        <v>9.4890510948905096</v>
      </c>
      <c r="N1847" t="s">
        <v>960</v>
      </c>
      <c r="O1847">
        <v>0</v>
      </c>
      <c r="P1847">
        <v>0</v>
      </c>
      <c r="Q1847">
        <v>0</v>
      </c>
      <c r="R1847">
        <v>0</v>
      </c>
    </row>
    <row r="1848" spans="1:18" ht="16" x14ac:dyDescent="0.2">
      <c r="A1848" s="130" t="s">
        <v>3909</v>
      </c>
      <c r="B1848" t="s">
        <v>260</v>
      </c>
      <c r="C1848" t="s">
        <v>2893</v>
      </c>
      <c r="D1848" t="s">
        <v>2894</v>
      </c>
      <c r="E1848">
        <v>3</v>
      </c>
      <c r="F1848">
        <v>3</v>
      </c>
      <c r="G1848">
        <v>1</v>
      </c>
      <c r="H1848">
        <v>2.1202548404772799</v>
      </c>
      <c r="I1848" t="s">
        <v>957</v>
      </c>
      <c r="J1848" t="s">
        <v>4042</v>
      </c>
      <c r="K1848">
        <v>0.2</v>
      </c>
      <c r="L1848" t="s">
        <v>959</v>
      </c>
      <c r="M1848">
        <v>8.7591240875912408</v>
      </c>
      <c r="N1848" t="s">
        <v>960</v>
      </c>
      <c r="O1848">
        <v>0</v>
      </c>
      <c r="P1848">
        <v>0</v>
      </c>
      <c r="Q1848">
        <v>0</v>
      </c>
      <c r="R1848">
        <v>0</v>
      </c>
    </row>
    <row r="1849" spans="1:18" ht="16" x14ac:dyDescent="0.2">
      <c r="A1849" s="130" t="s">
        <v>3909</v>
      </c>
      <c r="B1849" t="s">
        <v>260</v>
      </c>
      <c r="C1849" t="s">
        <v>2952</v>
      </c>
      <c r="D1849" t="s">
        <v>2953</v>
      </c>
      <c r="E1849" t="s">
        <v>1059</v>
      </c>
      <c r="F1849">
        <v>4</v>
      </c>
      <c r="G1849">
        <v>2</v>
      </c>
      <c r="H1849">
        <v>3.87893090019117</v>
      </c>
      <c r="I1849" t="s">
        <v>957</v>
      </c>
      <c r="J1849" t="s">
        <v>4462</v>
      </c>
      <c r="K1849">
        <v>0.107142857142857</v>
      </c>
      <c r="L1849" t="s">
        <v>959</v>
      </c>
      <c r="M1849">
        <v>5.10948905109489</v>
      </c>
      <c r="N1849" t="s">
        <v>960</v>
      </c>
      <c r="O1849">
        <v>0</v>
      </c>
      <c r="P1849">
        <v>0</v>
      </c>
      <c r="Q1849">
        <v>0</v>
      </c>
      <c r="R1849">
        <v>0</v>
      </c>
    </row>
    <row r="1850" spans="1:18" ht="16" x14ac:dyDescent="0.2">
      <c r="A1850" s="130" t="s">
        <v>3909</v>
      </c>
      <c r="B1850" t="s">
        <v>260</v>
      </c>
      <c r="C1850" t="s">
        <v>1814</v>
      </c>
      <c r="D1850" t="s">
        <v>1815</v>
      </c>
      <c r="E1850" t="s">
        <v>1039</v>
      </c>
      <c r="F1850">
        <v>3</v>
      </c>
      <c r="G1850">
        <v>2</v>
      </c>
      <c r="H1850">
        <v>3.37763827441939</v>
      </c>
      <c r="I1850" t="s">
        <v>957</v>
      </c>
      <c r="J1850" t="s">
        <v>3992</v>
      </c>
      <c r="K1850">
        <v>0.157142857142857</v>
      </c>
      <c r="L1850" t="s">
        <v>959</v>
      </c>
      <c r="M1850">
        <v>5.8394160583941597</v>
      </c>
      <c r="N1850" t="s">
        <v>960</v>
      </c>
      <c r="O1850">
        <v>0</v>
      </c>
      <c r="P1850">
        <v>0</v>
      </c>
      <c r="Q1850">
        <v>0</v>
      </c>
      <c r="R1850">
        <v>0</v>
      </c>
    </row>
    <row r="1851" spans="1:18" ht="16" x14ac:dyDescent="0.2">
      <c r="A1851" s="130" t="s">
        <v>3909</v>
      </c>
      <c r="B1851" t="s">
        <v>260</v>
      </c>
      <c r="C1851" t="s">
        <v>1402</v>
      </c>
      <c r="D1851" t="s">
        <v>1403</v>
      </c>
      <c r="E1851" t="s">
        <v>1102</v>
      </c>
      <c r="F1851">
        <v>4</v>
      </c>
      <c r="G1851">
        <v>2</v>
      </c>
      <c r="H1851">
        <v>2.2968832864191802</v>
      </c>
      <c r="I1851" t="s">
        <v>957</v>
      </c>
      <c r="J1851" t="s">
        <v>4310</v>
      </c>
      <c r="K1851">
        <v>0.185714285714286</v>
      </c>
      <c r="L1851" t="s">
        <v>959</v>
      </c>
      <c r="M1851">
        <v>9.4890510948905096</v>
      </c>
      <c r="N1851" t="s">
        <v>960</v>
      </c>
      <c r="O1851">
        <v>0</v>
      </c>
      <c r="P1851">
        <v>0</v>
      </c>
      <c r="Q1851">
        <v>0</v>
      </c>
      <c r="R1851">
        <v>0</v>
      </c>
    </row>
    <row r="1852" spans="1:18" ht="16" x14ac:dyDescent="0.2">
      <c r="A1852" s="130" t="s">
        <v>3909</v>
      </c>
      <c r="B1852" t="s">
        <v>260</v>
      </c>
      <c r="C1852" t="s">
        <v>2491</v>
      </c>
      <c r="D1852" t="s">
        <v>2492</v>
      </c>
      <c r="E1852">
        <v>3</v>
      </c>
      <c r="F1852">
        <v>3</v>
      </c>
      <c r="G1852">
        <v>1</v>
      </c>
      <c r="H1852">
        <v>2.1845555064011601</v>
      </c>
      <c r="I1852" t="s">
        <v>957</v>
      </c>
      <c r="J1852" t="s">
        <v>2494</v>
      </c>
      <c r="K1852">
        <v>0.121428571428571</v>
      </c>
      <c r="L1852" t="s">
        <v>959</v>
      </c>
      <c r="M1852">
        <v>8.0291970802919703</v>
      </c>
      <c r="N1852" t="s">
        <v>960</v>
      </c>
      <c r="O1852">
        <v>0</v>
      </c>
      <c r="P1852">
        <v>0</v>
      </c>
      <c r="Q1852">
        <v>0</v>
      </c>
      <c r="R1852">
        <v>0</v>
      </c>
    </row>
    <row r="1853" spans="1:18" ht="16" x14ac:dyDescent="0.2">
      <c r="A1853" s="130" t="s">
        <v>3909</v>
      </c>
      <c r="B1853" t="s">
        <v>260</v>
      </c>
      <c r="C1853" t="s">
        <v>1792</v>
      </c>
      <c r="D1853" t="s">
        <v>1793</v>
      </c>
      <c r="E1853" t="s">
        <v>1974</v>
      </c>
      <c r="F1853">
        <v>5</v>
      </c>
      <c r="G1853">
        <v>2</v>
      </c>
      <c r="H1853">
        <v>2.7243293096929402</v>
      </c>
      <c r="I1853" t="s">
        <v>957</v>
      </c>
      <c r="J1853" t="s">
        <v>4551</v>
      </c>
      <c r="K1853">
        <v>0.16428571428571401</v>
      </c>
      <c r="L1853" t="s">
        <v>959</v>
      </c>
      <c r="M1853">
        <v>9.4890510948905096</v>
      </c>
      <c r="N1853" t="s">
        <v>960</v>
      </c>
      <c r="O1853">
        <v>0</v>
      </c>
      <c r="P1853">
        <v>0</v>
      </c>
      <c r="Q1853">
        <v>0</v>
      </c>
      <c r="R1853">
        <v>0</v>
      </c>
    </row>
    <row r="1854" spans="1:18" ht="16" x14ac:dyDescent="0.2">
      <c r="A1854" s="130" t="s">
        <v>3909</v>
      </c>
      <c r="B1854" t="s">
        <v>260</v>
      </c>
      <c r="C1854" t="s">
        <v>2370</v>
      </c>
      <c r="D1854" t="s">
        <v>2371</v>
      </c>
      <c r="E1854">
        <v>4</v>
      </c>
      <c r="F1854">
        <v>4</v>
      </c>
      <c r="G1854">
        <v>1</v>
      </c>
      <c r="H1854">
        <v>3.2816506165694701</v>
      </c>
      <c r="I1854" t="s">
        <v>957</v>
      </c>
      <c r="J1854" t="s">
        <v>4660</v>
      </c>
      <c r="K1854">
        <v>9.2857142857142902E-2</v>
      </c>
      <c r="L1854" t="s">
        <v>959</v>
      </c>
      <c r="M1854">
        <v>3.6496350364963499</v>
      </c>
      <c r="N1854" t="s">
        <v>960</v>
      </c>
      <c r="O1854">
        <v>0</v>
      </c>
      <c r="P1854">
        <v>0</v>
      </c>
      <c r="Q1854">
        <v>0</v>
      </c>
      <c r="R1854">
        <v>0</v>
      </c>
    </row>
    <row r="1855" spans="1:18" ht="16" x14ac:dyDescent="0.2">
      <c r="A1855" s="130" t="s">
        <v>3909</v>
      </c>
      <c r="B1855" t="s">
        <v>260</v>
      </c>
      <c r="C1855" t="s">
        <v>3254</v>
      </c>
      <c r="D1855" t="s">
        <v>3255</v>
      </c>
      <c r="E1855" t="s">
        <v>1022</v>
      </c>
      <c r="F1855">
        <v>3</v>
      </c>
      <c r="G1855">
        <v>2</v>
      </c>
      <c r="H1855">
        <v>1.5749911836625401</v>
      </c>
      <c r="I1855" t="s">
        <v>957</v>
      </c>
      <c r="J1855" t="s">
        <v>3257</v>
      </c>
      <c r="K1855">
        <v>2.8571428571428598E-2</v>
      </c>
      <c r="L1855" t="s">
        <v>959</v>
      </c>
      <c r="M1855">
        <v>2.1897810218978102</v>
      </c>
      <c r="N1855" t="s">
        <v>960</v>
      </c>
      <c r="O1855">
        <v>0</v>
      </c>
      <c r="P1855">
        <v>0</v>
      </c>
      <c r="Q1855">
        <v>0</v>
      </c>
      <c r="R1855">
        <v>0</v>
      </c>
    </row>
    <row r="1856" spans="1:18" ht="16" x14ac:dyDescent="0.2">
      <c r="A1856" s="130" t="s">
        <v>3909</v>
      </c>
      <c r="B1856" t="s">
        <v>260</v>
      </c>
      <c r="C1856" t="s">
        <v>1398</v>
      </c>
      <c r="D1856" t="s">
        <v>1399</v>
      </c>
      <c r="E1856" t="s">
        <v>1085</v>
      </c>
      <c r="F1856">
        <v>5</v>
      </c>
      <c r="G1856">
        <v>2</v>
      </c>
      <c r="H1856">
        <v>3.9529953332595098</v>
      </c>
      <c r="I1856" t="s">
        <v>957</v>
      </c>
      <c r="J1856" t="s">
        <v>4069</v>
      </c>
      <c r="K1856">
        <v>0.17857142857142899</v>
      </c>
      <c r="L1856" t="s">
        <v>959</v>
      </c>
      <c r="M1856">
        <v>7.2992700729926998</v>
      </c>
      <c r="N1856" t="s">
        <v>960</v>
      </c>
      <c r="O1856">
        <v>0</v>
      </c>
      <c r="P1856">
        <v>0</v>
      </c>
      <c r="Q1856">
        <v>0</v>
      </c>
      <c r="R1856">
        <v>0</v>
      </c>
    </row>
    <row r="1857" spans="1:18" ht="16" x14ac:dyDescent="0.2">
      <c r="A1857" s="130" t="s">
        <v>3909</v>
      </c>
      <c r="B1857" t="s">
        <v>260</v>
      </c>
      <c r="C1857" t="s">
        <v>2313</v>
      </c>
      <c r="D1857" t="s">
        <v>2314</v>
      </c>
      <c r="E1857">
        <v>3</v>
      </c>
      <c r="F1857">
        <v>3</v>
      </c>
      <c r="G1857">
        <v>1</v>
      </c>
      <c r="H1857">
        <v>3.7963587505870602</v>
      </c>
      <c r="I1857" t="s">
        <v>957</v>
      </c>
      <c r="J1857" t="s">
        <v>4484</v>
      </c>
      <c r="K1857">
        <v>0.128571428571429</v>
      </c>
      <c r="L1857" t="s">
        <v>959</v>
      </c>
      <c r="M1857">
        <v>5.10948905109489</v>
      </c>
      <c r="N1857" t="s">
        <v>960</v>
      </c>
      <c r="O1857">
        <v>0</v>
      </c>
      <c r="P1857">
        <v>0</v>
      </c>
      <c r="Q1857">
        <v>0</v>
      </c>
      <c r="R1857">
        <v>0</v>
      </c>
    </row>
    <row r="1858" spans="1:18" ht="16" x14ac:dyDescent="0.2">
      <c r="A1858" s="130" t="s">
        <v>3909</v>
      </c>
      <c r="B1858" t="s">
        <v>260</v>
      </c>
      <c r="C1858" t="s">
        <v>2749</v>
      </c>
      <c r="D1858" t="s">
        <v>2750</v>
      </c>
      <c r="E1858" t="s">
        <v>1039</v>
      </c>
      <c r="F1858">
        <v>3</v>
      </c>
      <c r="G1858">
        <v>2</v>
      </c>
      <c r="H1858">
        <v>2.3864098029198701</v>
      </c>
      <c r="I1858" t="s">
        <v>957</v>
      </c>
      <c r="J1858" t="s">
        <v>4982</v>
      </c>
      <c r="K1858">
        <v>0.128571428571429</v>
      </c>
      <c r="L1858" t="s">
        <v>959</v>
      </c>
      <c r="M1858">
        <v>6.5693430656934302</v>
      </c>
      <c r="N1858" t="s">
        <v>960</v>
      </c>
      <c r="O1858">
        <v>0</v>
      </c>
      <c r="P1858">
        <v>0</v>
      </c>
      <c r="Q1858">
        <v>0</v>
      </c>
      <c r="R1858">
        <v>0</v>
      </c>
    </row>
    <row r="1859" spans="1:18" ht="16" x14ac:dyDescent="0.2">
      <c r="A1859" s="130" t="s">
        <v>3909</v>
      </c>
      <c r="B1859" t="s">
        <v>260</v>
      </c>
      <c r="C1859" t="s">
        <v>2091</v>
      </c>
      <c r="D1859" t="s">
        <v>2092</v>
      </c>
      <c r="E1859">
        <v>3</v>
      </c>
      <c r="F1859">
        <v>3</v>
      </c>
      <c r="G1859">
        <v>1</v>
      </c>
      <c r="H1859">
        <v>2.7590697933653701</v>
      </c>
      <c r="I1859" t="s">
        <v>957</v>
      </c>
      <c r="J1859" t="s">
        <v>2094</v>
      </c>
      <c r="K1859">
        <v>0.14285714285714299</v>
      </c>
      <c r="L1859" t="s">
        <v>959</v>
      </c>
      <c r="M1859">
        <v>6.5693430656934302</v>
      </c>
      <c r="N1859" t="s">
        <v>960</v>
      </c>
      <c r="O1859">
        <v>0</v>
      </c>
      <c r="P1859">
        <v>0</v>
      </c>
      <c r="Q1859">
        <v>0</v>
      </c>
      <c r="R1859">
        <v>0</v>
      </c>
    </row>
    <row r="1860" spans="1:18" ht="16" x14ac:dyDescent="0.2">
      <c r="A1860" s="130" t="s">
        <v>3909</v>
      </c>
      <c r="B1860" t="s">
        <v>260</v>
      </c>
      <c r="C1860" t="s">
        <v>1748</v>
      </c>
      <c r="D1860" t="s">
        <v>1749</v>
      </c>
      <c r="E1860" t="s">
        <v>1052</v>
      </c>
      <c r="F1860">
        <v>2</v>
      </c>
      <c r="G1860">
        <v>2</v>
      </c>
      <c r="H1860">
        <v>2.3781590626373101</v>
      </c>
      <c r="I1860" t="s">
        <v>957</v>
      </c>
      <c r="J1860" t="s">
        <v>3751</v>
      </c>
      <c r="K1860">
        <v>0.114285714285714</v>
      </c>
      <c r="L1860" t="s">
        <v>959</v>
      </c>
      <c r="M1860">
        <v>6.5693430656934302</v>
      </c>
      <c r="N1860" t="s">
        <v>960</v>
      </c>
      <c r="O1860">
        <v>0</v>
      </c>
      <c r="P1860">
        <v>0</v>
      </c>
      <c r="Q1860">
        <v>0</v>
      </c>
      <c r="R1860">
        <v>0</v>
      </c>
    </row>
    <row r="1861" spans="1:18" ht="16" x14ac:dyDescent="0.2">
      <c r="A1861" s="130" t="s">
        <v>3909</v>
      </c>
      <c r="B1861" t="s">
        <v>260</v>
      </c>
      <c r="C1861" t="s">
        <v>2877</v>
      </c>
      <c r="D1861" t="s">
        <v>2878</v>
      </c>
      <c r="E1861" t="s">
        <v>1074</v>
      </c>
      <c r="F1861">
        <v>6</v>
      </c>
      <c r="G1861">
        <v>2</v>
      </c>
      <c r="H1861">
        <v>3.7577899870017601</v>
      </c>
      <c r="I1861" t="s">
        <v>957</v>
      </c>
      <c r="J1861" t="s">
        <v>4142</v>
      </c>
      <c r="K1861">
        <v>0.128571428571429</v>
      </c>
      <c r="L1861" t="s">
        <v>959</v>
      </c>
      <c r="M1861">
        <v>9.4890510948905096</v>
      </c>
      <c r="N1861" t="s">
        <v>960</v>
      </c>
      <c r="O1861">
        <v>0</v>
      </c>
      <c r="P1861" t="s">
        <v>5018</v>
      </c>
      <c r="Q1861">
        <v>0</v>
      </c>
      <c r="R1861">
        <v>0</v>
      </c>
    </row>
    <row r="1862" spans="1:18" ht="16" x14ac:dyDescent="0.2">
      <c r="A1862" s="130" t="s">
        <v>3909</v>
      </c>
      <c r="B1862" t="s">
        <v>191</v>
      </c>
      <c r="C1862" t="s">
        <v>2310</v>
      </c>
      <c r="D1862" t="s">
        <v>2311</v>
      </c>
      <c r="E1862">
        <v>6</v>
      </c>
      <c r="F1862">
        <v>6</v>
      </c>
      <c r="G1862">
        <v>1</v>
      </c>
      <c r="H1862">
        <v>3.5184356722007601</v>
      </c>
      <c r="I1862" t="s">
        <v>957</v>
      </c>
      <c r="J1862" t="s">
        <v>4594</v>
      </c>
      <c r="K1862">
        <v>0.128571428571429</v>
      </c>
      <c r="L1862" t="s">
        <v>959</v>
      </c>
      <c r="M1862">
        <v>8.7591240875912408</v>
      </c>
      <c r="N1862" t="s">
        <v>960</v>
      </c>
      <c r="O1862">
        <v>0</v>
      </c>
      <c r="P1862">
        <v>0</v>
      </c>
      <c r="Q1862">
        <v>0</v>
      </c>
      <c r="R1862">
        <v>0</v>
      </c>
    </row>
    <row r="1863" spans="1:18" ht="16" x14ac:dyDescent="0.2">
      <c r="A1863" s="130" t="s">
        <v>3909</v>
      </c>
      <c r="B1863" t="s">
        <v>191</v>
      </c>
      <c r="C1863" t="s">
        <v>2111</v>
      </c>
      <c r="D1863" t="s">
        <v>2112</v>
      </c>
      <c r="E1863" t="s">
        <v>1085</v>
      </c>
      <c r="F1863">
        <v>5</v>
      </c>
      <c r="G1863">
        <v>2</v>
      </c>
      <c r="H1863">
        <v>3.3592197307103602</v>
      </c>
      <c r="I1863" t="s">
        <v>957</v>
      </c>
      <c r="J1863" t="s">
        <v>4831</v>
      </c>
      <c r="K1863">
        <v>0.27586206896551702</v>
      </c>
      <c r="L1863" t="s">
        <v>972</v>
      </c>
      <c r="M1863">
        <v>7.2992700729926998</v>
      </c>
      <c r="N1863" t="s">
        <v>973</v>
      </c>
      <c r="O1863">
        <v>0</v>
      </c>
      <c r="P1863">
        <v>0</v>
      </c>
      <c r="Q1863">
        <v>0</v>
      </c>
      <c r="R1863">
        <v>0</v>
      </c>
    </row>
    <row r="1864" spans="1:18" ht="16" x14ac:dyDescent="0.2">
      <c r="A1864" s="130" t="s">
        <v>3909</v>
      </c>
      <c r="B1864" t="s">
        <v>191</v>
      </c>
      <c r="C1864" t="s">
        <v>1436</v>
      </c>
      <c r="D1864" t="s">
        <v>1437</v>
      </c>
      <c r="E1864">
        <v>3</v>
      </c>
      <c r="F1864">
        <v>3</v>
      </c>
      <c r="G1864">
        <v>1</v>
      </c>
      <c r="H1864">
        <v>4.1085797450834596</v>
      </c>
      <c r="I1864" t="s">
        <v>957</v>
      </c>
      <c r="J1864" t="s">
        <v>4104</v>
      </c>
      <c r="K1864">
        <v>0.17142857142857101</v>
      </c>
      <c r="L1864" t="s">
        <v>959</v>
      </c>
      <c r="M1864">
        <v>4.3795620437956204</v>
      </c>
      <c r="N1864" t="s">
        <v>960</v>
      </c>
      <c r="O1864">
        <v>0</v>
      </c>
      <c r="P1864">
        <v>0</v>
      </c>
      <c r="Q1864">
        <v>0</v>
      </c>
      <c r="R1864">
        <v>0</v>
      </c>
    </row>
    <row r="1865" spans="1:18" ht="16" x14ac:dyDescent="0.2">
      <c r="A1865" s="130" t="s">
        <v>3909</v>
      </c>
      <c r="B1865" t="s">
        <v>191</v>
      </c>
      <c r="C1865" t="s">
        <v>4052</v>
      </c>
      <c r="E1865">
        <v>3</v>
      </c>
      <c r="F1865">
        <v>3</v>
      </c>
      <c r="G1865">
        <v>1</v>
      </c>
      <c r="H1865">
        <v>3.8495216664668801</v>
      </c>
      <c r="I1865" t="s">
        <v>957</v>
      </c>
      <c r="J1865" t="s">
        <v>4943</v>
      </c>
      <c r="K1865">
        <v>0.1</v>
      </c>
      <c r="L1865" t="s">
        <v>959</v>
      </c>
      <c r="M1865">
        <v>1.4598540145985399</v>
      </c>
      <c r="N1865" t="s">
        <v>960</v>
      </c>
      <c r="O1865">
        <v>0</v>
      </c>
      <c r="P1865">
        <v>0</v>
      </c>
      <c r="Q1865">
        <v>0</v>
      </c>
      <c r="R1865">
        <v>0</v>
      </c>
    </row>
    <row r="1866" spans="1:18" ht="16" x14ac:dyDescent="0.2">
      <c r="A1866" s="130" t="s">
        <v>3909</v>
      </c>
      <c r="B1866" t="s">
        <v>191</v>
      </c>
      <c r="C1866" t="s">
        <v>1187</v>
      </c>
      <c r="D1866" t="s">
        <v>1188</v>
      </c>
      <c r="E1866">
        <v>3</v>
      </c>
      <c r="F1866">
        <v>3</v>
      </c>
      <c r="G1866">
        <v>1</v>
      </c>
      <c r="H1866">
        <v>4.0378482706956502</v>
      </c>
      <c r="I1866" t="s">
        <v>957</v>
      </c>
      <c r="J1866" t="s">
        <v>4533</v>
      </c>
      <c r="K1866">
        <v>9.2857142857142902E-2</v>
      </c>
      <c r="L1866" t="s">
        <v>959</v>
      </c>
      <c r="M1866">
        <v>3.6496350364963499</v>
      </c>
      <c r="N1866" t="s">
        <v>960</v>
      </c>
      <c r="O1866">
        <v>0</v>
      </c>
      <c r="P1866">
        <v>0</v>
      </c>
      <c r="Q1866">
        <v>0</v>
      </c>
      <c r="R1866">
        <v>0</v>
      </c>
    </row>
    <row r="1867" spans="1:18" ht="16" x14ac:dyDescent="0.2">
      <c r="A1867" s="130" t="s">
        <v>3909</v>
      </c>
      <c r="B1867" t="s">
        <v>191</v>
      </c>
      <c r="C1867" t="s">
        <v>1304</v>
      </c>
      <c r="D1867" t="s">
        <v>1305</v>
      </c>
      <c r="E1867">
        <v>3</v>
      </c>
      <c r="F1867">
        <v>3</v>
      </c>
      <c r="G1867">
        <v>1</v>
      </c>
      <c r="H1867">
        <v>3.8769882310992498</v>
      </c>
      <c r="I1867" t="s">
        <v>957</v>
      </c>
      <c r="J1867" t="s">
        <v>4216</v>
      </c>
      <c r="K1867">
        <v>9.2857142857142902E-2</v>
      </c>
      <c r="L1867" t="s">
        <v>959</v>
      </c>
      <c r="M1867">
        <v>3.6496350364963499</v>
      </c>
      <c r="N1867" t="s">
        <v>960</v>
      </c>
      <c r="O1867">
        <v>0</v>
      </c>
      <c r="P1867">
        <v>0</v>
      </c>
      <c r="Q1867">
        <v>0</v>
      </c>
      <c r="R1867">
        <v>0</v>
      </c>
    </row>
    <row r="1868" spans="1:18" ht="16" x14ac:dyDescent="0.2">
      <c r="A1868" s="130" t="s">
        <v>3909</v>
      </c>
      <c r="B1868" t="s">
        <v>191</v>
      </c>
      <c r="C1868" t="s">
        <v>2150</v>
      </c>
      <c r="D1868" t="s">
        <v>2151</v>
      </c>
      <c r="E1868" t="s">
        <v>1052</v>
      </c>
      <c r="F1868">
        <v>2</v>
      </c>
      <c r="G1868">
        <v>2</v>
      </c>
      <c r="H1868">
        <v>3.6291254808517999</v>
      </c>
      <c r="I1868" t="s">
        <v>957</v>
      </c>
      <c r="J1868" t="s">
        <v>4236</v>
      </c>
      <c r="K1868">
        <v>0.1</v>
      </c>
      <c r="L1868" t="s">
        <v>959</v>
      </c>
      <c r="M1868">
        <v>1.4598540145985399</v>
      </c>
      <c r="N1868" t="s">
        <v>960</v>
      </c>
      <c r="O1868">
        <v>0</v>
      </c>
      <c r="P1868">
        <v>0</v>
      </c>
      <c r="Q1868">
        <v>0</v>
      </c>
      <c r="R1868">
        <v>0</v>
      </c>
    </row>
    <row r="1869" spans="1:18" ht="16" x14ac:dyDescent="0.2">
      <c r="A1869" s="130" t="s">
        <v>3909</v>
      </c>
      <c r="B1869" t="s">
        <v>191</v>
      </c>
      <c r="C1869" t="s">
        <v>1459</v>
      </c>
      <c r="D1869" t="s">
        <v>1460</v>
      </c>
      <c r="E1869">
        <v>5</v>
      </c>
      <c r="F1869">
        <v>5</v>
      </c>
      <c r="G1869">
        <v>1</v>
      </c>
      <c r="H1869">
        <v>1.3057254092721799</v>
      </c>
      <c r="I1869" t="s">
        <v>957</v>
      </c>
      <c r="J1869" t="s">
        <v>1461</v>
      </c>
      <c r="K1869">
        <v>7.1428571428571397E-2</v>
      </c>
      <c r="L1869" t="s">
        <v>959</v>
      </c>
      <c r="M1869">
        <v>8.0291970802919703</v>
      </c>
      <c r="N1869" t="s">
        <v>960</v>
      </c>
      <c r="O1869">
        <v>0</v>
      </c>
      <c r="P1869" t="s">
        <v>5017</v>
      </c>
      <c r="Q1869">
        <v>0</v>
      </c>
      <c r="R1869" t="s">
        <v>5019</v>
      </c>
    </row>
    <row r="1870" spans="1:18" ht="16" x14ac:dyDescent="0.2">
      <c r="A1870" s="130" t="s">
        <v>3909</v>
      </c>
      <c r="B1870" t="s">
        <v>191</v>
      </c>
      <c r="C1870" t="s">
        <v>2419</v>
      </c>
      <c r="D1870" t="s">
        <v>2420</v>
      </c>
      <c r="E1870">
        <v>3</v>
      </c>
      <c r="F1870">
        <v>3</v>
      </c>
      <c r="G1870">
        <v>1</v>
      </c>
      <c r="H1870">
        <v>2.4854824899957202</v>
      </c>
      <c r="I1870" t="s">
        <v>957</v>
      </c>
      <c r="J1870" t="s">
        <v>4206</v>
      </c>
      <c r="K1870">
        <v>0.17857142857142899</v>
      </c>
      <c r="L1870" t="s">
        <v>959</v>
      </c>
      <c r="M1870">
        <v>9.4890510948905096</v>
      </c>
      <c r="N1870" t="s">
        <v>987</v>
      </c>
      <c r="O1870">
        <v>0</v>
      </c>
      <c r="P1870">
        <v>0</v>
      </c>
      <c r="Q1870">
        <v>0</v>
      </c>
      <c r="R1870">
        <v>0</v>
      </c>
    </row>
    <row r="1871" spans="1:18" ht="16" x14ac:dyDescent="0.2">
      <c r="A1871" s="130" t="s">
        <v>3909</v>
      </c>
      <c r="B1871" t="s">
        <v>191</v>
      </c>
      <c r="C1871" t="s">
        <v>1802</v>
      </c>
      <c r="D1871" t="s">
        <v>1803</v>
      </c>
      <c r="E1871">
        <v>4</v>
      </c>
      <c r="F1871">
        <v>4</v>
      </c>
      <c r="G1871">
        <v>1</v>
      </c>
      <c r="H1871">
        <v>2.29222229889697</v>
      </c>
      <c r="I1871" t="s">
        <v>957</v>
      </c>
      <c r="J1871" t="s">
        <v>4861</v>
      </c>
      <c r="K1871">
        <v>0.1</v>
      </c>
      <c r="L1871" t="s">
        <v>959</v>
      </c>
      <c r="M1871">
        <v>6.5693430656934302</v>
      </c>
      <c r="N1871" t="s">
        <v>960</v>
      </c>
      <c r="O1871">
        <v>0</v>
      </c>
      <c r="P1871">
        <v>0</v>
      </c>
      <c r="Q1871">
        <v>0</v>
      </c>
      <c r="R1871">
        <v>0</v>
      </c>
    </row>
    <row r="1872" spans="1:18" ht="16" x14ac:dyDescent="0.2">
      <c r="A1872" s="130" t="s">
        <v>3909</v>
      </c>
      <c r="B1872" t="s">
        <v>191</v>
      </c>
      <c r="C1872" t="s">
        <v>2929</v>
      </c>
      <c r="D1872" t="s">
        <v>2930</v>
      </c>
      <c r="E1872" t="s">
        <v>2857</v>
      </c>
      <c r="F1872">
        <v>6</v>
      </c>
      <c r="G1872">
        <v>2</v>
      </c>
      <c r="H1872">
        <v>2.6276189549245599</v>
      </c>
      <c r="I1872" t="s">
        <v>957</v>
      </c>
      <c r="J1872" t="s">
        <v>4273</v>
      </c>
      <c r="K1872">
        <v>0.31034482758620702</v>
      </c>
      <c r="L1872" t="s">
        <v>972</v>
      </c>
      <c r="M1872">
        <v>2.1897810218978102</v>
      </c>
      <c r="N1872" t="s">
        <v>973</v>
      </c>
      <c r="O1872">
        <v>0</v>
      </c>
      <c r="P1872">
        <v>0</v>
      </c>
      <c r="Q1872">
        <v>0</v>
      </c>
      <c r="R1872">
        <v>0</v>
      </c>
    </row>
    <row r="1873" spans="1:18" ht="16" x14ac:dyDescent="0.2">
      <c r="A1873" s="130" t="s">
        <v>3909</v>
      </c>
      <c r="B1873" t="s">
        <v>191</v>
      </c>
      <c r="C1873" t="s">
        <v>3830</v>
      </c>
      <c r="D1873" t="s">
        <v>3831</v>
      </c>
      <c r="E1873">
        <v>4</v>
      </c>
      <c r="F1873">
        <v>4</v>
      </c>
      <c r="G1873">
        <v>1</v>
      </c>
      <c r="H1873">
        <v>2.81306473411238</v>
      </c>
      <c r="I1873" t="s">
        <v>957</v>
      </c>
      <c r="J1873" t="s">
        <v>4389</v>
      </c>
      <c r="K1873">
        <v>0.17142857142857101</v>
      </c>
      <c r="L1873" t="s">
        <v>959</v>
      </c>
      <c r="M1873">
        <v>8.7591240875912408</v>
      </c>
      <c r="N1873" t="s">
        <v>960</v>
      </c>
      <c r="O1873">
        <v>0</v>
      </c>
      <c r="P1873">
        <v>0</v>
      </c>
      <c r="Q1873">
        <v>0</v>
      </c>
      <c r="R1873">
        <v>0</v>
      </c>
    </row>
    <row r="1874" spans="1:18" ht="16" x14ac:dyDescent="0.2">
      <c r="A1874" s="130" t="s">
        <v>3909</v>
      </c>
      <c r="B1874" t="s">
        <v>191</v>
      </c>
      <c r="C1874" t="s">
        <v>2904</v>
      </c>
      <c r="D1874" t="s">
        <v>2905</v>
      </c>
      <c r="E1874" t="s">
        <v>1442</v>
      </c>
      <c r="F1874">
        <v>5</v>
      </c>
      <c r="G1874">
        <v>2</v>
      </c>
      <c r="H1874">
        <v>1.15407466111574</v>
      </c>
      <c r="I1874" t="s">
        <v>957</v>
      </c>
      <c r="J1874" t="s">
        <v>4500</v>
      </c>
      <c r="K1874">
        <v>0.34482758620689702</v>
      </c>
      <c r="L1874" t="s">
        <v>972</v>
      </c>
      <c r="M1874">
        <v>7.2992700729926998</v>
      </c>
      <c r="N1874" t="s">
        <v>973</v>
      </c>
      <c r="O1874">
        <v>0</v>
      </c>
      <c r="P1874">
        <v>0</v>
      </c>
      <c r="Q1874">
        <v>0</v>
      </c>
      <c r="R1874">
        <v>0</v>
      </c>
    </row>
    <row r="1875" spans="1:18" ht="16" x14ac:dyDescent="0.2">
      <c r="A1875" s="130" t="s">
        <v>3909</v>
      </c>
      <c r="B1875" t="s">
        <v>191</v>
      </c>
      <c r="C1875" t="s">
        <v>3972</v>
      </c>
      <c r="D1875" t="s">
        <v>3973</v>
      </c>
      <c r="E1875" t="s">
        <v>1074</v>
      </c>
      <c r="F1875">
        <v>6</v>
      </c>
      <c r="G1875">
        <v>2</v>
      </c>
      <c r="H1875">
        <v>3.4756912764444801</v>
      </c>
      <c r="I1875" t="s">
        <v>957</v>
      </c>
      <c r="J1875" t="s">
        <v>3995</v>
      </c>
      <c r="K1875">
        <v>0.10344827586206901</v>
      </c>
      <c r="L1875" t="s">
        <v>972</v>
      </c>
      <c r="M1875">
        <v>3.6496350364963499</v>
      </c>
      <c r="N1875" t="s">
        <v>973</v>
      </c>
      <c r="O1875">
        <v>0</v>
      </c>
      <c r="P1875">
        <v>0</v>
      </c>
      <c r="Q1875">
        <v>0</v>
      </c>
      <c r="R1875">
        <v>0</v>
      </c>
    </row>
    <row r="1876" spans="1:18" ht="16" x14ac:dyDescent="0.2">
      <c r="A1876" s="130" t="s">
        <v>3909</v>
      </c>
      <c r="B1876" t="s">
        <v>191</v>
      </c>
      <c r="C1876" t="s">
        <v>1525</v>
      </c>
      <c r="D1876" t="s">
        <v>1526</v>
      </c>
      <c r="E1876" t="s">
        <v>1442</v>
      </c>
      <c r="F1876">
        <v>5</v>
      </c>
      <c r="G1876">
        <v>2</v>
      </c>
      <c r="H1876">
        <v>1.1630086205730401</v>
      </c>
      <c r="I1876" t="s">
        <v>957</v>
      </c>
      <c r="J1876" t="s">
        <v>4202</v>
      </c>
      <c r="K1876">
        <v>0.20689655172413801</v>
      </c>
      <c r="L1876" t="s">
        <v>972</v>
      </c>
      <c r="M1876">
        <v>2.1897810218978102</v>
      </c>
      <c r="N1876" t="s">
        <v>973</v>
      </c>
      <c r="O1876">
        <v>0</v>
      </c>
      <c r="P1876">
        <v>0</v>
      </c>
      <c r="Q1876">
        <v>0</v>
      </c>
      <c r="R1876">
        <v>0</v>
      </c>
    </row>
    <row r="1877" spans="1:18" ht="16" x14ac:dyDescent="0.2">
      <c r="A1877" s="130" t="s">
        <v>3909</v>
      </c>
      <c r="B1877" t="s">
        <v>191</v>
      </c>
      <c r="C1877" t="s">
        <v>3781</v>
      </c>
      <c r="D1877" t="s">
        <v>3782</v>
      </c>
      <c r="E1877" t="s">
        <v>1039</v>
      </c>
      <c r="F1877">
        <v>3</v>
      </c>
      <c r="G1877">
        <v>2</v>
      </c>
      <c r="H1877">
        <v>2.3686148720246001</v>
      </c>
      <c r="I1877" t="s">
        <v>957</v>
      </c>
      <c r="J1877" t="s">
        <v>4893</v>
      </c>
      <c r="K1877">
        <v>0.221428571428571</v>
      </c>
      <c r="L1877" t="s">
        <v>959</v>
      </c>
      <c r="M1877">
        <v>6.5693430656934302</v>
      </c>
      <c r="N1877" t="s">
        <v>960</v>
      </c>
      <c r="O1877">
        <v>0</v>
      </c>
      <c r="P1877">
        <v>0</v>
      </c>
      <c r="Q1877">
        <v>0</v>
      </c>
      <c r="R1877">
        <v>0</v>
      </c>
    </row>
    <row r="1878" spans="1:18" ht="16" x14ac:dyDescent="0.2">
      <c r="A1878" s="130" t="s">
        <v>3909</v>
      </c>
      <c r="B1878" t="s">
        <v>191</v>
      </c>
      <c r="C1878" t="s">
        <v>4949</v>
      </c>
      <c r="D1878" t="s">
        <v>4950</v>
      </c>
      <c r="E1878" t="s">
        <v>1432</v>
      </c>
      <c r="F1878">
        <v>6</v>
      </c>
      <c r="G1878">
        <v>2</v>
      </c>
      <c r="H1878">
        <v>4.0093245490818399</v>
      </c>
      <c r="I1878" t="s">
        <v>957</v>
      </c>
      <c r="J1878" t="s">
        <v>4951</v>
      </c>
      <c r="K1878">
        <v>0.27586206896551702</v>
      </c>
      <c r="L1878" t="s">
        <v>972</v>
      </c>
      <c r="M1878">
        <v>0.72992700729926996</v>
      </c>
      <c r="N1878" t="s">
        <v>973</v>
      </c>
      <c r="O1878">
        <v>0</v>
      </c>
      <c r="P1878">
        <v>0</v>
      </c>
      <c r="Q1878">
        <v>0</v>
      </c>
      <c r="R1878">
        <v>0</v>
      </c>
    </row>
    <row r="1879" spans="1:18" ht="16" x14ac:dyDescent="0.2">
      <c r="A1879" s="130" t="s">
        <v>3909</v>
      </c>
      <c r="B1879" t="s">
        <v>191</v>
      </c>
      <c r="C1879" t="s">
        <v>2446</v>
      </c>
      <c r="D1879" t="s">
        <v>4441</v>
      </c>
      <c r="E1879">
        <v>3</v>
      </c>
      <c r="F1879">
        <v>3</v>
      </c>
      <c r="G1879">
        <v>1</v>
      </c>
      <c r="H1879">
        <v>3.6172583097600999</v>
      </c>
      <c r="I1879" t="s">
        <v>957</v>
      </c>
      <c r="J1879" t="s">
        <v>4937</v>
      </c>
      <c r="K1879">
        <v>7.8571428571428598E-2</v>
      </c>
      <c r="L1879" t="s">
        <v>959</v>
      </c>
      <c r="M1879">
        <v>3.6496350364963499</v>
      </c>
      <c r="N1879" t="s">
        <v>960</v>
      </c>
      <c r="O1879">
        <v>0</v>
      </c>
      <c r="P1879">
        <v>0</v>
      </c>
      <c r="Q1879">
        <v>0</v>
      </c>
      <c r="R1879">
        <v>0</v>
      </c>
    </row>
    <row r="1880" spans="1:18" ht="16" x14ac:dyDescent="0.2">
      <c r="A1880" s="130" t="s">
        <v>3909</v>
      </c>
      <c r="B1880" t="s">
        <v>191</v>
      </c>
      <c r="C1880" t="s">
        <v>1315</v>
      </c>
      <c r="D1880" t="s">
        <v>1316</v>
      </c>
      <c r="E1880">
        <v>3</v>
      </c>
      <c r="F1880">
        <v>3</v>
      </c>
      <c r="G1880">
        <v>1</v>
      </c>
      <c r="H1880">
        <v>2.4911939904857601</v>
      </c>
      <c r="I1880" t="s">
        <v>957</v>
      </c>
      <c r="J1880" t="s">
        <v>4082</v>
      </c>
      <c r="K1880">
        <v>0.107142857142857</v>
      </c>
      <c r="L1880" t="s">
        <v>959</v>
      </c>
      <c r="M1880">
        <v>4.3795620437956204</v>
      </c>
      <c r="N1880" t="s">
        <v>960</v>
      </c>
      <c r="O1880">
        <v>0</v>
      </c>
      <c r="P1880">
        <v>0</v>
      </c>
      <c r="Q1880">
        <v>0</v>
      </c>
      <c r="R1880">
        <v>0</v>
      </c>
    </row>
    <row r="1881" spans="1:18" ht="16" x14ac:dyDescent="0.2">
      <c r="A1881" s="130" t="s">
        <v>3909</v>
      </c>
      <c r="B1881" t="s">
        <v>191</v>
      </c>
      <c r="C1881" t="s">
        <v>3308</v>
      </c>
      <c r="D1881" t="s">
        <v>3309</v>
      </c>
      <c r="E1881">
        <v>5</v>
      </c>
      <c r="F1881">
        <v>5</v>
      </c>
      <c r="G1881">
        <v>1</v>
      </c>
      <c r="H1881">
        <v>3.9020552443459802</v>
      </c>
      <c r="I1881" t="s">
        <v>957</v>
      </c>
      <c r="J1881" t="s">
        <v>3310</v>
      </c>
      <c r="K1881">
        <v>7.8571428571428598E-2</v>
      </c>
      <c r="L1881" t="s">
        <v>959</v>
      </c>
      <c r="M1881">
        <v>3.6496350364963499</v>
      </c>
      <c r="N1881" t="s">
        <v>960</v>
      </c>
      <c r="O1881">
        <v>0</v>
      </c>
      <c r="P1881">
        <v>0</v>
      </c>
      <c r="Q1881">
        <v>0</v>
      </c>
      <c r="R1881">
        <v>0</v>
      </c>
    </row>
    <row r="1882" spans="1:18" ht="16" x14ac:dyDescent="0.2">
      <c r="A1882" s="130" t="s">
        <v>3909</v>
      </c>
      <c r="B1882" t="s">
        <v>195</v>
      </c>
      <c r="C1882" t="s">
        <v>4106</v>
      </c>
      <c r="D1882" t="s">
        <v>4107</v>
      </c>
      <c r="E1882" t="s">
        <v>985</v>
      </c>
      <c r="F1882">
        <v>7</v>
      </c>
      <c r="G1882">
        <v>2</v>
      </c>
      <c r="H1882">
        <v>3.53697438016883</v>
      </c>
      <c r="I1882" t="s">
        <v>957</v>
      </c>
      <c r="J1882" t="s">
        <v>4237</v>
      </c>
      <c r="K1882">
        <v>0.34482758620689702</v>
      </c>
      <c r="L1882" t="s">
        <v>972</v>
      </c>
      <c r="M1882">
        <v>2.1897810218978102</v>
      </c>
      <c r="N1882" t="s">
        <v>973</v>
      </c>
      <c r="O1882">
        <v>0</v>
      </c>
      <c r="P1882">
        <v>0</v>
      </c>
      <c r="Q1882">
        <v>0</v>
      </c>
      <c r="R1882">
        <v>0</v>
      </c>
    </row>
    <row r="1883" spans="1:18" ht="16" x14ac:dyDescent="0.2">
      <c r="A1883" s="130" t="s">
        <v>3909</v>
      </c>
      <c r="B1883" t="s">
        <v>195</v>
      </c>
      <c r="C1883" t="s">
        <v>2310</v>
      </c>
      <c r="D1883" t="s">
        <v>2311</v>
      </c>
      <c r="E1883">
        <v>3</v>
      </c>
      <c r="F1883">
        <v>3</v>
      </c>
      <c r="G1883">
        <v>1</v>
      </c>
      <c r="H1883">
        <v>2.2289566300329402</v>
      </c>
      <c r="I1883" t="s">
        <v>957</v>
      </c>
      <c r="J1883" t="s">
        <v>4723</v>
      </c>
      <c r="K1883">
        <v>0.128571428571429</v>
      </c>
      <c r="L1883" t="s">
        <v>959</v>
      </c>
      <c r="M1883">
        <v>8.7591240875912408</v>
      </c>
      <c r="N1883" t="s">
        <v>987</v>
      </c>
      <c r="O1883">
        <v>0</v>
      </c>
      <c r="P1883">
        <v>0</v>
      </c>
      <c r="Q1883">
        <v>0</v>
      </c>
      <c r="R1883">
        <v>0</v>
      </c>
    </row>
    <row r="1884" spans="1:18" ht="16" x14ac:dyDescent="0.2">
      <c r="A1884" s="130" t="s">
        <v>3909</v>
      </c>
      <c r="B1884" t="s">
        <v>195</v>
      </c>
      <c r="C1884" t="s">
        <v>1584</v>
      </c>
      <c r="D1884" t="s">
        <v>1585</v>
      </c>
      <c r="E1884">
        <v>4</v>
      </c>
      <c r="F1884">
        <v>4</v>
      </c>
      <c r="G1884">
        <v>1</v>
      </c>
      <c r="H1884">
        <v>1.54034657073792</v>
      </c>
      <c r="I1884" t="s">
        <v>957</v>
      </c>
      <c r="J1884" t="s">
        <v>4731</v>
      </c>
      <c r="K1884">
        <v>0.23529411764705899</v>
      </c>
      <c r="L1884" t="s">
        <v>1099</v>
      </c>
      <c r="M1884">
        <v>2.9197080291970798</v>
      </c>
      <c r="N1884" t="s">
        <v>973</v>
      </c>
      <c r="O1884">
        <v>0</v>
      </c>
      <c r="P1884">
        <v>0</v>
      </c>
      <c r="Q1884">
        <v>0</v>
      </c>
      <c r="R1884">
        <v>0</v>
      </c>
    </row>
    <row r="1885" spans="1:18" ht="16" x14ac:dyDescent="0.2">
      <c r="A1885" s="130" t="s">
        <v>3909</v>
      </c>
      <c r="B1885" t="s">
        <v>195</v>
      </c>
      <c r="C1885" t="s">
        <v>2773</v>
      </c>
      <c r="D1885" t="s">
        <v>2774</v>
      </c>
      <c r="E1885">
        <v>3</v>
      </c>
      <c r="F1885">
        <v>3</v>
      </c>
      <c r="G1885">
        <v>1</v>
      </c>
      <c r="H1885">
        <v>3.9853380190986298</v>
      </c>
      <c r="I1885" t="s">
        <v>957</v>
      </c>
      <c r="J1885" t="s">
        <v>4748</v>
      </c>
      <c r="K1885">
        <v>0.20714285714285699</v>
      </c>
      <c r="L1885" t="s">
        <v>959</v>
      </c>
      <c r="M1885">
        <v>8.0291970802919703</v>
      </c>
      <c r="N1885" t="s">
        <v>960</v>
      </c>
      <c r="O1885">
        <v>0</v>
      </c>
      <c r="P1885">
        <v>0</v>
      </c>
      <c r="Q1885">
        <v>0</v>
      </c>
      <c r="R1885">
        <v>0</v>
      </c>
    </row>
    <row r="1886" spans="1:18" ht="16" x14ac:dyDescent="0.2">
      <c r="A1886" s="130" t="s">
        <v>3909</v>
      </c>
      <c r="B1886" t="s">
        <v>195</v>
      </c>
      <c r="C1886" t="s">
        <v>1054</v>
      </c>
      <c r="D1886" t="s">
        <v>4909</v>
      </c>
      <c r="E1886" t="s">
        <v>4910</v>
      </c>
      <c r="F1886">
        <v>38</v>
      </c>
      <c r="G1886">
        <v>2</v>
      </c>
      <c r="H1886">
        <v>1.4641147637677101</v>
      </c>
      <c r="I1886" t="s">
        <v>957</v>
      </c>
      <c r="J1886" t="s">
        <v>4911</v>
      </c>
      <c r="K1886">
        <v>0.37931034482758602</v>
      </c>
      <c r="L1886" t="s">
        <v>972</v>
      </c>
      <c r="M1886">
        <v>5.10948905109489</v>
      </c>
      <c r="N1886" t="s">
        <v>973</v>
      </c>
      <c r="O1886">
        <v>0</v>
      </c>
      <c r="P1886">
        <v>0</v>
      </c>
      <c r="Q1886">
        <v>0</v>
      </c>
      <c r="R1886">
        <v>0</v>
      </c>
    </row>
    <row r="1887" spans="1:18" ht="16" x14ac:dyDescent="0.2">
      <c r="A1887" s="130" t="s">
        <v>3909</v>
      </c>
      <c r="B1887" t="s">
        <v>195</v>
      </c>
      <c r="C1887" t="s">
        <v>3755</v>
      </c>
      <c r="D1887" t="s">
        <v>3756</v>
      </c>
      <c r="E1887" t="s">
        <v>4307</v>
      </c>
      <c r="F1887">
        <v>28</v>
      </c>
      <c r="G1887">
        <v>2</v>
      </c>
      <c r="H1887">
        <v>1.4487543110691901</v>
      </c>
      <c r="I1887" t="s">
        <v>957</v>
      </c>
      <c r="J1887" t="s">
        <v>4308</v>
      </c>
      <c r="K1887">
        <v>0.37931034482758602</v>
      </c>
      <c r="L1887" t="s">
        <v>972</v>
      </c>
      <c r="M1887">
        <v>5.10948905109489</v>
      </c>
      <c r="N1887" t="s">
        <v>973</v>
      </c>
      <c r="O1887">
        <v>0</v>
      </c>
      <c r="P1887">
        <v>0</v>
      </c>
      <c r="Q1887">
        <v>0</v>
      </c>
      <c r="R1887">
        <v>0</v>
      </c>
    </row>
    <row r="1888" spans="1:18" ht="16" x14ac:dyDescent="0.2">
      <c r="A1888" s="130" t="s">
        <v>3909</v>
      </c>
      <c r="B1888" t="s">
        <v>195</v>
      </c>
      <c r="C1888" t="s">
        <v>3600</v>
      </c>
      <c r="D1888" t="s">
        <v>3601</v>
      </c>
      <c r="E1888">
        <v>3</v>
      </c>
      <c r="F1888">
        <v>3</v>
      </c>
      <c r="G1888">
        <v>1</v>
      </c>
      <c r="H1888">
        <v>2.8493081091786001</v>
      </c>
      <c r="I1888" t="s">
        <v>957</v>
      </c>
      <c r="J1888" t="s">
        <v>4469</v>
      </c>
      <c r="K1888">
        <v>0.114285714285714</v>
      </c>
      <c r="L1888" t="s">
        <v>959</v>
      </c>
      <c r="M1888">
        <v>4.3795620437956204</v>
      </c>
      <c r="N1888" t="s">
        <v>960</v>
      </c>
      <c r="O1888">
        <v>0</v>
      </c>
      <c r="P1888">
        <v>0</v>
      </c>
      <c r="Q1888">
        <v>0</v>
      </c>
      <c r="R1888">
        <v>0</v>
      </c>
    </row>
    <row r="1889" spans="1:18" ht="16" x14ac:dyDescent="0.2">
      <c r="A1889" s="130" t="s">
        <v>3909</v>
      </c>
      <c r="B1889" t="s">
        <v>195</v>
      </c>
      <c r="C1889" t="s">
        <v>4262</v>
      </c>
      <c r="D1889" t="s">
        <v>4263</v>
      </c>
      <c r="E1889" t="s">
        <v>4325</v>
      </c>
      <c r="F1889">
        <v>29</v>
      </c>
      <c r="G1889">
        <v>2</v>
      </c>
      <c r="H1889">
        <v>1.33272759913594</v>
      </c>
      <c r="I1889" t="s">
        <v>957</v>
      </c>
      <c r="J1889" t="s">
        <v>4285</v>
      </c>
      <c r="K1889">
        <v>0.55172413793103403</v>
      </c>
      <c r="L1889" t="s">
        <v>972</v>
      </c>
      <c r="M1889">
        <v>5.8394160583941597</v>
      </c>
      <c r="N1889" t="s">
        <v>973</v>
      </c>
      <c r="O1889">
        <v>0</v>
      </c>
      <c r="P1889">
        <v>0</v>
      </c>
      <c r="Q1889">
        <v>0</v>
      </c>
      <c r="R1889">
        <v>0</v>
      </c>
    </row>
    <row r="1890" spans="1:18" ht="16" x14ac:dyDescent="0.2">
      <c r="A1890" s="130" t="s">
        <v>3909</v>
      </c>
      <c r="B1890" t="s">
        <v>195</v>
      </c>
      <c r="C1890" t="s">
        <v>2488</v>
      </c>
      <c r="D1890" t="s">
        <v>2489</v>
      </c>
      <c r="E1890">
        <v>3</v>
      </c>
      <c r="F1890">
        <v>3</v>
      </c>
      <c r="G1890">
        <v>1</v>
      </c>
      <c r="H1890">
        <v>2.4143700983194298</v>
      </c>
      <c r="I1890" t="s">
        <v>957</v>
      </c>
      <c r="J1890" t="s">
        <v>4741</v>
      </c>
      <c r="K1890">
        <v>0.114285714285714</v>
      </c>
      <c r="L1890" t="s">
        <v>959</v>
      </c>
      <c r="M1890">
        <v>5.10948905109489</v>
      </c>
      <c r="N1890" t="s">
        <v>960</v>
      </c>
      <c r="O1890">
        <v>0</v>
      </c>
      <c r="P1890">
        <v>0</v>
      </c>
      <c r="Q1890">
        <v>0</v>
      </c>
      <c r="R1890">
        <v>0</v>
      </c>
    </row>
    <row r="1891" spans="1:18" ht="16" x14ac:dyDescent="0.2">
      <c r="A1891" s="130" t="s">
        <v>3909</v>
      </c>
      <c r="B1891" t="s">
        <v>199</v>
      </c>
      <c r="C1891" t="s">
        <v>2356</v>
      </c>
      <c r="D1891" t="s">
        <v>2357</v>
      </c>
      <c r="E1891">
        <v>3</v>
      </c>
      <c r="F1891">
        <v>3</v>
      </c>
      <c r="G1891">
        <v>1</v>
      </c>
      <c r="H1891">
        <v>3.8993727878345199</v>
      </c>
      <c r="I1891" t="s">
        <v>957</v>
      </c>
      <c r="J1891" t="s">
        <v>4956</v>
      </c>
      <c r="K1891">
        <v>0.15</v>
      </c>
      <c r="L1891" t="s">
        <v>959</v>
      </c>
      <c r="M1891">
        <v>2.9197080291970798</v>
      </c>
      <c r="N1891" t="s">
        <v>960</v>
      </c>
      <c r="O1891" t="s">
        <v>5018</v>
      </c>
      <c r="P1891">
        <v>0</v>
      </c>
      <c r="Q1891">
        <v>0</v>
      </c>
      <c r="R1891">
        <v>0</v>
      </c>
    </row>
    <row r="1892" spans="1:18" ht="16" x14ac:dyDescent="0.2">
      <c r="A1892" s="130" t="s">
        <v>3909</v>
      </c>
      <c r="B1892" t="s">
        <v>199</v>
      </c>
      <c r="C1892" t="s">
        <v>2400</v>
      </c>
      <c r="D1892" t="s">
        <v>2401</v>
      </c>
      <c r="E1892">
        <v>3</v>
      </c>
      <c r="F1892">
        <v>3</v>
      </c>
      <c r="G1892">
        <v>1</v>
      </c>
      <c r="H1892">
        <v>0.55549138099322404</v>
      </c>
      <c r="I1892" t="s">
        <v>957</v>
      </c>
      <c r="J1892" t="s">
        <v>2402</v>
      </c>
      <c r="K1892">
        <v>0.05</v>
      </c>
      <c r="L1892" t="s">
        <v>959</v>
      </c>
      <c r="M1892">
        <v>2.9197080291970798</v>
      </c>
      <c r="N1892" t="s">
        <v>960</v>
      </c>
      <c r="O1892" t="s">
        <v>5018</v>
      </c>
      <c r="P1892">
        <v>0</v>
      </c>
      <c r="Q1892">
        <v>0</v>
      </c>
      <c r="R1892">
        <v>0</v>
      </c>
    </row>
    <row r="1893" spans="1:18" ht="16" x14ac:dyDescent="0.2">
      <c r="A1893" s="130" t="s">
        <v>3909</v>
      </c>
      <c r="B1893" t="s">
        <v>199</v>
      </c>
      <c r="C1893" t="s">
        <v>1197</v>
      </c>
      <c r="D1893" t="s">
        <v>1198</v>
      </c>
      <c r="E1893" t="s">
        <v>1022</v>
      </c>
      <c r="F1893">
        <v>3</v>
      </c>
      <c r="G1893">
        <v>2</v>
      </c>
      <c r="H1893">
        <v>3.14543775970502</v>
      </c>
      <c r="I1893" t="s">
        <v>957</v>
      </c>
      <c r="J1893" t="s">
        <v>3855</v>
      </c>
      <c r="K1893">
        <v>0.17142857142857101</v>
      </c>
      <c r="L1893" t="s">
        <v>959</v>
      </c>
      <c r="M1893">
        <v>5.8394160583941597</v>
      </c>
      <c r="N1893" t="s">
        <v>960</v>
      </c>
      <c r="O1893" t="s">
        <v>5018</v>
      </c>
      <c r="P1893">
        <v>0</v>
      </c>
      <c r="Q1893">
        <v>0</v>
      </c>
      <c r="R1893">
        <v>0</v>
      </c>
    </row>
    <row r="1894" spans="1:18" ht="16" x14ac:dyDescent="0.2">
      <c r="A1894" s="130" t="s">
        <v>3909</v>
      </c>
      <c r="B1894" t="s">
        <v>199</v>
      </c>
      <c r="C1894" t="s">
        <v>1480</v>
      </c>
      <c r="D1894" t="s">
        <v>2208</v>
      </c>
      <c r="E1894">
        <v>3</v>
      </c>
      <c r="F1894">
        <v>3</v>
      </c>
      <c r="G1894">
        <v>1</v>
      </c>
      <c r="H1894">
        <v>1.3673161262628599</v>
      </c>
      <c r="I1894" t="s">
        <v>957</v>
      </c>
      <c r="J1894" t="s">
        <v>4613</v>
      </c>
      <c r="K1894">
        <v>0.13571428571428601</v>
      </c>
      <c r="L1894" t="s">
        <v>959</v>
      </c>
      <c r="M1894">
        <v>8.0291970802919703</v>
      </c>
      <c r="N1894" t="s">
        <v>960</v>
      </c>
      <c r="O1894" t="s">
        <v>5018</v>
      </c>
      <c r="P1894">
        <v>0</v>
      </c>
      <c r="Q1894">
        <v>0</v>
      </c>
      <c r="R1894" t="s">
        <v>5019</v>
      </c>
    </row>
    <row r="1895" spans="1:18" ht="16" x14ac:dyDescent="0.2">
      <c r="A1895" s="130" t="s">
        <v>3909</v>
      </c>
      <c r="B1895" t="s">
        <v>199</v>
      </c>
      <c r="C1895" t="s">
        <v>1649</v>
      </c>
      <c r="D1895" t="s">
        <v>1650</v>
      </c>
      <c r="E1895" t="s">
        <v>1039</v>
      </c>
      <c r="F1895">
        <v>3</v>
      </c>
      <c r="G1895">
        <v>2</v>
      </c>
      <c r="H1895">
        <v>2.5655407312427698</v>
      </c>
      <c r="I1895" t="s">
        <v>957</v>
      </c>
      <c r="J1895" t="s">
        <v>4420</v>
      </c>
      <c r="K1895">
        <v>0.2</v>
      </c>
      <c r="L1895" t="s">
        <v>959</v>
      </c>
      <c r="M1895">
        <v>8.7591240875912408</v>
      </c>
      <c r="N1895" t="s">
        <v>960</v>
      </c>
      <c r="O1895" t="s">
        <v>5018</v>
      </c>
      <c r="P1895">
        <v>0</v>
      </c>
      <c r="Q1895">
        <v>0</v>
      </c>
      <c r="R1895">
        <v>0</v>
      </c>
    </row>
    <row r="1896" spans="1:18" ht="16" x14ac:dyDescent="0.2">
      <c r="A1896" s="130" t="s">
        <v>3909</v>
      </c>
      <c r="B1896" t="s">
        <v>199</v>
      </c>
      <c r="C1896" t="s">
        <v>1902</v>
      </c>
      <c r="D1896" t="s">
        <v>4427</v>
      </c>
      <c r="E1896" t="s">
        <v>1039</v>
      </c>
      <c r="F1896">
        <v>3</v>
      </c>
      <c r="G1896">
        <v>2</v>
      </c>
      <c r="H1896">
        <v>5.6898619550916997E-2</v>
      </c>
      <c r="I1896" t="s">
        <v>957</v>
      </c>
      <c r="J1896" t="s">
        <v>4428</v>
      </c>
      <c r="K1896">
        <v>0.107142857142857</v>
      </c>
      <c r="L1896" t="s">
        <v>959</v>
      </c>
      <c r="M1896">
        <v>2.9197080291970798</v>
      </c>
      <c r="N1896" t="s">
        <v>960</v>
      </c>
      <c r="O1896" t="s">
        <v>5018</v>
      </c>
      <c r="P1896">
        <v>0</v>
      </c>
      <c r="Q1896">
        <v>0</v>
      </c>
      <c r="R1896">
        <v>0</v>
      </c>
    </row>
    <row r="1897" spans="1:18" ht="16" x14ac:dyDescent="0.2">
      <c r="A1897" s="130" t="s">
        <v>3909</v>
      </c>
      <c r="B1897" t="s">
        <v>199</v>
      </c>
      <c r="C1897" t="s">
        <v>3524</v>
      </c>
      <c r="D1897" t="s">
        <v>3525</v>
      </c>
      <c r="E1897" t="s">
        <v>1769</v>
      </c>
      <c r="F1897">
        <v>16</v>
      </c>
      <c r="G1897">
        <v>3</v>
      </c>
      <c r="H1897">
        <v>1.8951697734320601</v>
      </c>
      <c r="I1897" t="s">
        <v>957</v>
      </c>
      <c r="J1897" t="s">
        <v>4652</v>
      </c>
      <c r="K1897">
        <v>4.2857142857142899E-2</v>
      </c>
      <c r="L1897" t="s">
        <v>959</v>
      </c>
      <c r="M1897">
        <v>5.8394160583941597</v>
      </c>
      <c r="N1897" t="s">
        <v>960</v>
      </c>
      <c r="O1897" t="s">
        <v>5018</v>
      </c>
      <c r="P1897">
        <v>0</v>
      </c>
      <c r="Q1897">
        <v>0</v>
      </c>
      <c r="R1897">
        <v>0</v>
      </c>
    </row>
    <row r="1898" spans="1:18" ht="16" x14ac:dyDescent="0.2">
      <c r="A1898" s="130" t="s">
        <v>3909</v>
      </c>
      <c r="B1898" t="s">
        <v>199</v>
      </c>
      <c r="C1898" t="s">
        <v>1748</v>
      </c>
      <c r="D1898" t="s">
        <v>1749</v>
      </c>
      <c r="E1898" t="s">
        <v>1052</v>
      </c>
      <c r="F1898">
        <v>2</v>
      </c>
      <c r="G1898">
        <v>2</v>
      </c>
      <c r="H1898">
        <v>2.3781590626373101</v>
      </c>
      <c r="I1898" t="s">
        <v>957</v>
      </c>
      <c r="J1898" t="s">
        <v>4940</v>
      </c>
      <c r="K1898">
        <v>0.114285714285714</v>
      </c>
      <c r="L1898" t="s">
        <v>959</v>
      </c>
      <c r="M1898">
        <v>6.5693430656934302</v>
      </c>
      <c r="N1898" t="s">
        <v>960</v>
      </c>
      <c r="O1898" t="s">
        <v>5018</v>
      </c>
      <c r="P1898">
        <v>0</v>
      </c>
      <c r="Q1898">
        <v>0</v>
      </c>
      <c r="R1898">
        <v>0</v>
      </c>
    </row>
    <row r="1899" spans="1:18" ht="16" x14ac:dyDescent="0.2">
      <c r="A1899" s="130" t="s">
        <v>3909</v>
      </c>
      <c r="B1899" t="s">
        <v>203</v>
      </c>
      <c r="C1899" t="s">
        <v>1104</v>
      </c>
      <c r="D1899" t="s">
        <v>1105</v>
      </c>
      <c r="E1899">
        <v>3</v>
      </c>
      <c r="F1899">
        <v>3</v>
      </c>
      <c r="G1899">
        <v>1</v>
      </c>
      <c r="H1899">
        <v>3.5733177940040002</v>
      </c>
      <c r="I1899" t="s">
        <v>957</v>
      </c>
      <c r="J1899" t="s">
        <v>3940</v>
      </c>
      <c r="K1899">
        <v>4.2857142857142899E-2</v>
      </c>
      <c r="L1899" t="s">
        <v>959</v>
      </c>
      <c r="M1899">
        <v>2.1897810218978102</v>
      </c>
      <c r="N1899" t="s">
        <v>960</v>
      </c>
      <c r="O1899" t="s">
        <v>5018</v>
      </c>
      <c r="P1899">
        <v>0</v>
      </c>
      <c r="Q1899">
        <v>0</v>
      </c>
      <c r="R1899">
        <v>0</v>
      </c>
    </row>
    <row r="1900" spans="1:18" ht="16" x14ac:dyDescent="0.2">
      <c r="A1900" s="130" t="s">
        <v>3909</v>
      </c>
      <c r="B1900" t="s">
        <v>203</v>
      </c>
      <c r="C1900" t="s">
        <v>2169</v>
      </c>
      <c r="D1900" t="s">
        <v>4993</v>
      </c>
      <c r="E1900" t="s">
        <v>1059</v>
      </c>
      <c r="F1900">
        <v>4</v>
      </c>
      <c r="G1900">
        <v>2</v>
      </c>
      <c r="H1900">
        <v>3.3315455938746901</v>
      </c>
      <c r="I1900" t="s">
        <v>957</v>
      </c>
      <c r="J1900" t="s">
        <v>2172</v>
      </c>
      <c r="K1900">
        <v>1.4285714285714299E-2</v>
      </c>
      <c r="L1900" t="s">
        <v>959</v>
      </c>
      <c r="M1900">
        <v>1.4598540145985399</v>
      </c>
      <c r="N1900" t="s">
        <v>960</v>
      </c>
      <c r="O1900" t="s">
        <v>5018</v>
      </c>
      <c r="P1900" t="s">
        <v>5018</v>
      </c>
      <c r="Q1900">
        <v>0</v>
      </c>
      <c r="R1900">
        <v>0</v>
      </c>
    </row>
    <row r="1901" spans="1:18" ht="16" x14ac:dyDescent="0.2">
      <c r="A1901" s="130" t="s">
        <v>3909</v>
      </c>
      <c r="B1901" t="s">
        <v>203</v>
      </c>
      <c r="C1901" t="s">
        <v>1263</v>
      </c>
      <c r="D1901" t="s">
        <v>1264</v>
      </c>
      <c r="E1901" t="s">
        <v>1576</v>
      </c>
      <c r="F1901">
        <v>4</v>
      </c>
      <c r="G1901">
        <v>3</v>
      </c>
      <c r="H1901">
        <v>1.9371514492925399</v>
      </c>
      <c r="I1901" t="s">
        <v>957</v>
      </c>
      <c r="J1901" t="s">
        <v>4648</v>
      </c>
      <c r="K1901">
        <v>0.17142857142857101</v>
      </c>
      <c r="L1901" t="s">
        <v>959</v>
      </c>
      <c r="M1901">
        <v>4.3795620437956204</v>
      </c>
      <c r="N1901" t="s">
        <v>960</v>
      </c>
      <c r="O1901" t="s">
        <v>5018</v>
      </c>
      <c r="P1901">
        <v>0</v>
      </c>
      <c r="Q1901">
        <v>0</v>
      </c>
      <c r="R1901">
        <v>0</v>
      </c>
    </row>
    <row r="1902" spans="1:18" ht="16" x14ac:dyDescent="0.2">
      <c r="A1902" s="130" t="s">
        <v>3909</v>
      </c>
      <c r="B1902" t="s">
        <v>203</v>
      </c>
      <c r="C1902" t="s">
        <v>2877</v>
      </c>
      <c r="D1902" t="s">
        <v>2878</v>
      </c>
      <c r="E1902" t="s">
        <v>1692</v>
      </c>
      <c r="F1902">
        <v>5</v>
      </c>
      <c r="G1902">
        <v>2</v>
      </c>
      <c r="H1902">
        <v>3.0709876395079698</v>
      </c>
      <c r="I1902" t="s">
        <v>957</v>
      </c>
      <c r="J1902" t="s">
        <v>4142</v>
      </c>
      <c r="K1902">
        <v>0.128571428571429</v>
      </c>
      <c r="L1902" t="s">
        <v>959</v>
      </c>
      <c r="M1902">
        <v>9.4890510948905096</v>
      </c>
      <c r="N1902" t="s">
        <v>960</v>
      </c>
      <c r="O1902" t="s">
        <v>5018</v>
      </c>
      <c r="P1902" t="s">
        <v>5018</v>
      </c>
      <c r="Q1902">
        <v>0</v>
      </c>
      <c r="R1902">
        <v>0</v>
      </c>
    </row>
    <row r="1903" spans="1:18" ht="16" x14ac:dyDescent="0.2">
      <c r="A1903" s="130" t="s">
        <v>3909</v>
      </c>
      <c r="B1903" t="s">
        <v>207</v>
      </c>
      <c r="C1903" t="s">
        <v>997</v>
      </c>
      <c r="D1903" t="s">
        <v>998</v>
      </c>
      <c r="E1903">
        <v>4</v>
      </c>
      <c r="F1903">
        <v>4</v>
      </c>
      <c r="G1903">
        <v>1</v>
      </c>
      <c r="H1903">
        <v>2.2115816465462199</v>
      </c>
      <c r="I1903" t="s">
        <v>957</v>
      </c>
      <c r="J1903" t="s">
        <v>999</v>
      </c>
      <c r="K1903">
        <v>7.8571428571428598E-2</v>
      </c>
      <c r="L1903" t="s">
        <v>959</v>
      </c>
      <c r="M1903">
        <v>8.0291970802919703</v>
      </c>
      <c r="N1903" t="s">
        <v>960</v>
      </c>
      <c r="O1903">
        <v>0</v>
      </c>
      <c r="P1903">
        <v>0</v>
      </c>
      <c r="Q1903">
        <v>0</v>
      </c>
      <c r="R1903">
        <v>0</v>
      </c>
    </row>
    <row r="1904" spans="1:18" ht="16" x14ac:dyDescent="0.2">
      <c r="A1904" s="130" t="s">
        <v>3909</v>
      </c>
      <c r="B1904" t="s">
        <v>207</v>
      </c>
      <c r="C1904" t="s">
        <v>2641</v>
      </c>
      <c r="D1904" t="s">
        <v>2642</v>
      </c>
      <c r="E1904">
        <v>3</v>
      </c>
      <c r="F1904">
        <v>3</v>
      </c>
      <c r="G1904">
        <v>1</v>
      </c>
      <c r="H1904">
        <v>1.6871171862438099</v>
      </c>
      <c r="I1904" t="s">
        <v>957</v>
      </c>
      <c r="J1904" t="s">
        <v>4728</v>
      </c>
      <c r="K1904">
        <v>0.17857142857142899</v>
      </c>
      <c r="L1904" t="s">
        <v>959</v>
      </c>
      <c r="M1904">
        <v>8.0291970802919703</v>
      </c>
      <c r="N1904" t="s">
        <v>960</v>
      </c>
      <c r="O1904">
        <v>0</v>
      </c>
      <c r="P1904">
        <v>0</v>
      </c>
      <c r="Q1904">
        <v>0</v>
      </c>
      <c r="R1904">
        <v>0</v>
      </c>
    </row>
    <row r="1905" spans="1:18" ht="16" x14ac:dyDescent="0.2">
      <c r="A1905" s="130" t="s">
        <v>3909</v>
      </c>
      <c r="B1905" t="s">
        <v>207</v>
      </c>
      <c r="C1905" t="s">
        <v>1792</v>
      </c>
      <c r="D1905" t="s">
        <v>1793</v>
      </c>
      <c r="E1905">
        <v>4</v>
      </c>
      <c r="F1905">
        <v>4</v>
      </c>
      <c r="G1905">
        <v>1</v>
      </c>
      <c r="H1905">
        <v>2.1011167225082801</v>
      </c>
      <c r="I1905" t="s">
        <v>957</v>
      </c>
      <c r="J1905" t="s">
        <v>3993</v>
      </c>
      <c r="K1905">
        <v>0.16428571428571401</v>
      </c>
      <c r="L1905" t="s">
        <v>959</v>
      </c>
      <c r="M1905">
        <v>9.4890510948905096</v>
      </c>
      <c r="N1905" t="s">
        <v>960</v>
      </c>
      <c r="O1905">
        <v>0</v>
      </c>
      <c r="P1905">
        <v>0</v>
      </c>
      <c r="Q1905">
        <v>0</v>
      </c>
      <c r="R1905">
        <v>0</v>
      </c>
    </row>
    <row r="1906" spans="1:18" ht="16" x14ac:dyDescent="0.2">
      <c r="A1906" s="130" t="s">
        <v>3909</v>
      </c>
      <c r="B1906" t="s">
        <v>207</v>
      </c>
      <c r="C1906" t="s">
        <v>1315</v>
      </c>
      <c r="D1906" t="s">
        <v>1316</v>
      </c>
      <c r="E1906">
        <v>3</v>
      </c>
      <c r="F1906">
        <v>3</v>
      </c>
      <c r="G1906">
        <v>1</v>
      </c>
      <c r="H1906">
        <v>1.80867508898281</v>
      </c>
      <c r="I1906" t="s">
        <v>957</v>
      </c>
      <c r="J1906" t="s">
        <v>4082</v>
      </c>
      <c r="K1906">
        <v>0.107142857142857</v>
      </c>
      <c r="L1906" t="s">
        <v>959</v>
      </c>
      <c r="M1906">
        <v>4.3795620437956204</v>
      </c>
      <c r="N1906" t="s">
        <v>960</v>
      </c>
      <c r="O1906">
        <v>0</v>
      </c>
      <c r="P1906">
        <v>0</v>
      </c>
      <c r="Q1906">
        <v>0</v>
      </c>
      <c r="R1906">
        <v>0</v>
      </c>
    </row>
    <row r="1907" spans="1:18" ht="16" x14ac:dyDescent="0.2">
      <c r="A1907" s="130" t="s">
        <v>3909</v>
      </c>
      <c r="B1907" t="s">
        <v>268</v>
      </c>
      <c r="C1907" t="s">
        <v>1615</v>
      </c>
      <c r="D1907" t="s">
        <v>1616</v>
      </c>
      <c r="E1907" t="s">
        <v>1039</v>
      </c>
      <c r="F1907">
        <v>3</v>
      </c>
      <c r="G1907">
        <v>2</v>
      </c>
      <c r="H1907">
        <v>0.24782337655644099</v>
      </c>
      <c r="I1907" t="s">
        <v>957</v>
      </c>
      <c r="J1907" t="s">
        <v>4688</v>
      </c>
      <c r="K1907">
        <v>7.1428571428571397E-2</v>
      </c>
      <c r="L1907" t="s">
        <v>959</v>
      </c>
      <c r="M1907">
        <v>5.8394160583941597</v>
      </c>
      <c r="N1907" t="s">
        <v>960</v>
      </c>
      <c r="O1907">
        <v>0</v>
      </c>
      <c r="P1907" t="s">
        <v>5018</v>
      </c>
      <c r="Q1907">
        <v>0</v>
      </c>
      <c r="R1907">
        <v>0</v>
      </c>
    </row>
    <row r="1908" spans="1:18" ht="16" x14ac:dyDescent="0.2">
      <c r="A1908" s="130" t="s">
        <v>3909</v>
      </c>
      <c r="B1908" t="s">
        <v>277</v>
      </c>
      <c r="C1908" t="s">
        <v>1875</v>
      </c>
      <c r="D1908" t="s">
        <v>1876</v>
      </c>
      <c r="E1908">
        <v>6</v>
      </c>
      <c r="F1908">
        <v>6</v>
      </c>
      <c r="G1908">
        <v>1</v>
      </c>
      <c r="H1908">
        <v>0.60579430823914004</v>
      </c>
      <c r="I1908" t="s">
        <v>957</v>
      </c>
      <c r="J1908" t="s">
        <v>4565</v>
      </c>
      <c r="K1908">
        <v>7.8571428571428598E-2</v>
      </c>
      <c r="L1908" t="s">
        <v>959</v>
      </c>
      <c r="M1908">
        <v>5.8394160583941597</v>
      </c>
      <c r="N1908" t="s">
        <v>960</v>
      </c>
      <c r="O1908">
        <v>0</v>
      </c>
      <c r="P1908">
        <v>0</v>
      </c>
      <c r="Q1908">
        <v>0</v>
      </c>
      <c r="R1908">
        <v>0</v>
      </c>
    </row>
    <row r="1909" spans="1:18" ht="16" x14ac:dyDescent="0.2">
      <c r="A1909" s="130" t="s">
        <v>3909</v>
      </c>
      <c r="B1909" t="s">
        <v>277</v>
      </c>
      <c r="C1909" t="s">
        <v>3305</v>
      </c>
      <c r="D1909" t="s">
        <v>3306</v>
      </c>
      <c r="E1909">
        <v>3</v>
      </c>
      <c r="F1909">
        <v>3</v>
      </c>
      <c r="G1909">
        <v>1</v>
      </c>
      <c r="H1909">
        <v>2.3729564286217801</v>
      </c>
      <c r="I1909" t="s">
        <v>957</v>
      </c>
      <c r="J1909" t="s">
        <v>4624</v>
      </c>
      <c r="K1909">
        <v>0.16428571428571401</v>
      </c>
      <c r="L1909" t="s">
        <v>959</v>
      </c>
      <c r="M1909">
        <v>8.7591240875912408</v>
      </c>
      <c r="N1909" t="s">
        <v>960</v>
      </c>
      <c r="O1909">
        <v>0</v>
      </c>
      <c r="P1909">
        <v>0</v>
      </c>
      <c r="Q1909">
        <v>0</v>
      </c>
      <c r="R1909">
        <v>0</v>
      </c>
    </row>
    <row r="1910" spans="1:18" ht="16" x14ac:dyDescent="0.2">
      <c r="A1910" s="130" t="s">
        <v>3909</v>
      </c>
      <c r="B1910" t="s">
        <v>277</v>
      </c>
      <c r="C1910" t="s">
        <v>1503</v>
      </c>
      <c r="D1910" t="s">
        <v>1504</v>
      </c>
      <c r="E1910">
        <v>3</v>
      </c>
      <c r="F1910">
        <v>3</v>
      </c>
      <c r="G1910">
        <v>1</v>
      </c>
      <c r="H1910">
        <v>3.97992642665616</v>
      </c>
      <c r="I1910" t="s">
        <v>957</v>
      </c>
      <c r="J1910" t="s">
        <v>1505</v>
      </c>
      <c r="K1910">
        <v>6.4285714285714293E-2</v>
      </c>
      <c r="L1910" t="s">
        <v>959</v>
      </c>
      <c r="M1910">
        <v>2.1897810218978102</v>
      </c>
      <c r="N1910" t="s">
        <v>960</v>
      </c>
      <c r="O1910">
        <v>0</v>
      </c>
      <c r="P1910">
        <v>0</v>
      </c>
      <c r="Q1910">
        <v>0</v>
      </c>
      <c r="R1910">
        <v>0</v>
      </c>
    </row>
    <row r="1911" spans="1:18" ht="16" x14ac:dyDescent="0.2">
      <c r="A1911" s="130" t="s">
        <v>3909</v>
      </c>
      <c r="B1911" t="s">
        <v>277</v>
      </c>
      <c r="C1911" t="s">
        <v>2641</v>
      </c>
      <c r="D1911" t="s">
        <v>2642</v>
      </c>
      <c r="E1911">
        <v>3</v>
      </c>
      <c r="F1911">
        <v>3</v>
      </c>
      <c r="G1911">
        <v>1</v>
      </c>
      <c r="H1911">
        <v>1.6871171862438099</v>
      </c>
      <c r="I1911" t="s">
        <v>957</v>
      </c>
      <c r="J1911" t="s">
        <v>4152</v>
      </c>
      <c r="K1911">
        <v>0.17857142857142899</v>
      </c>
      <c r="L1911" t="s">
        <v>959</v>
      </c>
      <c r="M1911">
        <v>8.0291970802919703</v>
      </c>
      <c r="N1911" t="s">
        <v>960</v>
      </c>
      <c r="O1911">
        <v>0</v>
      </c>
      <c r="P1911">
        <v>0</v>
      </c>
      <c r="Q1911">
        <v>0</v>
      </c>
      <c r="R1911">
        <v>0</v>
      </c>
    </row>
    <row r="1912" spans="1:18" ht="16" x14ac:dyDescent="0.2">
      <c r="A1912" s="130" t="s">
        <v>3909</v>
      </c>
      <c r="B1912" t="s">
        <v>277</v>
      </c>
      <c r="C1912" t="s">
        <v>2536</v>
      </c>
      <c r="D1912" t="s">
        <v>2537</v>
      </c>
      <c r="E1912" t="s">
        <v>1102</v>
      </c>
      <c r="F1912">
        <v>4</v>
      </c>
      <c r="G1912">
        <v>2</v>
      </c>
      <c r="H1912">
        <v>3.7207823768586401</v>
      </c>
      <c r="I1912" t="s">
        <v>957</v>
      </c>
      <c r="J1912" t="s">
        <v>2538</v>
      </c>
      <c r="K1912">
        <v>0.1</v>
      </c>
      <c r="L1912" t="s">
        <v>959</v>
      </c>
      <c r="M1912">
        <v>7.2992700729926998</v>
      </c>
      <c r="N1912" t="s">
        <v>960</v>
      </c>
      <c r="O1912">
        <v>0</v>
      </c>
      <c r="P1912">
        <v>0</v>
      </c>
      <c r="Q1912">
        <v>0</v>
      </c>
      <c r="R1912">
        <v>0</v>
      </c>
    </row>
    <row r="1913" spans="1:18" ht="16" x14ac:dyDescent="0.2">
      <c r="A1913" s="130" t="s">
        <v>3909</v>
      </c>
      <c r="B1913" t="s">
        <v>277</v>
      </c>
      <c r="C1913" t="s">
        <v>1415</v>
      </c>
      <c r="D1913" t="s">
        <v>1416</v>
      </c>
      <c r="E1913">
        <v>5</v>
      </c>
      <c r="F1913">
        <v>5</v>
      </c>
      <c r="G1913">
        <v>1</v>
      </c>
      <c r="H1913">
        <v>3.17334260602598</v>
      </c>
      <c r="I1913" t="s">
        <v>957</v>
      </c>
      <c r="J1913" t="s">
        <v>2509</v>
      </c>
      <c r="K1913">
        <v>3.5714285714285698E-2</v>
      </c>
      <c r="L1913" t="s">
        <v>959</v>
      </c>
      <c r="M1913">
        <v>2.9197080291970798</v>
      </c>
      <c r="N1913" t="s">
        <v>960</v>
      </c>
      <c r="O1913">
        <v>0</v>
      </c>
      <c r="P1913">
        <v>0</v>
      </c>
      <c r="Q1913">
        <v>0</v>
      </c>
      <c r="R1913">
        <v>0</v>
      </c>
    </row>
    <row r="1914" spans="1:18" ht="16" x14ac:dyDescent="0.2">
      <c r="A1914" s="130" t="s">
        <v>3909</v>
      </c>
      <c r="B1914" t="s">
        <v>277</v>
      </c>
      <c r="C1914" t="s">
        <v>2877</v>
      </c>
      <c r="D1914" t="s">
        <v>2878</v>
      </c>
      <c r="E1914">
        <v>5</v>
      </c>
      <c r="F1914">
        <v>5</v>
      </c>
      <c r="G1914">
        <v>1</v>
      </c>
      <c r="H1914">
        <v>3.0709876395079698</v>
      </c>
      <c r="I1914" t="s">
        <v>957</v>
      </c>
      <c r="J1914" t="s">
        <v>3969</v>
      </c>
      <c r="K1914">
        <v>0.128571428571429</v>
      </c>
      <c r="L1914" t="s">
        <v>959</v>
      </c>
      <c r="M1914">
        <v>9.4890510948905096</v>
      </c>
      <c r="N1914" t="s">
        <v>960</v>
      </c>
      <c r="O1914">
        <v>0</v>
      </c>
      <c r="P1914" t="s">
        <v>5018</v>
      </c>
      <c r="Q1914">
        <v>0</v>
      </c>
      <c r="R1914">
        <v>0</v>
      </c>
    </row>
    <row r="1915" spans="1:18" ht="16" x14ac:dyDescent="0.2">
      <c r="A1915" s="130" t="s">
        <v>3909</v>
      </c>
      <c r="B1915" t="s">
        <v>285</v>
      </c>
      <c r="C1915" t="s">
        <v>2139</v>
      </c>
      <c r="D1915" t="s">
        <v>2140</v>
      </c>
      <c r="E1915" t="s">
        <v>1022</v>
      </c>
      <c r="F1915">
        <v>3</v>
      </c>
      <c r="G1915">
        <v>2</v>
      </c>
      <c r="H1915">
        <v>3.7576772464752199</v>
      </c>
      <c r="I1915" t="s">
        <v>957</v>
      </c>
      <c r="J1915" t="s">
        <v>4124</v>
      </c>
      <c r="K1915">
        <v>0.11764705882352899</v>
      </c>
      <c r="L1915" t="s">
        <v>1099</v>
      </c>
      <c r="M1915">
        <v>5.8394160583941597</v>
      </c>
      <c r="N1915" t="s">
        <v>973</v>
      </c>
      <c r="O1915">
        <v>0</v>
      </c>
      <c r="P1915">
        <v>0</v>
      </c>
      <c r="Q1915">
        <v>0</v>
      </c>
      <c r="R1915">
        <v>0</v>
      </c>
    </row>
    <row r="1916" spans="1:18" ht="16" x14ac:dyDescent="0.2">
      <c r="A1916" s="130" t="s">
        <v>3909</v>
      </c>
      <c r="B1916" t="s">
        <v>285</v>
      </c>
      <c r="C1916" t="s">
        <v>3946</v>
      </c>
      <c r="D1916" t="s">
        <v>3947</v>
      </c>
      <c r="E1916">
        <v>3</v>
      </c>
      <c r="F1916">
        <v>3</v>
      </c>
      <c r="G1916">
        <v>1</v>
      </c>
      <c r="H1916">
        <v>2.1458579358112102</v>
      </c>
      <c r="I1916" t="s">
        <v>957</v>
      </c>
      <c r="J1916" t="s">
        <v>4926</v>
      </c>
      <c r="K1916">
        <v>0.23529411764705899</v>
      </c>
      <c r="L1916" t="s">
        <v>1099</v>
      </c>
      <c r="M1916">
        <v>1.4598540145985399</v>
      </c>
      <c r="N1916" t="s">
        <v>987</v>
      </c>
      <c r="O1916">
        <v>0</v>
      </c>
      <c r="P1916">
        <v>0</v>
      </c>
      <c r="Q1916">
        <v>0</v>
      </c>
      <c r="R1916">
        <v>0</v>
      </c>
    </row>
    <row r="1917" spans="1:18" ht="16" x14ac:dyDescent="0.2">
      <c r="A1917" s="130" t="s">
        <v>3909</v>
      </c>
      <c r="B1917" t="s">
        <v>285</v>
      </c>
      <c r="C1917" t="s">
        <v>2422</v>
      </c>
      <c r="E1917">
        <v>3</v>
      </c>
      <c r="F1917">
        <v>3</v>
      </c>
      <c r="G1917">
        <v>1</v>
      </c>
      <c r="H1917">
        <v>2.0102910857439098</v>
      </c>
      <c r="I1917" t="s">
        <v>957</v>
      </c>
      <c r="J1917" t="s">
        <v>4304</v>
      </c>
      <c r="K1917">
        <v>0.11764705882352899</v>
      </c>
      <c r="L1917" t="s">
        <v>1099</v>
      </c>
      <c r="M1917">
        <v>3.6496350364963499</v>
      </c>
      <c r="N1917" t="s">
        <v>973</v>
      </c>
      <c r="O1917">
        <v>0</v>
      </c>
      <c r="P1917">
        <v>0</v>
      </c>
      <c r="Q1917">
        <v>0</v>
      </c>
      <c r="R1917">
        <v>0</v>
      </c>
    </row>
    <row r="1918" spans="1:18" ht="16" x14ac:dyDescent="0.2">
      <c r="A1918" s="130" t="s">
        <v>3909</v>
      </c>
      <c r="B1918" t="s">
        <v>285</v>
      </c>
      <c r="C1918" t="s">
        <v>4351</v>
      </c>
      <c r="D1918" t="s">
        <v>4352</v>
      </c>
      <c r="E1918">
        <v>8</v>
      </c>
      <c r="F1918">
        <v>8</v>
      </c>
      <c r="G1918">
        <v>1</v>
      </c>
      <c r="H1918">
        <v>2.79815695875463</v>
      </c>
      <c r="I1918" t="s">
        <v>957</v>
      </c>
      <c r="J1918" t="s">
        <v>4812</v>
      </c>
      <c r="K1918">
        <v>0.17647058823529399</v>
      </c>
      <c r="L1918" t="s">
        <v>1099</v>
      </c>
      <c r="M1918">
        <v>5.10948905109489</v>
      </c>
      <c r="N1918" t="s">
        <v>987</v>
      </c>
      <c r="O1918">
        <v>0</v>
      </c>
      <c r="P1918">
        <v>0</v>
      </c>
      <c r="Q1918">
        <v>0</v>
      </c>
      <c r="R1918">
        <v>0</v>
      </c>
    </row>
    <row r="1919" spans="1:18" ht="16" x14ac:dyDescent="0.2">
      <c r="A1919" s="130" t="s">
        <v>3909</v>
      </c>
      <c r="B1919" t="s">
        <v>285</v>
      </c>
      <c r="C1919" t="s">
        <v>2111</v>
      </c>
      <c r="D1919" t="s">
        <v>2112</v>
      </c>
      <c r="E1919">
        <v>3</v>
      </c>
      <c r="F1919">
        <v>3</v>
      </c>
      <c r="G1919">
        <v>1</v>
      </c>
      <c r="H1919">
        <v>0.96349084413998098</v>
      </c>
      <c r="I1919" t="s">
        <v>957</v>
      </c>
      <c r="J1919" t="s">
        <v>4630</v>
      </c>
      <c r="K1919">
        <v>0.35294117647058798</v>
      </c>
      <c r="L1919" t="s">
        <v>1099</v>
      </c>
      <c r="M1919">
        <v>7.2992700729926998</v>
      </c>
      <c r="N1919" t="s">
        <v>987</v>
      </c>
      <c r="O1919">
        <v>0</v>
      </c>
      <c r="P1919">
        <v>0</v>
      </c>
      <c r="Q1919">
        <v>0</v>
      </c>
      <c r="R1919">
        <v>0</v>
      </c>
    </row>
    <row r="1920" spans="1:18" ht="16" x14ac:dyDescent="0.2">
      <c r="A1920" s="130" t="s">
        <v>3909</v>
      </c>
      <c r="B1920" t="s">
        <v>285</v>
      </c>
      <c r="C1920" t="s">
        <v>4505</v>
      </c>
      <c r="D1920" t="s">
        <v>4506</v>
      </c>
      <c r="E1920">
        <v>9</v>
      </c>
      <c r="F1920">
        <v>9</v>
      </c>
      <c r="G1920">
        <v>1</v>
      </c>
      <c r="H1920">
        <v>3.8962773955318699</v>
      </c>
      <c r="I1920" t="s">
        <v>957</v>
      </c>
      <c r="J1920" t="s">
        <v>4727</v>
      </c>
      <c r="K1920">
        <v>0.11764705882352899</v>
      </c>
      <c r="L1920" t="s">
        <v>1099</v>
      </c>
      <c r="M1920">
        <v>2.1897810218978102</v>
      </c>
      <c r="N1920" t="s">
        <v>973</v>
      </c>
      <c r="O1920">
        <v>0</v>
      </c>
      <c r="P1920">
        <v>0</v>
      </c>
      <c r="Q1920">
        <v>0</v>
      </c>
      <c r="R1920">
        <v>0</v>
      </c>
    </row>
    <row r="1921" spans="1:18" ht="16" x14ac:dyDescent="0.2">
      <c r="A1921" s="130" t="s">
        <v>3909</v>
      </c>
      <c r="B1921" t="s">
        <v>285</v>
      </c>
      <c r="C1921" t="s">
        <v>3910</v>
      </c>
      <c r="D1921" t="s">
        <v>3911</v>
      </c>
      <c r="E1921">
        <v>5</v>
      </c>
      <c r="F1921">
        <v>5</v>
      </c>
      <c r="G1921">
        <v>1</v>
      </c>
      <c r="H1921">
        <v>3.01197622851203</v>
      </c>
      <c r="I1921" t="s">
        <v>957</v>
      </c>
      <c r="J1921" t="s">
        <v>3912</v>
      </c>
      <c r="K1921">
        <v>0.17647058823529399</v>
      </c>
      <c r="L1921" t="s">
        <v>1099</v>
      </c>
      <c r="M1921">
        <v>2.1897810218978102</v>
      </c>
      <c r="N1921" t="s">
        <v>973</v>
      </c>
      <c r="O1921">
        <v>0</v>
      </c>
      <c r="P1921">
        <v>0</v>
      </c>
      <c r="Q1921">
        <v>0</v>
      </c>
      <c r="R1921">
        <v>0</v>
      </c>
    </row>
    <row r="1922" spans="1:18" ht="16" x14ac:dyDescent="0.2">
      <c r="A1922" s="130" t="s">
        <v>3909</v>
      </c>
      <c r="B1922" t="s">
        <v>285</v>
      </c>
      <c r="C1922" t="s">
        <v>4193</v>
      </c>
      <c r="D1922" t="s">
        <v>4194</v>
      </c>
      <c r="E1922">
        <v>3</v>
      </c>
      <c r="F1922">
        <v>3</v>
      </c>
      <c r="G1922">
        <v>1</v>
      </c>
      <c r="H1922">
        <v>1.01070984280533</v>
      </c>
      <c r="I1922" t="s">
        <v>957</v>
      </c>
      <c r="J1922" t="s">
        <v>4195</v>
      </c>
      <c r="K1922">
        <v>0.17647058823529399</v>
      </c>
      <c r="L1922" t="s">
        <v>1099</v>
      </c>
      <c r="M1922">
        <v>2.1897810218978102</v>
      </c>
      <c r="N1922" t="s">
        <v>973</v>
      </c>
      <c r="O1922">
        <v>0</v>
      </c>
      <c r="P1922">
        <v>0</v>
      </c>
      <c r="Q1922">
        <v>0</v>
      </c>
      <c r="R1922">
        <v>0</v>
      </c>
    </row>
    <row r="1923" spans="1:18" ht="16" x14ac:dyDescent="0.2">
      <c r="A1923" s="130" t="s">
        <v>3909</v>
      </c>
      <c r="B1923" t="s">
        <v>285</v>
      </c>
      <c r="C1923" t="s">
        <v>4198</v>
      </c>
      <c r="D1923" t="s">
        <v>4199</v>
      </c>
      <c r="E1923" t="s">
        <v>1085</v>
      </c>
      <c r="F1923">
        <v>5</v>
      </c>
      <c r="G1923">
        <v>2</v>
      </c>
      <c r="H1923">
        <v>2.6928244715451899</v>
      </c>
      <c r="I1923" t="s">
        <v>957</v>
      </c>
      <c r="J1923" t="s">
        <v>4200</v>
      </c>
      <c r="K1923">
        <v>0.23529411764705899</v>
      </c>
      <c r="L1923" t="s">
        <v>1099</v>
      </c>
      <c r="M1923">
        <v>2.9197080291970798</v>
      </c>
      <c r="N1923" t="s">
        <v>973</v>
      </c>
      <c r="O1923">
        <v>0</v>
      </c>
      <c r="P1923">
        <v>0</v>
      </c>
      <c r="Q1923">
        <v>0</v>
      </c>
      <c r="R1923">
        <v>0</v>
      </c>
    </row>
    <row r="1924" spans="1:18" ht="16" x14ac:dyDescent="0.2">
      <c r="A1924" s="130" t="s">
        <v>3909</v>
      </c>
      <c r="B1924" t="s">
        <v>285</v>
      </c>
      <c r="C1924" t="s">
        <v>2412</v>
      </c>
      <c r="D1924" t="s">
        <v>2413</v>
      </c>
      <c r="E1924" t="s">
        <v>2887</v>
      </c>
      <c r="F1924">
        <v>6</v>
      </c>
      <c r="G1924">
        <v>2</v>
      </c>
      <c r="H1924">
        <v>3.15889031575965</v>
      </c>
      <c r="I1924" t="s">
        <v>957</v>
      </c>
      <c r="J1924" t="s">
        <v>4844</v>
      </c>
      <c r="K1924">
        <v>0.17647058823529399</v>
      </c>
      <c r="L1924" t="s">
        <v>1099</v>
      </c>
      <c r="M1924">
        <v>2.9197080291970798</v>
      </c>
      <c r="N1924" t="s">
        <v>973</v>
      </c>
      <c r="O1924">
        <v>0</v>
      </c>
      <c r="P1924">
        <v>0</v>
      </c>
      <c r="Q1924">
        <v>0</v>
      </c>
      <c r="R1924">
        <v>0</v>
      </c>
    </row>
    <row r="1925" spans="1:18" ht="16" x14ac:dyDescent="0.2">
      <c r="A1925" s="130" t="s">
        <v>3909</v>
      </c>
      <c r="B1925" t="s">
        <v>285</v>
      </c>
      <c r="C1925" t="s">
        <v>2041</v>
      </c>
      <c r="D1925" t="s">
        <v>2042</v>
      </c>
      <c r="E1925">
        <v>4</v>
      </c>
      <c r="F1925">
        <v>4</v>
      </c>
      <c r="G1925">
        <v>1</v>
      </c>
      <c r="H1925">
        <v>3.34396102024709</v>
      </c>
      <c r="I1925" t="s">
        <v>957</v>
      </c>
      <c r="J1925" t="s">
        <v>4347</v>
      </c>
      <c r="K1925">
        <v>0.11764705882352899</v>
      </c>
      <c r="L1925" t="s">
        <v>1099</v>
      </c>
      <c r="M1925">
        <v>2.1897810218978102</v>
      </c>
      <c r="N1925" t="s">
        <v>973</v>
      </c>
      <c r="O1925">
        <v>0</v>
      </c>
      <c r="P1925">
        <v>0</v>
      </c>
      <c r="Q1925">
        <v>0</v>
      </c>
      <c r="R1925">
        <v>0</v>
      </c>
    </row>
    <row r="1926" spans="1:18" ht="16" x14ac:dyDescent="0.2">
      <c r="A1926" s="130" t="s">
        <v>3909</v>
      </c>
      <c r="B1926" t="s">
        <v>285</v>
      </c>
      <c r="C1926" t="s">
        <v>4246</v>
      </c>
      <c r="D1926" t="s">
        <v>4247</v>
      </c>
      <c r="E1926">
        <v>4</v>
      </c>
      <c r="F1926">
        <v>4</v>
      </c>
      <c r="G1926">
        <v>1</v>
      </c>
      <c r="H1926">
        <v>3.9269453592916301</v>
      </c>
      <c r="I1926" t="s">
        <v>957</v>
      </c>
      <c r="J1926" t="s">
        <v>4248</v>
      </c>
      <c r="K1926">
        <v>0.11764705882352899</v>
      </c>
      <c r="L1926" t="s">
        <v>1099</v>
      </c>
      <c r="M1926">
        <v>0.72992700729926996</v>
      </c>
      <c r="N1926" t="s">
        <v>973</v>
      </c>
      <c r="O1926">
        <v>0</v>
      </c>
      <c r="P1926">
        <v>0</v>
      </c>
      <c r="Q1926">
        <v>0</v>
      </c>
      <c r="R1926">
        <v>0</v>
      </c>
    </row>
    <row r="1927" spans="1:18" ht="16" x14ac:dyDescent="0.2">
      <c r="A1927" s="130" t="s">
        <v>3909</v>
      </c>
      <c r="B1927" t="s">
        <v>285</v>
      </c>
      <c r="C1927" t="s">
        <v>1057</v>
      </c>
      <c r="D1927" t="s">
        <v>1058</v>
      </c>
      <c r="E1927">
        <v>4</v>
      </c>
      <c r="F1927">
        <v>4</v>
      </c>
      <c r="G1927">
        <v>1</v>
      </c>
      <c r="H1927">
        <v>2.8284936783216099</v>
      </c>
      <c r="I1927" t="s">
        <v>957</v>
      </c>
      <c r="J1927" t="s">
        <v>4324</v>
      </c>
      <c r="K1927">
        <v>0.23529411764705899</v>
      </c>
      <c r="L1927" t="s">
        <v>1099</v>
      </c>
      <c r="M1927">
        <v>5.10948905109489</v>
      </c>
      <c r="N1927" t="s">
        <v>973</v>
      </c>
      <c r="O1927">
        <v>0</v>
      </c>
      <c r="P1927">
        <v>0</v>
      </c>
      <c r="Q1927">
        <v>0</v>
      </c>
      <c r="R1927">
        <v>0</v>
      </c>
    </row>
    <row r="1928" spans="1:18" ht="16" x14ac:dyDescent="0.2">
      <c r="A1928" s="130" t="s">
        <v>3909</v>
      </c>
      <c r="B1928" t="s">
        <v>285</v>
      </c>
      <c r="C1928" t="s">
        <v>2491</v>
      </c>
      <c r="D1928" t="s">
        <v>2492</v>
      </c>
      <c r="E1928">
        <v>3</v>
      </c>
      <c r="F1928">
        <v>3</v>
      </c>
      <c r="G1928">
        <v>1</v>
      </c>
      <c r="H1928">
        <v>2.1845555064011601</v>
      </c>
      <c r="I1928" t="s">
        <v>957</v>
      </c>
      <c r="J1928" t="s">
        <v>4118</v>
      </c>
      <c r="K1928">
        <v>0.121428571428571</v>
      </c>
      <c r="L1928" t="s">
        <v>959</v>
      </c>
      <c r="M1928">
        <v>8.0291970802919703</v>
      </c>
      <c r="N1928" t="s">
        <v>960</v>
      </c>
      <c r="O1928">
        <v>0</v>
      </c>
      <c r="P1928">
        <v>0</v>
      </c>
      <c r="Q1928">
        <v>0</v>
      </c>
      <c r="R1928">
        <v>0</v>
      </c>
    </row>
    <row r="1929" spans="1:18" ht="16" x14ac:dyDescent="0.2">
      <c r="A1929" s="130" t="s">
        <v>3909</v>
      </c>
      <c r="B1929" t="s">
        <v>285</v>
      </c>
      <c r="C1929" t="s">
        <v>3755</v>
      </c>
      <c r="D1929" t="s">
        <v>3756</v>
      </c>
      <c r="E1929" t="s">
        <v>1074</v>
      </c>
      <c r="F1929">
        <v>6</v>
      </c>
      <c r="G1929">
        <v>2</v>
      </c>
      <c r="H1929">
        <v>2.3195795043510601</v>
      </c>
      <c r="I1929" t="s">
        <v>957</v>
      </c>
      <c r="J1929" t="s">
        <v>4595</v>
      </c>
      <c r="K1929">
        <v>0.17647058823529399</v>
      </c>
      <c r="L1929" t="s">
        <v>1099</v>
      </c>
      <c r="M1929">
        <v>5.10948905109489</v>
      </c>
      <c r="N1929" t="s">
        <v>973</v>
      </c>
      <c r="O1929">
        <v>0</v>
      </c>
      <c r="P1929">
        <v>0</v>
      </c>
      <c r="Q1929">
        <v>0</v>
      </c>
      <c r="R1929">
        <v>0</v>
      </c>
    </row>
    <row r="1930" spans="1:18" ht="16" x14ac:dyDescent="0.2">
      <c r="A1930" s="130" t="s">
        <v>3909</v>
      </c>
      <c r="B1930" t="s">
        <v>285</v>
      </c>
      <c r="C1930" t="s">
        <v>4360</v>
      </c>
      <c r="D1930" t="s">
        <v>4361</v>
      </c>
      <c r="E1930">
        <v>4</v>
      </c>
      <c r="F1930">
        <v>4</v>
      </c>
      <c r="G1930">
        <v>1</v>
      </c>
      <c r="H1930">
        <v>2.9154759474226499</v>
      </c>
      <c r="I1930" t="s">
        <v>957</v>
      </c>
      <c r="J1930" t="s">
        <v>4362</v>
      </c>
      <c r="K1930">
        <v>0.11764705882352899</v>
      </c>
      <c r="L1930" t="s">
        <v>1099</v>
      </c>
      <c r="M1930">
        <v>1.4598540145985399</v>
      </c>
      <c r="N1930" t="s">
        <v>973</v>
      </c>
      <c r="O1930">
        <v>0</v>
      </c>
      <c r="P1930">
        <v>0</v>
      </c>
      <c r="Q1930">
        <v>0</v>
      </c>
      <c r="R1930">
        <v>0</v>
      </c>
    </row>
    <row r="1931" spans="1:18" ht="16" x14ac:dyDescent="0.2">
      <c r="A1931" s="130" t="s">
        <v>3909</v>
      </c>
      <c r="B1931" t="s">
        <v>285</v>
      </c>
      <c r="C1931" t="s">
        <v>4094</v>
      </c>
      <c r="D1931" t="s">
        <v>4095</v>
      </c>
      <c r="E1931">
        <v>3</v>
      </c>
      <c r="F1931">
        <v>3</v>
      </c>
      <c r="G1931">
        <v>1</v>
      </c>
      <c r="H1931">
        <v>3.1140187140673401</v>
      </c>
      <c r="I1931" t="s">
        <v>957</v>
      </c>
      <c r="J1931" t="s">
        <v>4903</v>
      </c>
      <c r="K1931">
        <v>0.17647058823529399</v>
      </c>
      <c r="L1931" t="s">
        <v>1099</v>
      </c>
      <c r="M1931">
        <v>1.4598540145985399</v>
      </c>
      <c r="N1931" t="s">
        <v>973</v>
      </c>
      <c r="O1931">
        <v>0</v>
      </c>
      <c r="P1931">
        <v>0</v>
      </c>
      <c r="Q1931">
        <v>0</v>
      </c>
      <c r="R1931">
        <v>0</v>
      </c>
    </row>
    <row r="1932" spans="1:18" ht="16" x14ac:dyDescent="0.2">
      <c r="A1932" s="130" t="s">
        <v>3909</v>
      </c>
      <c r="B1932" t="s">
        <v>285</v>
      </c>
      <c r="C1932" t="s">
        <v>2427</v>
      </c>
      <c r="D1932" t="s">
        <v>2428</v>
      </c>
      <c r="E1932" t="s">
        <v>1085</v>
      </c>
      <c r="F1932">
        <v>5</v>
      </c>
      <c r="G1932">
        <v>2</v>
      </c>
      <c r="H1932">
        <v>3.5627640744097402</v>
      </c>
      <c r="I1932" t="s">
        <v>957</v>
      </c>
      <c r="J1932" t="s">
        <v>4059</v>
      </c>
      <c r="K1932">
        <v>0.17647058823529399</v>
      </c>
      <c r="L1932" t="s">
        <v>1099</v>
      </c>
      <c r="M1932">
        <v>5.10948905109489</v>
      </c>
      <c r="N1932" t="s">
        <v>973</v>
      </c>
      <c r="O1932">
        <v>0</v>
      </c>
      <c r="P1932">
        <v>0</v>
      </c>
      <c r="Q1932">
        <v>0</v>
      </c>
      <c r="R1932">
        <v>0</v>
      </c>
    </row>
    <row r="1933" spans="1:18" ht="16" x14ac:dyDescent="0.2">
      <c r="A1933" s="130" t="s">
        <v>3909</v>
      </c>
      <c r="B1933" t="s">
        <v>285</v>
      </c>
      <c r="C1933" t="s">
        <v>1459</v>
      </c>
      <c r="D1933" t="s">
        <v>4292</v>
      </c>
      <c r="E1933">
        <v>117</v>
      </c>
      <c r="F1933">
        <v>117</v>
      </c>
      <c r="G1933">
        <v>1</v>
      </c>
      <c r="H1933">
        <v>3.4699208452165098</v>
      </c>
      <c r="I1933" t="s">
        <v>957</v>
      </c>
      <c r="J1933" t="s">
        <v>4293</v>
      </c>
      <c r="K1933">
        <v>0.17647058823529399</v>
      </c>
      <c r="L1933" t="s">
        <v>1099</v>
      </c>
      <c r="M1933">
        <v>8.0291970802919703</v>
      </c>
      <c r="N1933" t="s">
        <v>973</v>
      </c>
      <c r="O1933">
        <v>0</v>
      </c>
      <c r="P1933" t="s">
        <v>5017</v>
      </c>
      <c r="Q1933">
        <v>0</v>
      </c>
      <c r="R1933" t="s">
        <v>5019</v>
      </c>
    </row>
    <row r="1934" spans="1:18" ht="16" x14ac:dyDescent="0.2">
      <c r="A1934" s="130" t="s">
        <v>3909</v>
      </c>
      <c r="B1934" t="s">
        <v>285</v>
      </c>
      <c r="C1934" t="s">
        <v>1406</v>
      </c>
      <c r="D1934" t="s">
        <v>1407</v>
      </c>
      <c r="E1934" t="s">
        <v>1085</v>
      </c>
      <c r="F1934">
        <v>5</v>
      </c>
      <c r="G1934">
        <v>2</v>
      </c>
      <c r="H1934">
        <v>2.2128135068891099</v>
      </c>
      <c r="I1934" t="s">
        <v>957</v>
      </c>
      <c r="J1934" t="s">
        <v>4119</v>
      </c>
      <c r="K1934">
        <v>0.17647058823529399</v>
      </c>
      <c r="L1934" t="s">
        <v>1099</v>
      </c>
      <c r="M1934">
        <v>5.8394160583941597</v>
      </c>
      <c r="N1934" t="s">
        <v>973</v>
      </c>
      <c r="O1934">
        <v>0</v>
      </c>
      <c r="P1934">
        <v>0</v>
      </c>
      <c r="Q1934">
        <v>0</v>
      </c>
      <c r="R1934">
        <v>0</v>
      </c>
    </row>
    <row r="1935" spans="1:18" ht="16" x14ac:dyDescent="0.2">
      <c r="A1935" s="130" t="s">
        <v>3909</v>
      </c>
      <c r="B1935" t="s">
        <v>285</v>
      </c>
      <c r="C1935" t="s">
        <v>1076</v>
      </c>
      <c r="D1935" t="s">
        <v>1077</v>
      </c>
      <c r="E1935">
        <v>4</v>
      </c>
      <c r="F1935">
        <v>4</v>
      </c>
      <c r="G1935">
        <v>1</v>
      </c>
      <c r="H1935">
        <v>3.4831125560192602</v>
      </c>
      <c r="I1935" t="s">
        <v>957</v>
      </c>
      <c r="J1935" t="s">
        <v>4790</v>
      </c>
      <c r="K1935">
        <v>0.17647058823529399</v>
      </c>
      <c r="L1935" t="s">
        <v>1099</v>
      </c>
      <c r="M1935">
        <v>3.6496350364963499</v>
      </c>
      <c r="N1935" t="s">
        <v>973</v>
      </c>
      <c r="O1935">
        <v>0</v>
      </c>
      <c r="P1935">
        <v>0</v>
      </c>
      <c r="Q1935">
        <v>0</v>
      </c>
      <c r="R1935">
        <v>0</v>
      </c>
    </row>
    <row r="1936" spans="1:18" ht="16" x14ac:dyDescent="0.2">
      <c r="A1936" s="130" t="s">
        <v>3909</v>
      </c>
      <c r="B1936" t="s">
        <v>285</v>
      </c>
      <c r="C1936" t="s">
        <v>3320</v>
      </c>
      <c r="D1936" t="s">
        <v>4368</v>
      </c>
      <c r="E1936" t="s">
        <v>1022</v>
      </c>
      <c r="F1936">
        <v>3</v>
      </c>
      <c r="G1936">
        <v>2</v>
      </c>
      <c r="H1936">
        <v>3.4878406109161499</v>
      </c>
      <c r="I1936" t="s">
        <v>957</v>
      </c>
      <c r="J1936" t="s">
        <v>4369</v>
      </c>
      <c r="K1936">
        <v>0.11764705882352899</v>
      </c>
      <c r="L1936" t="s">
        <v>1099</v>
      </c>
      <c r="M1936">
        <v>2.1897810218978102</v>
      </c>
      <c r="N1936" t="s">
        <v>973</v>
      </c>
      <c r="O1936">
        <v>0</v>
      </c>
      <c r="P1936">
        <v>0</v>
      </c>
      <c r="Q1936">
        <v>0</v>
      </c>
      <c r="R1936">
        <v>0</v>
      </c>
    </row>
    <row r="1937" spans="1:18" ht="16" x14ac:dyDescent="0.2">
      <c r="A1937" s="130" t="s">
        <v>3909</v>
      </c>
      <c r="B1937" t="s">
        <v>285</v>
      </c>
      <c r="C1937" t="s">
        <v>4078</v>
      </c>
      <c r="D1937" t="s">
        <v>4478</v>
      </c>
      <c r="E1937">
        <v>4</v>
      </c>
      <c r="F1937">
        <v>4</v>
      </c>
      <c r="G1937">
        <v>1</v>
      </c>
      <c r="H1937">
        <v>2.1988560373167001</v>
      </c>
      <c r="I1937" t="s">
        <v>957</v>
      </c>
      <c r="J1937" t="s">
        <v>4479</v>
      </c>
      <c r="K1937">
        <v>0.11764705882352899</v>
      </c>
      <c r="L1937" t="s">
        <v>1099</v>
      </c>
      <c r="M1937">
        <v>4.3795620437956204</v>
      </c>
      <c r="N1937" t="s">
        <v>973</v>
      </c>
      <c r="O1937">
        <v>0</v>
      </c>
      <c r="P1937">
        <v>0</v>
      </c>
      <c r="Q1937">
        <v>0</v>
      </c>
      <c r="R1937">
        <v>0</v>
      </c>
    </row>
    <row r="1938" spans="1:18" ht="16" x14ac:dyDescent="0.2">
      <c r="A1938" s="130" t="s">
        <v>3909</v>
      </c>
      <c r="B1938" t="s">
        <v>285</v>
      </c>
      <c r="C1938" t="s">
        <v>3083</v>
      </c>
      <c r="D1938" t="s">
        <v>3957</v>
      </c>
      <c r="E1938">
        <v>3</v>
      </c>
      <c r="F1938">
        <v>3</v>
      </c>
      <c r="G1938">
        <v>1</v>
      </c>
      <c r="H1938">
        <v>1.0841082642839599</v>
      </c>
      <c r="I1938" t="s">
        <v>957</v>
      </c>
      <c r="J1938" t="s">
        <v>3958</v>
      </c>
      <c r="K1938">
        <v>0.17647058823529399</v>
      </c>
      <c r="L1938" t="s">
        <v>1099</v>
      </c>
      <c r="M1938">
        <v>2.9197080291970798</v>
      </c>
      <c r="N1938" t="s">
        <v>973</v>
      </c>
      <c r="O1938">
        <v>0</v>
      </c>
      <c r="P1938">
        <v>0</v>
      </c>
      <c r="Q1938">
        <v>0</v>
      </c>
      <c r="R1938">
        <v>0</v>
      </c>
    </row>
    <row r="1939" spans="1:18" ht="16" x14ac:dyDescent="0.2">
      <c r="A1939" s="130" t="s">
        <v>3909</v>
      </c>
      <c r="B1939" t="s">
        <v>285</v>
      </c>
      <c r="C1939" t="s">
        <v>2464</v>
      </c>
      <c r="D1939" t="s">
        <v>2465</v>
      </c>
      <c r="E1939">
        <v>3</v>
      </c>
      <c r="F1939">
        <v>3</v>
      </c>
      <c r="G1939">
        <v>1</v>
      </c>
      <c r="H1939">
        <v>2.8062635066205601</v>
      </c>
      <c r="I1939" t="s">
        <v>957</v>
      </c>
      <c r="J1939" t="s">
        <v>4605</v>
      </c>
      <c r="K1939">
        <v>0.23529411764705899</v>
      </c>
      <c r="L1939" t="s">
        <v>1099</v>
      </c>
      <c r="M1939">
        <v>6.5693430656934302</v>
      </c>
      <c r="N1939" t="s">
        <v>987</v>
      </c>
      <c r="O1939">
        <v>0</v>
      </c>
      <c r="P1939">
        <v>0</v>
      </c>
      <c r="Q1939">
        <v>0</v>
      </c>
      <c r="R1939">
        <v>0</v>
      </c>
    </row>
    <row r="1940" spans="1:18" ht="16" x14ac:dyDescent="0.2">
      <c r="A1940" s="130" t="s">
        <v>3909</v>
      </c>
      <c r="B1940" t="s">
        <v>285</v>
      </c>
      <c r="C1940" t="s">
        <v>3715</v>
      </c>
      <c r="D1940" t="s">
        <v>3716</v>
      </c>
      <c r="E1940">
        <v>6</v>
      </c>
      <c r="F1940">
        <v>6</v>
      </c>
      <c r="G1940">
        <v>1</v>
      </c>
      <c r="H1940">
        <v>1.8812740828447401</v>
      </c>
      <c r="I1940" t="s">
        <v>957</v>
      </c>
      <c r="J1940" t="s">
        <v>4811</v>
      </c>
      <c r="K1940">
        <v>0.23529411764705899</v>
      </c>
      <c r="L1940" t="s">
        <v>1099</v>
      </c>
      <c r="M1940">
        <v>4.3795620437956204</v>
      </c>
      <c r="N1940" t="s">
        <v>987</v>
      </c>
      <c r="O1940">
        <v>0</v>
      </c>
      <c r="P1940">
        <v>0</v>
      </c>
      <c r="Q1940">
        <v>0</v>
      </c>
      <c r="R1940">
        <v>0</v>
      </c>
    </row>
    <row r="1941" spans="1:18" ht="16" x14ac:dyDescent="0.2">
      <c r="A1941" s="130" t="s">
        <v>3909</v>
      </c>
      <c r="B1941" t="s">
        <v>285</v>
      </c>
      <c r="C1941" t="s">
        <v>2852</v>
      </c>
      <c r="D1941" t="s">
        <v>2853</v>
      </c>
      <c r="E1941">
        <v>3</v>
      </c>
      <c r="F1941">
        <v>3</v>
      </c>
      <c r="G1941">
        <v>1</v>
      </c>
      <c r="H1941">
        <v>3.4878406109161499</v>
      </c>
      <c r="I1941" t="s">
        <v>957</v>
      </c>
      <c r="J1941" t="s">
        <v>4054</v>
      </c>
      <c r="K1941">
        <v>0.11764705882352899</v>
      </c>
      <c r="L1941" t="s">
        <v>1099</v>
      </c>
      <c r="M1941">
        <v>2.9197080291970798</v>
      </c>
      <c r="N1941" t="s">
        <v>973</v>
      </c>
      <c r="O1941">
        <v>0</v>
      </c>
      <c r="P1941">
        <v>0</v>
      </c>
      <c r="Q1941">
        <v>0</v>
      </c>
      <c r="R1941">
        <v>0</v>
      </c>
    </row>
    <row r="1942" spans="1:18" ht="16" x14ac:dyDescent="0.2">
      <c r="A1942" s="130" t="s">
        <v>3909</v>
      </c>
      <c r="B1942" t="s">
        <v>285</v>
      </c>
      <c r="C1942" t="s">
        <v>4127</v>
      </c>
      <c r="D1942" t="s">
        <v>4128</v>
      </c>
      <c r="E1942">
        <v>5</v>
      </c>
      <c r="F1942">
        <v>5</v>
      </c>
      <c r="G1942">
        <v>1</v>
      </c>
      <c r="H1942">
        <v>3.8962773955318699</v>
      </c>
      <c r="I1942" t="s">
        <v>957</v>
      </c>
      <c r="J1942" t="s">
        <v>4129</v>
      </c>
      <c r="K1942">
        <v>0.11764705882352899</v>
      </c>
      <c r="L1942" t="s">
        <v>1099</v>
      </c>
      <c r="M1942">
        <v>0.72992700729926996</v>
      </c>
      <c r="N1942" t="s">
        <v>973</v>
      </c>
      <c r="O1942">
        <v>0</v>
      </c>
      <c r="P1942">
        <v>0</v>
      </c>
      <c r="Q1942">
        <v>0</v>
      </c>
      <c r="R1942">
        <v>0</v>
      </c>
    </row>
    <row r="1943" spans="1:18" ht="16" x14ac:dyDescent="0.2">
      <c r="A1943" s="130" t="s">
        <v>3909</v>
      </c>
      <c r="B1943" t="s">
        <v>285</v>
      </c>
      <c r="C1943" t="s">
        <v>3925</v>
      </c>
      <c r="D1943" t="s">
        <v>3926</v>
      </c>
      <c r="E1943">
        <v>3</v>
      </c>
      <c r="F1943">
        <v>3</v>
      </c>
      <c r="G1943">
        <v>1</v>
      </c>
      <c r="H1943">
        <v>1.8266598340264699</v>
      </c>
      <c r="I1943" t="s">
        <v>957</v>
      </c>
      <c r="J1943" t="s">
        <v>3994</v>
      </c>
      <c r="K1943">
        <v>0.23529411764705899</v>
      </c>
      <c r="L1943" t="s">
        <v>1099</v>
      </c>
      <c r="M1943">
        <v>8.0291970802919703</v>
      </c>
      <c r="N1943" t="s">
        <v>973</v>
      </c>
      <c r="O1943">
        <v>0</v>
      </c>
      <c r="P1943">
        <v>0</v>
      </c>
      <c r="Q1943">
        <v>0</v>
      </c>
      <c r="R1943">
        <v>0</v>
      </c>
    </row>
    <row r="1944" spans="1:18" ht="16" x14ac:dyDescent="0.2">
      <c r="A1944" s="130" t="s">
        <v>3909</v>
      </c>
      <c r="B1944" t="s">
        <v>285</v>
      </c>
      <c r="C1944" t="s">
        <v>4190</v>
      </c>
      <c r="D1944" t="s">
        <v>4373</v>
      </c>
      <c r="E1944" t="s">
        <v>4873</v>
      </c>
      <c r="F1944">
        <v>12</v>
      </c>
      <c r="G1944">
        <v>2</v>
      </c>
      <c r="H1944">
        <v>3.9114143021227101</v>
      </c>
      <c r="I1944" t="s">
        <v>957</v>
      </c>
      <c r="J1944" t="s">
        <v>4874</v>
      </c>
      <c r="K1944">
        <v>0.35294117647058798</v>
      </c>
      <c r="L1944" t="s">
        <v>1099</v>
      </c>
      <c r="M1944">
        <v>4.3795620437956204</v>
      </c>
      <c r="N1944" t="s">
        <v>973</v>
      </c>
      <c r="O1944">
        <v>0</v>
      </c>
      <c r="P1944">
        <v>0</v>
      </c>
      <c r="Q1944">
        <v>0</v>
      </c>
      <c r="R1944">
        <v>0</v>
      </c>
    </row>
    <row r="1945" spans="1:18" ht="16" x14ac:dyDescent="0.2">
      <c r="A1945" s="130" t="s">
        <v>3909</v>
      </c>
      <c r="B1945" t="s">
        <v>297</v>
      </c>
      <c r="C1945" t="s">
        <v>272</v>
      </c>
      <c r="D1945" t="s">
        <v>3967</v>
      </c>
      <c r="E1945">
        <v>5</v>
      </c>
      <c r="F1945">
        <v>5</v>
      </c>
      <c r="G1945">
        <v>1</v>
      </c>
      <c r="H1945">
        <v>0.74208816761532004</v>
      </c>
      <c r="I1945" t="s">
        <v>957</v>
      </c>
      <c r="J1945" t="s">
        <v>3968</v>
      </c>
      <c r="K1945">
        <v>3.5714285714285698E-2</v>
      </c>
      <c r="L1945" t="s">
        <v>959</v>
      </c>
      <c r="M1945">
        <v>3.6496350364963499</v>
      </c>
      <c r="N1945" t="s">
        <v>960</v>
      </c>
      <c r="O1945" t="s">
        <v>5018</v>
      </c>
      <c r="P1945">
        <v>0</v>
      </c>
      <c r="Q1945">
        <v>0</v>
      </c>
      <c r="R1945">
        <v>0</v>
      </c>
    </row>
    <row r="1946" spans="1:18" ht="16" x14ac:dyDescent="0.2">
      <c r="A1946" s="130" t="s">
        <v>3909</v>
      </c>
      <c r="B1946" t="s">
        <v>297</v>
      </c>
      <c r="C1946" t="s">
        <v>1875</v>
      </c>
      <c r="D1946" t="s">
        <v>1876</v>
      </c>
      <c r="E1946" t="s">
        <v>4419</v>
      </c>
      <c r="F1946">
        <v>15</v>
      </c>
      <c r="G1946">
        <v>2</v>
      </c>
      <c r="H1946">
        <v>1.5983831617909201</v>
      </c>
      <c r="I1946" t="s">
        <v>957</v>
      </c>
      <c r="J1946" t="s">
        <v>3959</v>
      </c>
      <c r="K1946">
        <v>7.8571428571428598E-2</v>
      </c>
      <c r="L1946" t="s">
        <v>959</v>
      </c>
      <c r="M1946">
        <v>5.8394160583941597</v>
      </c>
      <c r="N1946" t="s">
        <v>960</v>
      </c>
      <c r="O1946" t="s">
        <v>5018</v>
      </c>
      <c r="P1946">
        <v>0</v>
      </c>
      <c r="Q1946">
        <v>0</v>
      </c>
      <c r="R1946">
        <v>0</v>
      </c>
    </row>
    <row r="1947" spans="1:18" ht="16" x14ac:dyDescent="0.2">
      <c r="A1947" s="130" t="s">
        <v>3909</v>
      </c>
      <c r="B1947" t="s">
        <v>338</v>
      </c>
      <c r="C1947" t="s">
        <v>4864</v>
      </c>
      <c r="D1947" t="s">
        <v>4865</v>
      </c>
      <c r="E1947">
        <v>3</v>
      </c>
      <c r="F1947">
        <v>3</v>
      </c>
      <c r="G1947">
        <v>1</v>
      </c>
      <c r="H1947">
        <v>2.79815695875463</v>
      </c>
      <c r="I1947" t="s">
        <v>957</v>
      </c>
      <c r="J1947" t="s">
        <v>4866</v>
      </c>
      <c r="K1947">
        <v>0.17647058823529399</v>
      </c>
      <c r="L1947" t="s">
        <v>1099</v>
      </c>
      <c r="M1947">
        <v>0.72992700729926996</v>
      </c>
      <c r="N1947" t="s">
        <v>973</v>
      </c>
      <c r="O1947">
        <v>0</v>
      </c>
      <c r="P1947">
        <v>0</v>
      </c>
      <c r="Q1947">
        <v>0</v>
      </c>
      <c r="R1947">
        <v>0</v>
      </c>
    </row>
    <row r="1948" spans="1:18" ht="16" x14ac:dyDescent="0.2">
      <c r="A1948" s="130" t="s">
        <v>3909</v>
      </c>
      <c r="B1948" t="s">
        <v>338</v>
      </c>
      <c r="C1948" t="s">
        <v>4408</v>
      </c>
      <c r="D1948" t="s">
        <v>4409</v>
      </c>
      <c r="E1948">
        <v>3</v>
      </c>
      <c r="F1948">
        <v>3</v>
      </c>
      <c r="G1948">
        <v>1</v>
      </c>
      <c r="H1948">
        <v>3.4878406109161499</v>
      </c>
      <c r="I1948" t="s">
        <v>957</v>
      </c>
      <c r="J1948" t="s">
        <v>4410</v>
      </c>
      <c r="K1948">
        <v>0.11764705882352899</v>
      </c>
      <c r="L1948" t="s">
        <v>1099</v>
      </c>
      <c r="M1948">
        <v>0.72992700729926996</v>
      </c>
      <c r="N1948" t="s">
        <v>973</v>
      </c>
      <c r="O1948">
        <v>0</v>
      </c>
      <c r="P1948">
        <v>0</v>
      </c>
      <c r="Q1948">
        <v>0</v>
      </c>
      <c r="R1948" t="s">
        <v>5019</v>
      </c>
    </row>
    <row r="1949" spans="1:18" ht="16" x14ac:dyDescent="0.2">
      <c r="A1949" s="130" t="s">
        <v>3909</v>
      </c>
      <c r="B1949" t="s">
        <v>338</v>
      </c>
      <c r="C1949" t="s">
        <v>1402</v>
      </c>
      <c r="D1949" t="s">
        <v>1403</v>
      </c>
      <c r="E1949">
        <v>3</v>
      </c>
      <c r="F1949">
        <v>3</v>
      </c>
      <c r="G1949">
        <v>1</v>
      </c>
      <c r="H1949">
        <v>3.0967074959440901</v>
      </c>
      <c r="I1949" t="s">
        <v>957</v>
      </c>
      <c r="J1949" t="s">
        <v>4680</v>
      </c>
      <c r="K1949">
        <v>0.35294117647058798</v>
      </c>
      <c r="L1949" t="s">
        <v>1099</v>
      </c>
      <c r="M1949">
        <v>9.4890510948905096</v>
      </c>
      <c r="N1949" t="s">
        <v>973</v>
      </c>
      <c r="O1949">
        <v>0</v>
      </c>
      <c r="P1949">
        <v>0</v>
      </c>
      <c r="Q1949">
        <v>0</v>
      </c>
      <c r="R1949">
        <v>0</v>
      </c>
    </row>
    <row r="1950" spans="1:18" ht="16" x14ac:dyDescent="0.2">
      <c r="A1950" s="130" t="s">
        <v>3909</v>
      </c>
      <c r="B1950" t="s">
        <v>338</v>
      </c>
      <c r="C1950" t="s">
        <v>2117</v>
      </c>
      <c r="D1950" t="s">
        <v>2118</v>
      </c>
      <c r="E1950">
        <v>5</v>
      </c>
      <c r="F1950">
        <v>5</v>
      </c>
      <c r="G1950">
        <v>1</v>
      </c>
      <c r="H1950">
        <v>3.5998235721460801</v>
      </c>
      <c r="I1950" t="s">
        <v>957</v>
      </c>
      <c r="J1950" t="s">
        <v>4653</v>
      </c>
      <c r="K1950">
        <v>0.11764705882352899</v>
      </c>
      <c r="L1950" t="s">
        <v>1099</v>
      </c>
      <c r="M1950">
        <v>1.4598540145985399</v>
      </c>
      <c r="N1950" t="s">
        <v>973</v>
      </c>
      <c r="O1950">
        <v>0</v>
      </c>
      <c r="P1950">
        <v>0</v>
      </c>
      <c r="Q1950">
        <v>0</v>
      </c>
      <c r="R1950">
        <v>0</v>
      </c>
    </row>
    <row r="1951" spans="1:18" ht="16" x14ac:dyDescent="0.2">
      <c r="A1951" s="130" t="s">
        <v>3909</v>
      </c>
      <c r="B1951" t="s">
        <v>338</v>
      </c>
      <c r="C1951" t="s">
        <v>4262</v>
      </c>
      <c r="D1951" t="s">
        <v>4263</v>
      </c>
      <c r="E1951">
        <v>3</v>
      </c>
      <c r="F1951">
        <v>3</v>
      </c>
      <c r="G1951">
        <v>1</v>
      </c>
      <c r="H1951">
        <v>2.0829072079339199</v>
      </c>
      <c r="I1951" t="s">
        <v>957</v>
      </c>
      <c r="J1951" t="s">
        <v>4658</v>
      </c>
      <c r="K1951">
        <v>0.11764705882352899</v>
      </c>
      <c r="L1951" t="s">
        <v>1099</v>
      </c>
      <c r="M1951">
        <v>5.8394160583941597</v>
      </c>
      <c r="N1951" t="s">
        <v>973</v>
      </c>
      <c r="O1951">
        <v>0</v>
      </c>
      <c r="P1951">
        <v>0</v>
      </c>
      <c r="Q1951">
        <v>0</v>
      </c>
      <c r="R1951">
        <v>0</v>
      </c>
    </row>
    <row r="1952" spans="1:18" ht="16" x14ac:dyDescent="0.2">
      <c r="A1952" s="130" t="s">
        <v>3909</v>
      </c>
      <c r="B1952" t="s">
        <v>338</v>
      </c>
      <c r="C1952" t="s">
        <v>2249</v>
      </c>
      <c r="D1952" t="s">
        <v>2250</v>
      </c>
      <c r="E1952">
        <v>3</v>
      </c>
      <c r="F1952">
        <v>3</v>
      </c>
      <c r="G1952">
        <v>1</v>
      </c>
      <c r="H1952">
        <v>0.65985851789556604</v>
      </c>
      <c r="I1952" t="s">
        <v>957</v>
      </c>
      <c r="J1952" t="s">
        <v>4103</v>
      </c>
      <c r="K1952">
        <v>0.29411764705882398</v>
      </c>
      <c r="L1952" t="s">
        <v>1099</v>
      </c>
      <c r="M1952">
        <v>6.5693430656934302</v>
      </c>
      <c r="N1952" t="s">
        <v>973</v>
      </c>
      <c r="O1952">
        <v>0</v>
      </c>
      <c r="P1952">
        <v>0</v>
      </c>
      <c r="Q1952">
        <v>0</v>
      </c>
      <c r="R1952">
        <v>0</v>
      </c>
    </row>
    <row r="1953" spans="1:18" ht="16" x14ac:dyDescent="0.2">
      <c r="A1953" s="130" t="s">
        <v>3909</v>
      </c>
      <c r="B1953" t="s">
        <v>302</v>
      </c>
      <c r="C1953" t="s">
        <v>2139</v>
      </c>
      <c r="D1953" t="s">
        <v>2140</v>
      </c>
      <c r="E1953">
        <v>3</v>
      </c>
      <c r="F1953">
        <v>3</v>
      </c>
      <c r="G1953">
        <v>1</v>
      </c>
      <c r="H1953">
        <v>2.2416772687337998</v>
      </c>
      <c r="I1953" t="s">
        <v>957</v>
      </c>
      <c r="J1953" t="s">
        <v>4678</v>
      </c>
      <c r="K1953">
        <v>0.128571428571429</v>
      </c>
      <c r="L1953" t="s">
        <v>959</v>
      </c>
      <c r="M1953">
        <v>5.8394160583941597</v>
      </c>
      <c r="N1953" t="s">
        <v>960</v>
      </c>
      <c r="O1953">
        <v>0</v>
      </c>
      <c r="P1953">
        <v>0</v>
      </c>
      <c r="Q1953">
        <v>0</v>
      </c>
      <c r="R1953">
        <v>0</v>
      </c>
    </row>
    <row r="1954" spans="1:18" ht="16" x14ac:dyDescent="0.2">
      <c r="A1954" s="130" t="s">
        <v>3909</v>
      </c>
      <c r="B1954" t="s">
        <v>302</v>
      </c>
      <c r="C1954" t="s">
        <v>1875</v>
      </c>
      <c r="D1954" t="s">
        <v>1876</v>
      </c>
      <c r="E1954">
        <v>8</v>
      </c>
      <c r="F1954">
        <v>8</v>
      </c>
      <c r="G1954">
        <v>1</v>
      </c>
      <c r="H1954">
        <v>0.82636960902842305</v>
      </c>
      <c r="I1954" t="s">
        <v>957</v>
      </c>
      <c r="J1954" t="s">
        <v>4388</v>
      </c>
      <c r="K1954">
        <v>7.8571428571428598E-2</v>
      </c>
      <c r="L1954" t="s">
        <v>959</v>
      </c>
      <c r="M1954">
        <v>5.8394160583941597</v>
      </c>
      <c r="N1954" t="s">
        <v>960</v>
      </c>
      <c r="O1954">
        <v>0</v>
      </c>
      <c r="P1954">
        <v>0</v>
      </c>
      <c r="Q1954">
        <v>0</v>
      </c>
      <c r="R1954">
        <v>0</v>
      </c>
    </row>
    <row r="1955" spans="1:18" ht="16" x14ac:dyDescent="0.2">
      <c r="A1955" s="130" t="s">
        <v>3909</v>
      </c>
      <c r="B1955" t="s">
        <v>306</v>
      </c>
      <c r="C1955" t="s">
        <v>4351</v>
      </c>
      <c r="D1955" t="s">
        <v>4352</v>
      </c>
      <c r="E1955" t="s">
        <v>1018</v>
      </c>
      <c r="F1955">
        <v>10</v>
      </c>
      <c r="G1955">
        <v>2</v>
      </c>
      <c r="H1955">
        <v>2.65918625547895</v>
      </c>
      <c r="I1955" t="s">
        <v>957</v>
      </c>
      <c r="J1955" t="s">
        <v>4412</v>
      </c>
      <c r="K1955">
        <v>0.34482758620689702</v>
      </c>
      <c r="L1955" t="s">
        <v>972</v>
      </c>
      <c r="M1955">
        <v>5.10948905109489</v>
      </c>
      <c r="N1955" t="s">
        <v>973</v>
      </c>
      <c r="O1955">
        <v>0</v>
      </c>
      <c r="P1955">
        <v>0</v>
      </c>
      <c r="Q1955">
        <v>0</v>
      </c>
      <c r="R1955">
        <v>0</v>
      </c>
    </row>
    <row r="1956" spans="1:18" ht="16" x14ac:dyDescent="0.2">
      <c r="A1956" s="130" t="s">
        <v>3909</v>
      </c>
      <c r="B1956" t="s">
        <v>306</v>
      </c>
      <c r="C1956" t="s">
        <v>3765</v>
      </c>
      <c r="D1956" t="s">
        <v>3766</v>
      </c>
      <c r="E1956" t="s">
        <v>1022</v>
      </c>
      <c r="F1956">
        <v>3</v>
      </c>
      <c r="G1956">
        <v>2</v>
      </c>
      <c r="H1956">
        <v>3.50981204553552</v>
      </c>
      <c r="I1956" t="s">
        <v>957</v>
      </c>
      <c r="J1956" t="s">
        <v>4511</v>
      </c>
      <c r="K1956">
        <v>0.2</v>
      </c>
      <c r="L1956" t="s">
        <v>959</v>
      </c>
      <c r="M1956">
        <v>6.5693430656934302</v>
      </c>
      <c r="N1956" t="s">
        <v>960</v>
      </c>
      <c r="O1956">
        <v>0</v>
      </c>
      <c r="P1956">
        <v>0</v>
      </c>
      <c r="Q1956">
        <v>0</v>
      </c>
      <c r="R1956">
        <v>0</v>
      </c>
    </row>
    <row r="1957" spans="1:18" ht="16" x14ac:dyDescent="0.2">
      <c r="A1957" s="130" t="s">
        <v>3909</v>
      </c>
      <c r="B1957" t="s">
        <v>306</v>
      </c>
      <c r="C1957" t="s">
        <v>3305</v>
      </c>
      <c r="D1957" t="s">
        <v>3306</v>
      </c>
      <c r="E1957" t="s">
        <v>1692</v>
      </c>
      <c r="F1957">
        <v>5</v>
      </c>
      <c r="G1957">
        <v>2</v>
      </c>
      <c r="H1957">
        <v>3.0679645876323498</v>
      </c>
      <c r="I1957" t="s">
        <v>957</v>
      </c>
      <c r="J1957" t="s">
        <v>4573</v>
      </c>
      <c r="K1957">
        <v>0.16428571428571401</v>
      </c>
      <c r="L1957" t="s">
        <v>959</v>
      </c>
      <c r="M1957">
        <v>8.7591240875912408</v>
      </c>
      <c r="N1957" t="s">
        <v>960</v>
      </c>
      <c r="O1957">
        <v>0</v>
      </c>
      <c r="P1957">
        <v>0</v>
      </c>
      <c r="Q1957">
        <v>0</v>
      </c>
      <c r="R1957">
        <v>0</v>
      </c>
    </row>
    <row r="1958" spans="1:18" ht="16" x14ac:dyDescent="0.2">
      <c r="A1958" s="130" t="s">
        <v>3909</v>
      </c>
      <c r="B1958" t="s">
        <v>306</v>
      </c>
      <c r="C1958" t="s">
        <v>2921</v>
      </c>
      <c r="D1958" t="s">
        <v>2922</v>
      </c>
      <c r="E1958">
        <v>3</v>
      </c>
      <c r="F1958">
        <v>3</v>
      </c>
      <c r="G1958">
        <v>1</v>
      </c>
      <c r="H1958">
        <v>3.8107774961754499</v>
      </c>
      <c r="I1958" t="s">
        <v>957</v>
      </c>
      <c r="J1958" t="s">
        <v>4154</v>
      </c>
      <c r="K1958">
        <v>0.05</v>
      </c>
      <c r="L1958" t="s">
        <v>959</v>
      </c>
      <c r="M1958">
        <v>2.1897810218978102</v>
      </c>
      <c r="N1958" t="s">
        <v>960</v>
      </c>
      <c r="O1958">
        <v>0</v>
      </c>
      <c r="P1958">
        <v>0</v>
      </c>
      <c r="Q1958">
        <v>0</v>
      </c>
      <c r="R1958">
        <v>0</v>
      </c>
    </row>
    <row r="1959" spans="1:18" ht="16" x14ac:dyDescent="0.2">
      <c r="A1959" s="130" t="s">
        <v>3909</v>
      </c>
      <c r="B1959" t="s">
        <v>306</v>
      </c>
      <c r="C1959" t="s">
        <v>2245</v>
      </c>
      <c r="D1959" t="s">
        <v>2246</v>
      </c>
      <c r="E1959" t="s">
        <v>966</v>
      </c>
      <c r="F1959">
        <v>3</v>
      </c>
      <c r="G1959">
        <v>3</v>
      </c>
      <c r="H1959">
        <v>2.9060072922344098</v>
      </c>
      <c r="I1959" t="s">
        <v>957</v>
      </c>
      <c r="J1959" t="s">
        <v>4130</v>
      </c>
      <c r="K1959">
        <v>0.16428571428571401</v>
      </c>
      <c r="L1959" t="s">
        <v>959</v>
      </c>
      <c r="M1959">
        <v>5.8394160583941597</v>
      </c>
      <c r="N1959" t="s">
        <v>960</v>
      </c>
      <c r="O1959">
        <v>0</v>
      </c>
      <c r="P1959">
        <v>0</v>
      </c>
      <c r="Q1959">
        <v>0</v>
      </c>
      <c r="R1959">
        <v>0</v>
      </c>
    </row>
    <row r="1960" spans="1:18" ht="16" x14ac:dyDescent="0.2">
      <c r="A1960" s="130" t="s">
        <v>3909</v>
      </c>
      <c r="B1960" t="s">
        <v>306</v>
      </c>
      <c r="C1960" t="s">
        <v>2233</v>
      </c>
      <c r="D1960" t="s">
        <v>2234</v>
      </c>
      <c r="E1960" t="s">
        <v>1052</v>
      </c>
      <c r="F1960">
        <v>2</v>
      </c>
      <c r="G1960">
        <v>2</v>
      </c>
      <c r="H1960">
        <v>1.20971825836964</v>
      </c>
      <c r="I1960" t="s">
        <v>957</v>
      </c>
      <c r="J1960" t="s">
        <v>4257</v>
      </c>
      <c r="K1960">
        <v>0.16428571428571401</v>
      </c>
      <c r="L1960" t="s">
        <v>959</v>
      </c>
      <c r="M1960">
        <v>8.0291970802919703</v>
      </c>
      <c r="N1960" t="s">
        <v>960</v>
      </c>
      <c r="O1960">
        <v>0</v>
      </c>
      <c r="P1960">
        <v>0</v>
      </c>
      <c r="Q1960">
        <v>0</v>
      </c>
      <c r="R1960">
        <v>0</v>
      </c>
    </row>
    <row r="1961" spans="1:18" ht="16" x14ac:dyDescent="0.2">
      <c r="A1961" s="130" t="s">
        <v>3909</v>
      </c>
      <c r="B1961" t="s">
        <v>306</v>
      </c>
      <c r="C1961" t="s">
        <v>2811</v>
      </c>
      <c r="D1961" t="s">
        <v>2812</v>
      </c>
      <c r="E1961" t="s">
        <v>1022</v>
      </c>
      <c r="F1961">
        <v>3</v>
      </c>
      <c r="G1961">
        <v>2</v>
      </c>
      <c r="H1961">
        <v>4.0566567983928898</v>
      </c>
      <c r="I1961" t="s">
        <v>957</v>
      </c>
      <c r="J1961" t="s">
        <v>4155</v>
      </c>
      <c r="K1961">
        <v>7.1428571428571397E-2</v>
      </c>
      <c r="L1961" t="s">
        <v>959</v>
      </c>
      <c r="M1961">
        <v>2.9197080291970798</v>
      </c>
      <c r="N1961" t="s">
        <v>960</v>
      </c>
      <c r="O1961">
        <v>0</v>
      </c>
      <c r="P1961">
        <v>0</v>
      </c>
      <c r="Q1961">
        <v>0</v>
      </c>
      <c r="R1961">
        <v>0</v>
      </c>
    </row>
    <row r="1962" spans="1:18" ht="16" x14ac:dyDescent="0.2">
      <c r="A1962" s="130" t="s">
        <v>3909</v>
      </c>
      <c r="B1962" t="s">
        <v>306</v>
      </c>
      <c r="C1962" t="s">
        <v>1430</v>
      </c>
      <c r="D1962" t="s">
        <v>1431</v>
      </c>
      <c r="E1962" t="s">
        <v>1022</v>
      </c>
      <c r="F1962">
        <v>3</v>
      </c>
      <c r="G1962">
        <v>2</v>
      </c>
      <c r="H1962">
        <v>2.2736690218135398</v>
      </c>
      <c r="I1962" t="s">
        <v>957</v>
      </c>
      <c r="J1962" t="s">
        <v>4671</v>
      </c>
      <c r="K1962">
        <v>0.15</v>
      </c>
      <c r="L1962" t="s">
        <v>959</v>
      </c>
      <c r="M1962">
        <v>6.5693430656934302</v>
      </c>
      <c r="N1962" t="s">
        <v>960</v>
      </c>
      <c r="O1962">
        <v>0</v>
      </c>
      <c r="P1962">
        <v>0</v>
      </c>
      <c r="Q1962">
        <v>0</v>
      </c>
      <c r="R1962">
        <v>0</v>
      </c>
    </row>
    <row r="1963" spans="1:18" ht="16" x14ac:dyDescent="0.2">
      <c r="A1963" s="130" t="s">
        <v>3909</v>
      </c>
      <c r="B1963" t="s">
        <v>306</v>
      </c>
      <c r="C1963" t="s">
        <v>1271</v>
      </c>
      <c r="D1963" t="s">
        <v>1272</v>
      </c>
      <c r="E1963" t="s">
        <v>1052</v>
      </c>
      <c r="F1963">
        <v>2</v>
      </c>
      <c r="G1963">
        <v>2</v>
      </c>
      <c r="H1963">
        <v>3.6632061239471199</v>
      </c>
      <c r="I1963" t="s">
        <v>957</v>
      </c>
      <c r="J1963" t="s">
        <v>3917</v>
      </c>
      <c r="K1963">
        <v>0.1</v>
      </c>
      <c r="L1963" t="s">
        <v>959</v>
      </c>
      <c r="M1963">
        <v>2.1897810218978102</v>
      </c>
      <c r="N1963" t="s">
        <v>960</v>
      </c>
      <c r="O1963">
        <v>0</v>
      </c>
      <c r="P1963">
        <v>0</v>
      </c>
      <c r="Q1963">
        <v>0</v>
      </c>
      <c r="R1963">
        <v>0</v>
      </c>
    </row>
    <row r="1964" spans="1:18" ht="16" x14ac:dyDescent="0.2">
      <c r="A1964" s="130" t="s">
        <v>3909</v>
      </c>
      <c r="B1964" t="s">
        <v>306</v>
      </c>
      <c r="C1964" t="s">
        <v>1941</v>
      </c>
      <c r="D1964" t="s">
        <v>1942</v>
      </c>
      <c r="E1964" t="s">
        <v>1039</v>
      </c>
      <c r="F1964">
        <v>3</v>
      </c>
      <c r="G1964">
        <v>2</v>
      </c>
      <c r="H1964">
        <v>3.1117354138866702</v>
      </c>
      <c r="I1964" t="s">
        <v>957</v>
      </c>
      <c r="J1964" t="s">
        <v>4686</v>
      </c>
      <c r="K1964">
        <v>0.121428571428571</v>
      </c>
      <c r="L1964" t="s">
        <v>959</v>
      </c>
      <c r="M1964">
        <v>8.0291970802919703</v>
      </c>
      <c r="N1964" t="s">
        <v>987</v>
      </c>
      <c r="O1964">
        <v>0</v>
      </c>
      <c r="P1964">
        <v>0</v>
      </c>
      <c r="Q1964">
        <v>0</v>
      </c>
      <c r="R1964">
        <v>0</v>
      </c>
    </row>
    <row r="1965" spans="1:18" ht="16" x14ac:dyDescent="0.2">
      <c r="A1965" s="130" t="s">
        <v>3909</v>
      </c>
      <c r="B1965" t="s">
        <v>306</v>
      </c>
      <c r="C1965" t="s">
        <v>1130</v>
      </c>
      <c r="D1965" t="s">
        <v>1131</v>
      </c>
      <c r="E1965" t="s">
        <v>1052</v>
      </c>
      <c r="F1965">
        <v>2</v>
      </c>
      <c r="G1965">
        <v>2</v>
      </c>
      <c r="H1965">
        <v>3.0188651897669798</v>
      </c>
      <c r="I1965" t="s">
        <v>957</v>
      </c>
      <c r="J1965" t="s">
        <v>4635</v>
      </c>
      <c r="K1965">
        <v>8.5714285714285701E-2</v>
      </c>
      <c r="L1965" t="s">
        <v>959</v>
      </c>
      <c r="M1965">
        <v>3.6496350364963499</v>
      </c>
      <c r="N1965" t="s">
        <v>960</v>
      </c>
      <c r="O1965">
        <v>0</v>
      </c>
      <c r="P1965">
        <v>0</v>
      </c>
      <c r="Q1965">
        <v>0</v>
      </c>
      <c r="R1965">
        <v>0</v>
      </c>
    </row>
    <row r="1966" spans="1:18" ht="16" x14ac:dyDescent="0.2">
      <c r="A1966" s="130" t="s">
        <v>3909</v>
      </c>
      <c r="B1966" t="s">
        <v>310</v>
      </c>
      <c r="C1966" t="s">
        <v>1875</v>
      </c>
      <c r="D1966" t="s">
        <v>1876</v>
      </c>
      <c r="E1966" t="s">
        <v>4785</v>
      </c>
      <c r="F1966">
        <v>19</v>
      </c>
      <c r="G1966">
        <v>2</v>
      </c>
      <c r="H1966">
        <v>2.2601090641587702</v>
      </c>
      <c r="I1966" t="s">
        <v>957</v>
      </c>
      <c r="J1966" t="s">
        <v>4786</v>
      </c>
      <c r="K1966">
        <v>7.8571428571428598E-2</v>
      </c>
      <c r="L1966" t="s">
        <v>959</v>
      </c>
      <c r="M1966">
        <v>5.8394160583941597</v>
      </c>
      <c r="N1966" t="s">
        <v>960</v>
      </c>
      <c r="O1966">
        <v>0</v>
      </c>
      <c r="P1966">
        <v>0</v>
      </c>
      <c r="Q1966">
        <v>0</v>
      </c>
      <c r="R1966">
        <v>0</v>
      </c>
    </row>
    <row r="1967" spans="1:18" ht="16" x14ac:dyDescent="0.2">
      <c r="A1967" s="130" t="s">
        <v>3909</v>
      </c>
      <c r="B1967" t="s">
        <v>310</v>
      </c>
      <c r="C1967" t="s">
        <v>3305</v>
      </c>
      <c r="D1967" t="s">
        <v>3306</v>
      </c>
      <c r="E1967">
        <v>4</v>
      </c>
      <c r="F1967">
        <v>4</v>
      </c>
      <c r="G1967">
        <v>1</v>
      </c>
      <c r="H1967">
        <v>3.0679645876323498</v>
      </c>
      <c r="I1967" t="s">
        <v>957</v>
      </c>
      <c r="J1967" t="s">
        <v>4557</v>
      </c>
      <c r="K1967">
        <v>0.16428571428571401</v>
      </c>
      <c r="L1967" t="s">
        <v>959</v>
      </c>
      <c r="M1967">
        <v>8.7591240875912408</v>
      </c>
      <c r="N1967" t="s">
        <v>960</v>
      </c>
      <c r="O1967">
        <v>0</v>
      </c>
      <c r="P1967">
        <v>0</v>
      </c>
      <c r="Q1967">
        <v>0</v>
      </c>
      <c r="R1967">
        <v>0</v>
      </c>
    </row>
    <row r="1968" spans="1:18" ht="16" x14ac:dyDescent="0.2">
      <c r="A1968" s="130" t="s">
        <v>3909</v>
      </c>
      <c r="B1968" t="s">
        <v>310</v>
      </c>
      <c r="C1968" t="s">
        <v>2821</v>
      </c>
      <c r="D1968" t="s">
        <v>2822</v>
      </c>
      <c r="E1968">
        <v>3</v>
      </c>
      <c r="F1968">
        <v>3</v>
      </c>
      <c r="G1968">
        <v>1</v>
      </c>
      <c r="H1968">
        <v>2.1667485774801101</v>
      </c>
      <c r="I1968" t="s">
        <v>957</v>
      </c>
      <c r="J1968" t="s">
        <v>4758</v>
      </c>
      <c r="K1968">
        <v>0.157142857142857</v>
      </c>
      <c r="L1968" t="s">
        <v>959</v>
      </c>
      <c r="M1968">
        <v>6.5693430656934302</v>
      </c>
      <c r="N1968" t="s">
        <v>960</v>
      </c>
      <c r="O1968">
        <v>0</v>
      </c>
      <c r="P1968">
        <v>0</v>
      </c>
      <c r="Q1968">
        <v>0</v>
      </c>
      <c r="R1968">
        <v>0</v>
      </c>
    </row>
    <row r="1969" spans="1:18" ht="16" x14ac:dyDescent="0.2">
      <c r="A1969" s="130" t="s">
        <v>3909</v>
      </c>
      <c r="B1969" t="s">
        <v>314</v>
      </c>
      <c r="C1969" t="s">
        <v>3301</v>
      </c>
      <c r="D1969" t="s">
        <v>3302</v>
      </c>
      <c r="E1969">
        <v>3</v>
      </c>
      <c r="F1969">
        <v>3</v>
      </c>
      <c r="G1969">
        <v>1</v>
      </c>
      <c r="H1969">
        <v>1.6863305021082</v>
      </c>
      <c r="I1969" t="s">
        <v>957</v>
      </c>
      <c r="J1969" t="s">
        <v>4491</v>
      </c>
      <c r="K1969">
        <v>0.128571428571429</v>
      </c>
      <c r="L1969" t="s">
        <v>959</v>
      </c>
      <c r="M1969">
        <v>7.2992700729926998</v>
      </c>
      <c r="N1969" t="s">
        <v>960</v>
      </c>
      <c r="O1969">
        <v>0</v>
      </c>
      <c r="P1969">
        <v>0</v>
      </c>
      <c r="Q1969">
        <v>0</v>
      </c>
      <c r="R1969">
        <v>0</v>
      </c>
    </row>
    <row r="1970" spans="1:18" ht="16" x14ac:dyDescent="0.2">
      <c r="A1970" s="130" t="s">
        <v>3909</v>
      </c>
      <c r="B1970" t="s">
        <v>314</v>
      </c>
      <c r="C1970" t="s">
        <v>2476</v>
      </c>
      <c r="D1970" t="s">
        <v>2477</v>
      </c>
      <c r="E1970" t="s">
        <v>1022</v>
      </c>
      <c r="F1970">
        <v>3</v>
      </c>
      <c r="G1970">
        <v>2</v>
      </c>
      <c r="H1970">
        <v>1.6589329521326299</v>
      </c>
      <c r="I1970" t="s">
        <v>957</v>
      </c>
      <c r="J1970" t="s">
        <v>4689</v>
      </c>
      <c r="K1970">
        <v>0.14285714285714299</v>
      </c>
      <c r="L1970" t="s">
        <v>959</v>
      </c>
      <c r="M1970">
        <v>3.6496350364963499</v>
      </c>
      <c r="N1970" t="s">
        <v>960</v>
      </c>
      <c r="O1970">
        <v>0</v>
      </c>
      <c r="P1970">
        <v>0</v>
      </c>
      <c r="Q1970">
        <v>0</v>
      </c>
      <c r="R1970">
        <v>0</v>
      </c>
    </row>
    <row r="1971" spans="1:18" ht="16" x14ac:dyDescent="0.2">
      <c r="A1971" s="130" t="s">
        <v>3909</v>
      </c>
      <c r="B1971" t="s">
        <v>314</v>
      </c>
      <c r="C1971" t="s">
        <v>1512</v>
      </c>
      <c r="D1971" t="s">
        <v>1513</v>
      </c>
      <c r="E1971">
        <v>3</v>
      </c>
      <c r="F1971">
        <v>3</v>
      </c>
      <c r="G1971">
        <v>1</v>
      </c>
      <c r="H1971">
        <v>1.1038056438273101</v>
      </c>
      <c r="I1971" t="s">
        <v>957</v>
      </c>
      <c r="J1971" t="s">
        <v>4562</v>
      </c>
      <c r="K1971">
        <v>0.185714285714286</v>
      </c>
      <c r="L1971" t="s">
        <v>959</v>
      </c>
      <c r="M1971">
        <v>9.4890510948905096</v>
      </c>
      <c r="N1971" t="s">
        <v>960</v>
      </c>
      <c r="O1971">
        <v>0</v>
      </c>
      <c r="P1971">
        <v>0</v>
      </c>
      <c r="Q1971">
        <v>0</v>
      </c>
      <c r="R1971">
        <v>0</v>
      </c>
    </row>
    <row r="1972" spans="1:18" ht="16" x14ac:dyDescent="0.2">
      <c r="A1972" s="130" t="s">
        <v>3909</v>
      </c>
      <c r="B1972" t="s">
        <v>314</v>
      </c>
      <c r="C1972" t="s">
        <v>3217</v>
      </c>
      <c r="D1972" t="s">
        <v>3218</v>
      </c>
      <c r="E1972">
        <v>3</v>
      </c>
      <c r="F1972">
        <v>3</v>
      </c>
      <c r="G1972">
        <v>1</v>
      </c>
      <c r="H1972">
        <v>3.0957095057734798</v>
      </c>
      <c r="I1972" t="s">
        <v>957</v>
      </c>
      <c r="J1972" t="s">
        <v>4294</v>
      </c>
      <c r="K1972">
        <v>0.16428571428571401</v>
      </c>
      <c r="L1972" t="s">
        <v>959</v>
      </c>
      <c r="M1972">
        <v>3.6496350364963499</v>
      </c>
      <c r="N1972" t="s">
        <v>960</v>
      </c>
      <c r="O1972">
        <v>0</v>
      </c>
      <c r="P1972">
        <v>0</v>
      </c>
      <c r="Q1972">
        <v>0</v>
      </c>
      <c r="R1972">
        <v>0</v>
      </c>
    </row>
    <row r="1973" spans="1:18" ht="16" x14ac:dyDescent="0.2">
      <c r="A1973" s="130" t="s">
        <v>3909</v>
      </c>
      <c r="B1973" t="s">
        <v>314</v>
      </c>
      <c r="C1973" t="s">
        <v>1130</v>
      </c>
      <c r="D1973" t="s">
        <v>1131</v>
      </c>
      <c r="E1973" t="s">
        <v>1052</v>
      </c>
      <c r="F1973">
        <v>2</v>
      </c>
      <c r="G1973">
        <v>2</v>
      </c>
      <c r="H1973">
        <v>3.0188651897669798</v>
      </c>
      <c r="I1973" t="s">
        <v>957</v>
      </c>
      <c r="J1973" t="s">
        <v>3960</v>
      </c>
      <c r="K1973">
        <v>8.5714285714285701E-2</v>
      </c>
      <c r="L1973" t="s">
        <v>959</v>
      </c>
      <c r="M1973">
        <v>3.6496350364963499</v>
      </c>
      <c r="N1973" t="s">
        <v>960</v>
      </c>
      <c r="O1973">
        <v>0</v>
      </c>
      <c r="P1973">
        <v>0</v>
      </c>
      <c r="Q1973">
        <v>0</v>
      </c>
      <c r="R1973">
        <v>0</v>
      </c>
    </row>
    <row r="1974" spans="1:18" ht="16" x14ac:dyDescent="0.2">
      <c r="A1974" s="130" t="s">
        <v>3909</v>
      </c>
      <c r="B1974" t="s">
        <v>318</v>
      </c>
      <c r="C1974" t="s">
        <v>2363</v>
      </c>
      <c r="D1974" t="s">
        <v>2364</v>
      </c>
      <c r="E1974">
        <v>9</v>
      </c>
      <c r="F1974">
        <v>9</v>
      </c>
      <c r="G1974">
        <v>1</v>
      </c>
      <c r="H1974">
        <v>2.9248131571217102</v>
      </c>
      <c r="I1974" t="s">
        <v>957</v>
      </c>
      <c r="J1974" t="s">
        <v>4954</v>
      </c>
      <c r="K1974">
        <v>4.2857142857142899E-2</v>
      </c>
      <c r="L1974" t="s">
        <v>959</v>
      </c>
      <c r="M1974">
        <v>2.1897810218978102</v>
      </c>
      <c r="N1974" t="s">
        <v>960</v>
      </c>
      <c r="O1974">
        <v>0</v>
      </c>
      <c r="P1974">
        <v>0</v>
      </c>
      <c r="Q1974">
        <v>0</v>
      </c>
      <c r="R1974">
        <v>0</v>
      </c>
    </row>
    <row r="1975" spans="1:18" ht="16" x14ac:dyDescent="0.2">
      <c r="A1975" s="130" t="s">
        <v>3909</v>
      </c>
      <c r="B1975" t="s">
        <v>318</v>
      </c>
      <c r="C1975" t="s">
        <v>2458</v>
      </c>
      <c r="D1975" t="s">
        <v>2459</v>
      </c>
      <c r="E1975" t="s">
        <v>1052</v>
      </c>
      <c r="F1975">
        <v>2</v>
      </c>
      <c r="G1975">
        <v>2</v>
      </c>
      <c r="H1975">
        <v>3.35235192140994</v>
      </c>
      <c r="I1975" t="s">
        <v>957</v>
      </c>
      <c r="J1975" t="s">
        <v>4709</v>
      </c>
      <c r="K1975">
        <v>0.17142857142857101</v>
      </c>
      <c r="L1975" t="s">
        <v>959</v>
      </c>
      <c r="M1975">
        <v>2.1897810218978102</v>
      </c>
      <c r="N1975" t="s">
        <v>960</v>
      </c>
      <c r="O1975">
        <v>0</v>
      </c>
      <c r="P1975">
        <v>0</v>
      </c>
      <c r="Q1975">
        <v>0</v>
      </c>
      <c r="R1975">
        <v>0</v>
      </c>
    </row>
    <row r="1976" spans="1:18" ht="16" x14ac:dyDescent="0.2">
      <c r="A1976" s="130" t="s">
        <v>3909</v>
      </c>
      <c r="B1976" t="s">
        <v>318</v>
      </c>
      <c r="C1976" t="s">
        <v>1792</v>
      </c>
      <c r="D1976" t="s">
        <v>1793</v>
      </c>
      <c r="E1976">
        <v>5</v>
      </c>
      <c r="F1976">
        <v>5</v>
      </c>
      <c r="G1976">
        <v>1</v>
      </c>
      <c r="H1976">
        <v>2.7243293096929402</v>
      </c>
      <c r="I1976" t="s">
        <v>957</v>
      </c>
      <c r="J1976" t="s">
        <v>4742</v>
      </c>
      <c r="K1976">
        <v>0.16428571428571401</v>
      </c>
      <c r="L1976" t="s">
        <v>959</v>
      </c>
      <c r="M1976">
        <v>9.4890510948905096</v>
      </c>
      <c r="N1976" t="s">
        <v>960</v>
      </c>
      <c r="O1976">
        <v>0</v>
      </c>
      <c r="P1976">
        <v>0</v>
      </c>
      <c r="Q1976">
        <v>0</v>
      </c>
      <c r="R1976">
        <v>0</v>
      </c>
    </row>
    <row r="1977" spans="1:18" ht="16" x14ac:dyDescent="0.2">
      <c r="A1977" s="130" t="s">
        <v>3909</v>
      </c>
      <c r="B1977" t="s">
        <v>318</v>
      </c>
      <c r="C1977" t="s">
        <v>3914</v>
      </c>
      <c r="D1977" t="s">
        <v>3915</v>
      </c>
      <c r="E1977">
        <v>3</v>
      </c>
      <c r="F1977">
        <v>3</v>
      </c>
      <c r="G1977">
        <v>1</v>
      </c>
      <c r="H1977">
        <v>2.1804844855519701</v>
      </c>
      <c r="I1977" t="s">
        <v>957</v>
      </c>
      <c r="J1977" t="s">
        <v>4487</v>
      </c>
      <c r="K1977">
        <v>0.121428571428571</v>
      </c>
      <c r="L1977" t="s">
        <v>959</v>
      </c>
      <c r="M1977">
        <v>5.8394160583941597</v>
      </c>
      <c r="N1977" t="s">
        <v>960</v>
      </c>
      <c r="O1977">
        <v>0</v>
      </c>
      <c r="P1977">
        <v>0</v>
      </c>
      <c r="Q1977">
        <v>0</v>
      </c>
      <c r="R1977">
        <v>0</v>
      </c>
    </row>
    <row r="1978" spans="1:18" ht="16" x14ac:dyDescent="0.2">
      <c r="A1978" s="130" t="s">
        <v>3909</v>
      </c>
      <c r="B1978" t="s">
        <v>322</v>
      </c>
      <c r="C1978" t="s">
        <v>3070</v>
      </c>
      <c r="D1978" t="s">
        <v>3071</v>
      </c>
      <c r="E1978">
        <v>3</v>
      </c>
      <c r="F1978">
        <v>3</v>
      </c>
      <c r="G1978">
        <v>1</v>
      </c>
      <c r="H1978">
        <v>2.5881391590148999</v>
      </c>
      <c r="I1978" t="s">
        <v>957</v>
      </c>
      <c r="J1978" t="s">
        <v>4944</v>
      </c>
      <c r="K1978">
        <v>0.1</v>
      </c>
      <c r="L1978" t="s">
        <v>959</v>
      </c>
      <c r="M1978">
        <v>5.8394160583941597</v>
      </c>
      <c r="N1978" t="s">
        <v>960</v>
      </c>
      <c r="O1978">
        <v>0</v>
      </c>
      <c r="P1978">
        <v>0</v>
      </c>
      <c r="Q1978">
        <v>0</v>
      </c>
      <c r="R1978">
        <v>0</v>
      </c>
    </row>
    <row r="1979" spans="1:18" ht="16" x14ac:dyDescent="0.2">
      <c r="A1979" s="130" t="s">
        <v>3909</v>
      </c>
      <c r="B1979" t="s">
        <v>322</v>
      </c>
      <c r="C1979" t="s">
        <v>2363</v>
      </c>
      <c r="D1979" t="s">
        <v>2364</v>
      </c>
      <c r="E1979">
        <v>4</v>
      </c>
      <c r="F1979">
        <v>4</v>
      </c>
      <c r="G1979">
        <v>1</v>
      </c>
      <c r="H1979">
        <v>1.04864435072061</v>
      </c>
      <c r="I1979" t="s">
        <v>957</v>
      </c>
      <c r="J1979" t="s">
        <v>4578</v>
      </c>
      <c r="K1979">
        <v>4.2857142857142899E-2</v>
      </c>
      <c r="L1979" t="s">
        <v>959</v>
      </c>
      <c r="M1979">
        <v>2.1897810218978102</v>
      </c>
      <c r="N1979" t="s">
        <v>960</v>
      </c>
      <c r="O1979">
        <v>0</v>
      </c>
      <c r="P1979">
        <v>0</v>
      </c>
      <c r="Q1979">
        <v>0</v>
      </c>
      <c r="R1979">
        <v>0</v>
      </c>
    </row>
    <row r="1980" spans="1:18" ht="16" x14ac:dyDescent="0.2">
      <c r="A1980" s="130" t="s">
        <v>3909</v>
      </c>
      <c r="B1980" t="s">
        <v>322</v>
      </c>
      <c r="C1980" t="s">
        <v>2613</v>
      </c>
      <c r="D1980" t="s">
        <v>2614</v>
      </c>
      <c r="E1980" t="s">
        <v>1039</v>
      </c>
      <c r="F1980">
        <v>3</v>
      </c>
      <c r="G1980">
        <v>2</v>
      </c>
      <c r="H1980">
        <v>0.71651596695076103</v>
      </c>
      <c r="I1980" t="s">
        <v>957</v>
      </c>
      <c r="J1980" t="s">
        <v>2616</v>
      </c>
      <c r="K1980">
        <v>2.1428571428571401E-2</v>
      </c>
      <c r="L1980" t="s">
        <v>959</v>
      </c>
      <c r="M1980">
        <v>2.9197080291970798</v>
      </c>
      <c r="N1980" t="s">
        <v>960</v>
      </c>
      <c r="O1980">
        <v>0</v>
      </c>
      <c r="P1980">
        <v>0</v>
      </c>
      <c r="Q1980">
        <v>0</v>
      </c>
      <c r="R1980">
        <v>0</v>
      </c>
    </row>
    <row r="1981" spans="1:18" ht="16" x14ac:dyDescent="0.2">
      <c r="A1981" s="130" t="s">
        <v>3909</v>
      </c>
      <c r="B1981" t="s">
        <v>325</v>
      </c>
      <c r="C1981" t="s">
        <v>2356</v>
      </c>
      <c r="D1981" t="s">
        <v>2357</v>
      </c>
      <c r="E1981" t="s">
        <v>1022</v>
      </c>
      <c r="F1981">
        <v>3</v>
      </c>
      <c r="G1981">
        <v>2</v>
      </c>
      <c r="H1981">
        <v>3.8993727878345199</v>
      </c>
      <c r="I1981" t="s">
        <v>957</v>
      </c>
      <c r="J1981" t="s">
        <v>4682</v>
      </c>
      <c r="K1981">
        <v>0.15</v>
      </c>
      <c r="L1981" t="s">
        <v>959</v>
      </c>
      <c r="M1981">
        <v>2.9197080291970798</v>
      </c>
      <c r="N1981" t="s">
        <v>960</v>
      </c>
      <c r="O1981">
        <v>0</v>
      </c>
      <c r="P1981">
        <v>0</v>
      </c>
      <c r="Q1981">
        <v>0</v>
      </c>
      <c r="R1981">
        <v>0</v>
      </c>
    </row>
    <row r="1982" spans="1:18" ht="16" x14ac:dyDescent="0.2">
      <c r="A1982" s="130" t="s">
        <v>3909</v>
      </c>
      <c r="B1982" t="s">
        <v>325</v>
      </c>
      <c r="C1982" t="s">
        <v>1436</v>
      </c>
      <c r="D1982" t="s">
        <v>1437</v>
      </c>
      <c r="E1982" t="s">
        <v>1052</v>
      </c>
      <c r="F1982">
        <v>2</v>
      </c>
      <c r="G1982">
        <v>2</v>
      </c>
      <c r="H1982">
        <v>2.5948924705790302</v>
      </c>
      <c r="I1982" t="s">
        <v>957</v>
      </c>
      <c r="J1982" t="s">
        <v>4676</v>
      </c>
      <c r="K1982">
        <v>0.17142857142857101</v>
      </c>
      <c r="L1982" t="s">
        <v>959</v>
      </c>
      <c r="M1982">
        <v>4.3795620437956204</v>
      </c>
      <c r="N1982" t="s">
        <v>960</v>
      </c>
      <c r="O1982">
        <v>0</v>
      </c>
      <c r="P1982">
        <v>0</v>
      </c>
      <c r="Q1982">
        <v>0</v>
      </c>
      <c r="R1982">
        <v>0</v>
      </c>
    </row>
    <row r="1983" spans="1:18" ht="16" x14ac:dyDescent="0.2">
      <c r="A1983" s="130" t="s">
        <v>3909</v>
      </c>
      <c r="B1983" t="s">
        <v>325</v>
      </c>
      <c r="C1983" t="s">
        <v>1391</v>
      </c>
      <c r="D1983" t="s">
        <v>1392</v>
      </c>
      <c r="E1983" t="s">
        <v>1074</v>
      </c>
      <c r="F1983">
        <v>6</v>
      </c>
      <c r="G1983">
        <v>2</v>
      </c>
      <c r="H1983">
        <v>2.6971205679649199</v>
      </c>
      <c r="I1983" t="s">
        <v>957</v>
      </c>
      <c r="J1983" t="s">
        <v>3989</v>
      </c>
      <c r="K1983">
        <v>0.14285714285714299</v>
      </c>
      <c r="L1983" t="s">
        <v>959</v>
      </c>
      <c r="M1983">
        <v>5.10948905109489</v>
      </c>
      <c r="N1983" t="s">
        <v>960</v>
      </c>
      <c r="O1983">
        <v>0</v>
      </c>
      <c r="P1983">
        <v>0</v>
      </c>
      <c r="Q1983">
        <v>0</v>
      </c>
      <c r="R1983">
        <v>0</v>
      </c>
    </row>
    <row r="1984" spans="1:18" ht="16" x14ac:dyDescent="0.2">
      <c r="A1984" s="130" t="s">
        <v>3909</v>
      </c>
      <c r="B1984" t="s">
        <v>325</v>
      </c>
      <c r="C1984" t="s">
        <v>2278</v>
      </c>
      <c r="D1984" t="s">
        <v>2279</v>
      </c>
      <c r="E1984" t="s">
        <v>1022</v>
      </c>
      <c r="F1984">
        <v>3</v>
      </c>
      <c r="G1984">
        <v>2</v>
      </c>
      <c r="H1984">
        <v>3.9033312185795102</v>
      </c>
      <c r="I1984" t="s">
        <v>957</v>
      </c>
      <c r="J1984" t="s">
        <v>4963</v>
      </c>
      <c r="K1984">
        <v>0.13571428571428601</v>
      </c>
      <c r="L1984" t="s">
        <v>959</v>
      </c>
      <c r="M1984">
        <v>2.9197080291970798</v>
      </c>
      <c r="N1984" t="s">
        <v>960</v>
      </c>
      <c r="O1984">
        <v>0</v>
      </c>
      <c r="P1984">
        <v>0</v>
      </c>
      <c r="Q1984">
        <v>0</v>
      </c>
      <c r="R1984">
        <v>0</v>
      </c>
    </row>
    <row r="1985" spans="1:18" ht="16" x14ac:dyDescent="0.2">
      <c r="A1985" s="130" t="s">
        <v>3909</v>
      </c>
      <c r="B1985" t="s">
        <v>325</v>
      </c>
      <c r="C1985" t="s">
        <v>3914</v>
      </c>
      <c r="D1985" t="s">
        <v>3915</v>
      </c>
      <c r="E1985" t="s">
        <v>1039</v>
      </c>
      <c r="F1985">
        <v>3</v>
      </c>
      <c r="G1985">
        <v>2</v>
      </c>
      <c r="H1985">
        <v>2.1804844855519701</v>
      </c>
      <c r="I1985" t="s">
        <v>957</v>
      </c>
      <c r="J1985" t="s">
        <v>4898</v>
      </c>
      <c r="K1985">
        <v>0.121428571428571</v>
      </c>
      <c r="L1985" t="s">
        <v>959</v>
      </c>
      <c r="M1985">
        <v>5.8394160583941597</v>
      </c>
      <c r="N1985" t="s">
        <v>960</v>
      </c>
      <c r="O1985">
        <v>0</v>
      </c>
      <c r="P1985">
        <v>0</v>
      </c>
      <c r="Q1985">
        <v>0</v>
      </c>
      <c r="R1985">
        <v>0</v>
      </c>
    </row>
    <row r="1986" spans="1:18" ht="16" x14ac:dyDescent="0.2">
      <c r="A1986" s="130" t="s">
        <v>3909</v>
      </c>
      <c r="B1986" t="s">
        <v>325</v>
      </c>
      <c r="C1986" t="s">
        <v>2419</v>
      </c>
      <c r="D1986" t="s">
        <v>2420</v>
      </c>
      <c r="E1986">
        <v>3</v>
      </c>
      <c r="F1986">
        <v>3</v>
      </c>
      <c r="G1986">
        <v>1</v>
      </c>
      <c r="H1986">
        <v>2.4854824899957202</v>
      </c>
      <c r="I1986" t="s">
        <v>957</v>
      </c>
      <c r="J1986" t="s">
        <v>4725</v>
      </c>
      <c r="K1986">
        <v>0.17857142857142899</v>
      </c>
      <c r="L1986" t="s">
        <v>959</v>
      </c>
      <c r="M1986">
        <v>9.4890510948905096</v>
      </c>
      <c r="N1986" t="s">
        <v>960</v>
      </c>
      <c r="O1986">
        <v>0</v>
      </c>
      <c r="P1986">
        <v>0</v>
      </c>
      <c r="Q1986">
        <v>0</v>
      </c>
      <c r="R1986">
        <v>0</v>
      </c>
    </row>
    <row r="1987" spans="1:18" ht="16" x14ac:dyDescent="0.2">
      <c r="A1987" s="130" t="s">
        <v>3909</v>
      </c>
      <c r="B1987" t="s">
        <v>325</v>
      </c>
      <c r="C1987" t="s">
        <v>2464</v>
      </c>
      <c r="D1987" t="s">
        <v>2465</v>
      </c>
      <c r="E1987" t="s">
        <v>1609</v>
      </c>
      <c r="F1987">
        <v>5</v>
      </c>
      <c r="G1987">
        <v>3</v>
      </c>
      <c r="H1987">
        <v>2.1870710650388601</v>
      </c>
      <c r="I1987" t="s">
        <v>957</v>
      </c>
      <c r="J1987" t="s">
        <v>4126</v>
      </c>
      <c r="K1987">
        <v>0.16428571428571401</v>
      </c>
      <c r="L1987" t="s">
        <v>959</v>
      </c>
      <c r="M1987">
        <v>6.5693430656934302</v>
      </c>
      <c r="N1987" t="s">
        <v>960</v>
      </c>
      <c r="O1987">
        <v>0</v>
      </c>
      <c r="P1987">
        <v>0</v>
      </c>
      <c r="Q1987">
        <v>0</v>
      </c>
      <c r="R1987">
        <v>0</v>
      </c>
    </row>
    <row r="1988" spans="1:18" ht="16" x14ac:dyDescent="0.2">
      <c r="A1988" s="130" t="s">
        <v>3909</v>
      </c>
      <c r="B1988" t="s">
        <v>325</v>
      </c>
      <c r="C1988" t="s">
        <v>1244</v>
      </c>
      <c r="D1988" t="s">
        <v>1245</v>
      </c>
      <c r="E1988">
        <v>3</v>
      </c>
      <c r="F1988">
        <v>3</v>
      </c>
      <c r="G1988">
        <v>1</v>
      </c>
      <c r="H1988">
        <v>3.3386958776161801</v>
      </c>
      <c r="I1988" t="s">
        <v>957</v>
      </c>
      <c r="J1988" t="s">
        <v>4283</v>
      </c>
      <c r="K1988">
        <v>0.121428571428571</v>
      </c>
      <c r="L1988" t="s">
        <v>959</v>
      </c>
      <c r="M1988">
        <v>5.8394160583941597</v>
      </c>
      <c r="N1988" t="s">
        <v>960</v>
      </c>
      <c r="O1988">
        <v>0</v>
      </c>
      <c r="P1988">
        <v>0</v>
      </c>
      <c r="Q1988">
        <v>0</v>
      </c>
      <c r="R1988">
        <v>0</v>
      </c>
    </row>
    <row r="1989" spans="1:18" ht="16" x14ac:dyDescent="0.2">
      <c r="A1989" s="130" t="s">
        <v>3909</v>
      </c>
      <c r="B1989" t="s">
        <v>325</v>
      </c>
      <c r="C1989" t="s">
        <v>3925</v>
      </c>
      <c r="D1989" t="s">
        <v>3926</v>
      </c>
      <c r="E1989" t="s">
        <v>1022</v>
      </c>
      <c r="F1989">
        <v>3</v>
      </c>
      <c r="G1989">
        <v>2</v>
      </c>
      <c r="H1989">
        <v>3.8596871801992698</v>
      </c>
      <c r="I1989" t="s">
        <v>957</v>
      </c>
      <c r="J1989" t="s">
        <v>4333</v>
      </c>
      <c r="K1989">
        <v>0.157142857142857</v>
      </c>
      <c r="L1989" t="s">
        <v>959</v>
      </c>
      <c r="M1989">
        <v>8.0291970802919703</v>
      </c>
      <c r="N1989" t="s">
        <v>960</v>
      </c>
      <c r="O1989">
        <v>0</v>
      </c>
      <c r="P1989">
        <v>0</v>
      </c>
      <c r="Q1989">
        <v>0</v>
      </c>
      <c r="R1989">
        <v>0</v>
      </c>
    </row>
    <row r="1990" spans="1:18" ht="16" x14ac:dyDescent="0.2">
      <c r="A1990" s="130" t="s">
        <v>3909</v>
      </c>
      <c r="B1990" t="s">
        <v>325</v>
      </c>
      <c r="C1990" t="s">
        <v>3781</v>
      </c>
      <c r="D1990" t="s">
        <v>3782</v>
      </c>
      <c r="E1990" t="s">
        <v>1022</v>
      </c>
      <c r="F1990">
        <v>3</v>
      </c>
      <c r="G1990">
        <v>2</v>
      </c>
      <c r="H1990">
        <v>2.3686148720246001</v>
      </c>
      <c r="I1990" t="s">
        <v>957</v>
      </c>
      <c r="J1990" t="s">
        <v>4893</v>
      </c>
      <c r="K1990">
        <v>0.221428571428571</v>
      </c>
      <c r="L1990" t="s">
        <v>959</v>
      </c>
      <c r="M1990">
        <v>6.5693430656934302</v>
      </c>
      <c r="N1990" t="s">
        <v>960</v>
      </c>
      <c r="O1990">
        <v>0</v>
      </c>
      <c r="P1990">
        <v>0</v>
      </c>
      <c r="Q1990">
        <v>0</v>
      </c>
      <c r="R1990">
        <v>0</v>
      </c>
    </row>
    <row r="1991" spans="1:18" ht="16" x14ac:dyDescent="0.2">
      <c r="A1991" s="130" t="s">
        <v>3909</v>
      </c>
      <c r="B1991" t="s">
        <v>325</v>
      </c>
      <c r="C1991" t="s">
        <v>1247</v>
      </c>
      <c r="D1991" t="s">
        <v>1248</v>
      </c>
      <c r="E1991">
        <v>3</v>
      </c>
      <c r="F1991">
        <v>3</v>
      </c>
      <c r="G1991">
        <v>1</v>
      </c>
      <c r="H1991">
        <v>1.46447701502045</v>
      </c>
      <c r="I1991" t="s">
        <v>957</v>
      </c>
      <c r="J1991" t="s">
        <v>4013</v>
      </c>
      <c r="K1991">
        <v>8.5714285714285701E-2</v>
      </c>
      <c r="L1991" t="s">
        <v>959</v>
      </c>
      <c r="M1991">
        <v>6.5693430656934302</v>
      </c>
      <c r="N1991" t="s">
        <v>960</v>
      </c>
      <c r="O1991">
        <v>0</v>
      </c>
      <c r="P1991">
        <v>0</v>
      </c>
      <c r="Q1991">
        <v>0</v>
      </c>
      <c r="R1991">
        <v>0</v>
      </c>
    </row>
    <row r="1992" spans="1:18" ht="16" x14ac:dyDescent="0.2">
      <c r="A1992" s="130" t="s">
        <v>3909</v>
      </c>
      <c r="B1992" t="s">
        <v>325</v>
      </c>
      <c r="C1992" t="s">
        <v>1941</v>
      </c>
      <c r="D1992" t="s">
        <v>1942</v>
      </c>
      <c r="E1992">
        <v>3</v>
      </c>
      <c r="F1992">
        <v>3</v>
      </c>
      <c r="G1992">
        <v>1</v>
      </c>
      <c r="H1992">
        <v>2.2507809515464801</v>
      </c>
      <c r="I1992" t="s">
        <v>957</v>
      </c>
      <c r="J1992" t="s">
        <v>4036</v>
      </c>
      <c r="K1992">
        <v>0.121428571428571</v>
      </c>
      <c r="L1992" t="s">
        <v>959</v>
      </c>
      <c r="M1992">
        <v>8.0291970802919703</v>
      </c>
      <c r="N1992" t="s">
        <v>960</v>
      </c>
      <c r="O1992">
        <v>0</v>
      </c>
      <c r="P1992">
        <v>0</v>
      </c>
      <c r="Q1992">
        <v>0</v>
      </c>
      <c r="R1992">
        <v>0</v>
      </c>
    </row>
    <row r="1993" spans="1:18" ht="16" x14ac:dyDescent="0.2">
      <c r="A1993" s="130" t="s">
        <v>3909</v>
      </c>
      <c r="B1993" t="s">
        <v>329</v>
      </c>
      <c r="C1993" t="s">
        <v>3660</v>
      </c>
      <c r="E1993" t="s">
        <v>1052</v>
      </c>
      <c r="F1993">
        <v>2</v>
      </c>
      <c r="G1993">
        <v>2</v>
      </c>
      <c r="H1993">
        <v>3.57622697300808</v>
      </c>
      <c r="I1993" t="s">
        <v>957</v>
      </c>
      <c r="J1993" t="s">
        <v>4714</v>
      </c>
      <c r="K1993">
        <v>7.8571428571428598E-2</v>
      </c>
      <c r="L1993" t="s">
        <v>959</v>
      </c>
      <c r="M1993">
        <v>2.9197080291970798</v>
      </c>
      <c r="N1993" t="s">
        <v>960</v>
      </c>
      <c r="O1993">
        <v>0</v>
      </c>
      <c r="P1993">
        <v>0</v>
      </c>
      <c r="Q1993">
        <v>0</v>
      </c>
      <c r="R1993">
        <v>0</v>
      </c>
    </row>
    <row r="1994" spans="1:18" ht="16" x14ac:dyDescent="0.2">
      <c r="A1994" s="130" t="s">
        <v>3909</v>
      </c>
      <c r="B1994" t="s">
        <v>329</v>
      </c>
      <c r="C1994" t="s">
        <v>3697</v>
      </c>
      <c r="D1994" t="s">
        <v>3698</v>
      </c>
      <c r="E1994" t="s">
        <v>1039</v>
      </c>
      <c r="F1994">
        <v>3</v>
      </c>
      <c r="G1994">
        <v>2</v>
      </c>
      <c r="H1994">
        <v>2.8873615882857702</v>
      </c>
      <c r="I1994" t="s">
        <v>957</v>
      </c>
      <c r="J1994" t="s">
        <v>4309</v>
      </c>
      <c r="K1994">
        <v>0.192857142857143</v>
      </c>
      <c r="L1994" t="s">
        <v>959</v>
      </c>
      <c r="M1994">
        <v>5.10948905109489</v>
      </c>
      <c r="N1994" t="s">
        <v>960</v>
      </c>
      <c r="O1994">
        <v>0</v>
      </c>
      <c r="P1994">
        <v>0</v>
      </c>
      <c r="Q1994">
        <v>0</v>
      </c>
      <c r="R1994">
        <v>0</v>
      </c>
    </row>
    <row r="1995" spans="1:18" ht="16" x14ac:dyDescent="0.2">
      <c r="A1995" s="130" t="s">
        <v>3909</v>
      </c>
      <c r="B1995" t="s">
        <v>329</v>
      </c>
      <c r="C1995" t="s">
        <v>997</v>
      </c>
      <c r="D1995" t="s">
        <v>998</v>
      </c>
      <c r="E1995">
        <v>3</v>
      </c>
      <c r="F1995">
        <v>3</v>
      </c>
      <c r="G1995">
        <v>1</v>
      </c>
      <c r="H1995">
        <v>1.5972534113944901</v>
      </c>
      <c r="I1995" t="s">
        <v>957</v>
      </c>
      <c r="J1995" t="s">
        <v>999</v>
      </c>
      <c r="K1995">
        <v>7.8571428571428598E-2</v>
      </c>
      <c r="L1995" t="s">
        <v>959</v>
      </c>
      <c r="M1995">
        <v>8.0291970802919703</v>
      </c>
      <c r="N1995" t="s">
        <v>960</v>
      </c>
      <c r="O1995">
        <v>0</v>
      </c>
      <c r="P1995">
        <v>0</v>
      </c>
      <c r="Q1995">
        <v>0</v>
      </c>
      <c r="R1995">
        <v>0</v>
      </c>
    </row>
    <row r="1996" spans="1:18" ht="16" x14ac:dyDescent="0.2">
      <c r="A1996" s="130" t="s">
        <v>3909</v>
      </c>
      <c r="B1996" t="s">
        <v>329</v>
      </c>
      <c r="C1996" t="s">
        <v>3765</v>
      </c>
      <c r="D1996" t="s">
        <v>3766</v>
      </c>
      <c r="E1996">
        <v>3</v>
      </c>
      <c r="F1996">
        <v>3</v>
      </c>
      <c r="G1996">
        <v>1</v>
      </c>
      <c r="H1996">
        <v>2.5090509734887401</v>
      </c>
      <c r="I1996" t="s">
        <v>957</v>
      </c>
      <c r="J1996" t="s">
        <v>4639</v>
      </c>
      <c r="K1996">
        <v>0.2</v>
      </c>
      <c r="L1996" t="s">
        <v>959</v>
      </c>
      <c r="M1996">
        <v>6.5693430656934302</v>
      </c>
      <c r="N1996" t="s">
        <v>960</v>
      </c>
      <c r="O1996">
        <v>0</v>
      </c>
      <c r="P1996">
        <v>0</v>
      </c>
      <c r="Q1996">
        <v>0</v>
      </c>
      <c r="R1996">
        <v>0</v>
      </c>
    </row>
    <row r="1997" spans="1:18" ht="16" x14ac:dyDescent="0.2">
      <c r="A1997" s="130" t="s">
        <v>3909</v>
      </c>
      <c r="B1997" t="s">
        <v>329</v>
      </c>
      <c r="C1997" t="s">
        <v>2491</v>
      </c>
      <c r="D1997" t="s">
        <v>2492</v>
      </c>
      <c r="E1997">
        <v>3</v>
      </c>
      <c r="F1997">
        <v>3</v>
      </c>
      <c r="G1997">
        <v>1</v>
      </c>
      <c r="H1997">
        <v>1.55783876276148</v>
      </c>
      <c r="I1997" t="s">
        <v>957</v>
      </c>
      <c r="J1997" t="s">
        <v>4930</v>
      </c>
      <c r="K1997">
        <v>0.121428571428571</v>
      </c>
      <c r="L1997" t="s">
        <v>959</v>
      </c>
      <c r="M1997">
        <v>8.0291970802919703</v>
      </c>
      <c r="N1997" t="s">
        <v>960</v>
      </c>
      <c r="O1997">
        <v>0</v>
      </c>
      <c r="P1997">
        <v>0</v>
      </c>
      <c r="Q1997">
        <v>0</v>
      </c>
      <c r="R1997">
        <v>0</v>
      </c>
    </row>
    <row r="1998" spans="1:18" ht="16" x14ac:dyDescent="0.2">
      <c r="A1998" s="130" t="s">
        <v>3909</v>
      </c>
      <c r="B1998" t="s">
        <v>329</v>
      </c>
      <c r="C1998" t="s">
        <v>1792</v>
      </c>
      <c r="D1998" t="s">
        <v>1793</v>
      </c>
      <c r="E1998">
        <v>4</v>
      </c>
      <c r="F1998">
        <v>4</v>
      </c>
      <c r="G1998">
        <v>1</v>
      </c>
      <c r="H1998">
        <v>2.1011167225082801</v>
      </c>
      <c r="I1998" t="s">
        <v>957</v>
      </c>
      <c r="J1998" t="s">
        <v>3993</v>
      </c>
      <c r="K1998">
        <v>0.16428571428571401</v>
      </c>
      <c r="L1998" t="s">
        <v>959</v>
      </c>
      <c r="M1998">
        <v>9.4890510948905096</v>
      </c>
      <c r="N1998" t="s">
        <v>960</v>
      </c>
      <c r="O1998">
        <v>0</v>
      </c>
      <c r="P1998">
        <v>0</v>
      </c>
      <c r="Q1998">
        <v>0</v>
      </c>
      <c r="R1998">
        <v>0</v>
      </c>
    </row>
    <row r="1999" spans="1:18" ht="16" x14ac:dyDescent="0.2">
      <c r="A1999" s="130" t="s">
        <v>3909</v>
      </c>
      <c r="B1999" t="s">
        <v>329</v>
      </c>
      <c r="C1999" t="s">
        <v>1041</v>
      </c>
      <c r="E1999">
        <v>3</v>
      </c>
      <c r="F1999">
        <v>3</v>
      </c>
      <c r="G1999">
        <v>1</v>
      </c>
      <c r="H1999">
        <v>1.55419702638913</v>
      </c>
      <c r="I1999" t="s">
        <v>957</v>
      </c>
      <c r="J1999" t="s">
        <v>4623</v>
      </c>
      <c r="K1999">
        <v>0.17142857142857101</v>
      </c>
      <c r="L1999" t="s">
        <v>959</v>
      </c>
      <c r="M1999">
        <v>6.5693430656934302</v>
      </c>
      <c r="N1999" t="s">
        <v>960</v>
      </c>
      <c r="O1999">
        <v>0</v>
      </c>
      <c r="P1999">
        <v>0</v>
      </c>
      <c r="Q1999">
        <v>0</v>
      </c>
      <c r="R1999">
        <v>0</v>
      </c>
    </row>
    <row r="2000" spans="1:18" ht="16" x14ac:dyDescent="0.2">
      <c r="A2000" s="130" t="s">
        <v>3909</v>
      </c>
      <c r="B2000" t="s">
        <v>343</v>
      </c>
      <c r="C2000" t="s">
        <v>2520</v>
      </c>
      <c r="D2000" t="s">
        <v>2521</v>
      </c>
      <c r="E2000">
        <v>3</v>
      </c>
      <c r="F2000">
        <v>3</v>
      </c>
      <c r="G2000">
        <v>1</v>
      </c>
      <c r="H2000">
        <v>3.5697784531732899</v>
      </c>
      <c r="I2000" t="s">
        <v>957</v>
      </c>
      <c r="J2000" t="s">
        <v>4207</v>
      </c>
      <c r="K2000">
        <v>0.157142857142857</v>
      </c>
      <c r="L2000" t="s">
        <v>959</v>
      </c>
      <c r="M2000">
        <v>5.10948905109489</v>
      </c>
      <c r="N2000" t="s">
        <v>960</v>
      </c>
      <c r="O2000">
        <v>0</v>
      </c>
      <c r="P2000">
        <v>0</v>
      </c>
      <c r="Q2000">
        <v>0</v>
      </c>
      <c r="R2000">
        <v>0</v>
      </c>
    </row>
    <row r="2001" spans="1:18" ht="16" x14ac:dyDescent="0.2">
      <c r="A2001" s="130" t="s">
        <v>3909</v>
      </c>
      <c r="B2001" t="s">
        <v>343</v>
      </c>
      <c r="C2001" t="s">
        <v>2088</v>
      </c>
      <c r="D2001" t="s">
        <v>2089</v>
      </c>
      <c r="E2001">
        <v>3</v>
      </c>
      <c r="F2001">
        <v>3</v>
      </c>
      <c r="G2001">
        <v>1</v>
      </c>
      <c r="H2001">
        <v>2.9356778445799798</v>
      </c>
      <c r="I2001" t="s">
        <v>957</v>
      </c>
      <c r="J2001" t="s">
        <v>4461</v>
      </c>
      <c r="K2001">
        <v>7.8571428571428598E-2</v>
      </c>
      <c r="L2001" t="s">
        <v>959</v>
      </c>
      <c r="M2001">
        <v>5.8394160583941597</v>
      </c>
      <c r="N2001" t="s">
        <v>960</v>
      </c>
      <c r="O2001">
        <v>0</v>
      </c>
      <c r="P2001">
        <v>0</v>
      </c>
      <c r="Q2001">
        <v>0</v>
      </c>
      <c r="R2001">
        <v>0</v>
      </c>
    </row>
    <row r="2002" spans="1:18" ht="16" x14ac:dyDescent="0.2">
      <c r="A2002" s="130" t="s">
        <v>3909</v>
      </c>
      <c r="B2002" t="s">
        <v>343</v>
      </c>
      <c r="C2002" t="s">
        <v>2322</v>
      </c>
      <c r="D2002" t="s">
        <v>2323</v>
      </c>
      <c r="E2002" t="s">
        <v>1052</v>
      </c>
      <c r="F2002">
        <v>2</v>
      </c>
      <c r="G2002">
        <v>2</v>
      </c>
      <c r="H2002">
        <v>1.46295592911644</v>
      </c>
      <c r="I2002" t="s">
        <v>957</v>
      </c>
      <c r="J2002" t="s">
        <v>4872</v>
      </c>
      <c r="K2002">
        <v>0.192857142857143</v>
      </c>
      <c r="L2002" t="s">
        <v>959</v>
      </c>
      <c r="M2002">
        <v>6.5693430656934302</v>
      </c>
      <c r="N2002" t="s">
        <v>960</v>
      </c>
      <c r="O2002">
        <v>0</v>
      </c>
      <c r="P2002">
        <v>0</v>
      </c>
      <c r="Q2002">
        <v>0</v>
      </c>
      <c r="R2002">
        <v>0</v>
      </c>
    </row>
    <row r="2003" spans="1:18" ht="16" x14ac:dyDescent="0.2">
      <c r="A2003" s="130" t="s">
        <v>3909</v>
      </c>
      <c r="B2003" t="s">
        <v>343</v>
      </c>
      <c r="C2003" t="s">
        <v>2513</v>
      </c>
      <c r="D2003" t="s">
        <v>2514</v>
      </c>
      <c r="E2003">
        <v>3</v>
      </c>
      <c r="F2003">
        <v>3</v>
      </c>
      <c r="G2003">
        <v>1</v>
      </c>
      <c r="H2003">
        <v>2.1368288971859801</v>
      </c>
      <c r="I2003" t="s">
        <v>957</v>
      </c>
      <c r="J2003" t="s">
        <v>4003</v>
      </c>
      <c r="K2003">
        <v>4.2857142857142899E-2</v>
      </c>
      <c r="L2003" t="s">
        <v>959</v>
      </c>
      <c r="M2003">
        <v>3.6496350364963499</v>
      </c>
      <c r="N2003" t="s">
        <v>960</v>
      </c>
      <c r="O2003">
        <v>0</v>
      </c>
      <c r="P2003">
        <v>0</v>
      </c>
      <c r="Q2003">
        <v>0</v>
      </c>
      <c r="R2003">
        <v>0</v>
      </c>
    </row>
    <row r="2004" spans="1:18" ht="16" x14ac:dyDescent="0.2">
      <c r="A2004" s="130" t="s">
        <v>3909</v>
      </c>
      <c r="B2004" t="s">
        <v>343</v>
      </c>
      <c r="C2004" t="s">
        <v>4073</v>
      </c>
      <c r="D2004" t="s">
        <v>4074</v>
      </c>
      <c r="E2004" t="s">
        <v>1052</v>
      </c>
      <c r="F2004">
        <v>2</v>
      </c>
      <c r="G2004">
        <v>2</v>
      </c>
      <c r="H2004">
        <v>3.7737864636387699</v>
      </c>
      <c r="I2004" t="s">
        <v>957</v>
      </c>
      <c r="J2004" t="s">
        <v>4250</v>
      </c>
      <c r="K2004">
        <v>0.121428571428571</v>
      </c>
      <c r="L2004" t="s">
        <v>959</v>
      </c>
      <c r="M2004">
        <v>2.9197080291970798</v>
      </c>
      <c r="N2004" t="s">
        <v>960</v>
      </c>
      <c r="O2004">
        <v>0</v>
      </c>
      <c r="P2004">
        <v>0</v>
      </c>
      <c r="Q2004">
        <v>0</v>
      </c>
      <c r="R2004">
        <v>0</v>
      </c>
    </row>
    <row r="2005" spans="1:18" ht="16" x14ac:dyDescent="0.2">
      <c r="A2005" s="130" t="s">
        <v>3909</v>
      </c>
      <c r="B2005" t="s">
        <v>343</v>
      </c>
      <c r="C2005" t="s">
        <v>1332</v>
      </c>
      <c r="D2005" t="s">
        <v>1333</v>
      </c>
      <c r="E2005">
        <v>3</v>
      </c>
      <c r="F2005">
        <v>3</v>
      </c>
      <c r="G2005">
        <v>1</v>
      </c>
      <c r="H2005">
        <v>1.28980549324195</v>
      </c>
      <c r="I2005" t="s">
        <v>957</v>
      </c>
      <c r="J2005" t="s">
        <v>4335</v>
      </c>
      <c r="K2005">
        <v>0.114285714285714</v>
      </c>
      <c r="L2005" t="s">
        <v>959</v>
      </c>
      <c r="M2005">
        <v>9.4890510948905096</v>
      </c>
      <c r="N2005" t="s">
        <v>960</v>
      </c>
      <c r="O2005">
        <v>0</v>
      </c>
      <c r="P2005">
        <v>0</v>
      </c>
      <c r="Q2005">
        <v>0</v>
      </c>
      <c r="R2005">
        <v>0</v>
      </c>
    </row>
    <row r="2006" spans="1:18" ht="16" x14ac:dyDescent="0.2">
      <c r="A2006" s="130" t="s">
        <v>3909</v>
      </c>
      <c r="B2006" t="s">
        <v>343</v>
      </c>
      <c r="C2006" t="s">
        <v>3240</v>
      </c>
      <c r="D2006" t="s">
        <v>3241</v>
      </c>
      <c r="E2006">
        <v>3</v>
      </c>
      <c r="F2006">
        <v>3</v>
      </c>
      <c r="G2006">
        <v>1</v>
      </c>
      <c r="H2006">
        <v>3.5154861644638</v>
      </c>
      <c r="I2006" t="s">
        <v>957</v>
      </c>
      <c r="J2006" t="s">
        <v>4356</v>
      </c>
      <c r="K2006">
        <v>0.17647058823529399</v>
      </c>
      <c r="L2006" t="s">
        <v>1099</v>
      </c>
      <c r="M2006">
        <v>1.4598540145985399</v>
      </c>
      <c r="N2006" t="s">
        <v>973</v>
      </c>
      <c r="O2006">
        <v>0</v>
      </c>
      <c r="P2006">
        <v>0</v>
      </c>
      <c r="Q2006">
        <v>0</v>
      </c>
      <c r="R2006">
        <v>0</v>
      </c>
    </row>
    <row r="2007" spans="1:18" ht="16" x14ac:dyDescent="0.2">
      <c r="A2007" s="130" t="s">
        <v>3909</v>
      </c>
      <c r="B2007" t="s">
        <v>343</v>
      </c>
      <c r="C2007" t="s">
        <v>2485</v>
      </c>
      <c r="D2007" t="s">
        <v>2486</v>
      </c>
      <c r="E2007" t="s">
        <v>1039</v>
      </c>
      <c r="F2007">
        <v>3</v>
      </c>
      <c r="G2007">
        <v>2</v>
      </c>
      <c r="H2007">
        <v>2.5870845979041301</v>
      </c>
      <c r="I2007" t="s">
        <v>957</v>
      </c>
      <c r="J2007" t="s">
        <v>4340</v>
      </c>
      <c r="K2007">
        <v>7.8571428571428598E-2</v>
      </c>
      <c r="L2007" t="s">
        <v>959</v>
      </c>
      <c r="M2007">
        <v>3.6496350364963499</v>
      </c>
      <c r="N2007" t="s">
        <v>960</v>
      </c>
      <c r="O2007">
        <v>0</v>
      </c>
      <c r="P2007">
        <v>0</v>
      </c>
      <c r="Q2007">
        <v>0</v>
      </c>
      <c r="R2007">
        <v>0</v>
      </c>
    </row>
    <row r="2008" spans="1:18" ht="16" x14ac:dyDescent="0.2">
      <c r="A2008" s="130" t="s">
        <v>3909</v>
      </c>
      <c r="B2008" t="s">
        <v>343</v>
      </c>
      <c r="C2008" t="s">
        <v>2536</v>
      </c>
      <c r="D2008" t="s">
        <v>2537</v>
      </c>
      <c r="E2008">
        <v>3</v>
      </c>
      <c r="F2008">
        <v>3</v>
      </c>
      <c r="G2008">
        <v>1</v>
      </c>
      <c r="H2008">
        <v>2.9683538906387001</v>
      </c>
      <c r="I2008" t="s">
        <v>957</v>
      </c>
      <c r="J2008" t="s">
        <v>4115</v>
      </c>
      <c r="K2008">
        <v>0.23529411764705899</v>
      </c>
      <c r="L2008" t="s">
        <v>1099</v>
      </c>
      <c r="M2008">
        <v>7.2992700729926998</v>
      </c>
      <c r="N2008" t="s">
        <v>973</v>
      </c>
      <c r="O2008">
        <v>0</v>
      </c>
      <c r="P2008">
        <v>0</v>
      </c>
      <c r="Q2008">
        <v>0</v>
      </c>
      <c r="R2008">
        <v>0</v>
      </c>
    </row>
    <row r="2009" spans="1:18" ht="16" x14ac:dyDescent="0.2">
      <c r="A2009" s="130" t="s">
        <v>3909</v>
      </c>
      <c r="B2009" t="s">
        <v>343</v>
      </c>
      <c r="C2009" t="s">
        <v>2313</v>
      </c>
      <c r="D2009" t="s">
        <v>2314</v>
      </c>
      <c r="E2009" t="s">
        <v>1052</v>
      </c>
      <c r="F2009">
        <v>2</v>
      </c>
      <c r="G2009">
        <v>2</v>
      </c>
      <c r="H2009">
        <v>2.4086558130356601</v>
      </c>
      <c r="I2009" t="s">
        <v>957</v>
      </c>
      <c r="J2009" t="s">
        <v>4927</v>
      </c>
      <c r="K2009">
        <v>0.128571428571429</v>
      </c>
      <c r="L2009" t="s">
        <v>959</v>
      </c>
      <c r="M2009">
        <v>5.10948905109489</v>
      </c>
      <c r="N2009" t="s">
        <v>960</v>
      </c>
      <c r="O2009">
        <v>0</v>
      </c>
      <c r="P2009">
        <v>0</v>
      </c>
      <c r="Q2009">
        <v>0</v>
      </c>
      <c r="R2009">
        <v>0</v>
      </c>
    </row>
    <row r="2010" spans="1:18" ht="16" x14ac:dyDescent="0.2">
      <c r="A2010" s="130" t="s">
        <v>3909</v>
      </c>
      <c r="B2010" t="s">
        <v>343</v>
      </c>
      <c r="C2010" t="s">
        <v>3477</v>
      </c>
      <c r="D2010" t="s">
        <v>3478</v>
      </c>
      <c r="E2010" t="s">
        <v>1230</v>
      </c>
      <c r="F2010">
        <v>4</v>
      </c>
      <c r="G2010">
        <v>2</v>
      </c>
      <c r="H2010">
        <v>4.0015891160030499</v>
      </c>
      <c r="I2010" t="s">
        <v>957</v>
      </c>
      <c r="J2010" t="s">
        <v>4588</v>
      </c>
      <c r="K2010">
        <v>0.185714285714286</v>
      </c>
      <c r="L2010" t="s">
        <v>959</v>
      </c>
      <c r="M2010">
        <v>6.5693430656934302</v>
      </c>
      <c r="N2010" t="s">
        <v>960</v>
      </c>
      <c r="O2010">
        <v>0</v>
      </c>
      <c r="P2010">
        <v>0</v>
      </c>
      <c r="Q2010">
        <v>0</v>
      </c>
      <c r="R2010">
        <v>0</v>
      </c>
    </row>
    <row r="2011" spans="1:18" ht="16" x14ac:dyDescent="0.2">
      <c r="A2011" s="130" t="s">
        <v>3909</v>
      </c>
      <c r="B2011" t="s">
        <v>343</v>
      </c>
      <c r="C2011" t="s">
        <v>2821</v>
      </c>
      <c r="D2011" t="s">
        <v>2822</v>
      </c>
      <c r="E2011">
        <v>3</v>
      </c>
      <c r="F2011">
        <v>3</v>
      </c>
      <c r="G2011">
        <v>1</v>
      </c>
      <c r="H2011">
        <v>2.1667485774801101</v>
      </c>
      <c r="I2011" t="s">
        <v>957</v>
      </c>
      <c r="J2011" t="s">
        <v>4968</v>
      </c>
      <c r="K2011">
        <v>0.157142857142857</v>
      </c>
      <c r="L2011" t="s">
        <v>959</v>
      </c>
      <c r="M2011">
        <v>6.5693430656934302</v>
      </c>
      <c r="N2011" t="s">
        <v>960</v>
      </c>
      <c r="O2011">
        <v>0</v>
      </c>
      <c r="P2011">
        <v>0</v>
      </c>
      <c r="Q2011">
        <v>0</v>
      </c>
      <c r="R2011">
        <v>0</v>
      </c>
    </row>
    <row r="2012" spans="1:18" ht="16" x14ac:dyDescent="0.2">
      <c r="A2012" s="130" t="s">
        <v>3909</v>
      </c>
      <c r="B2012" t="s">
        <v>343</v>
      </c>
      <c r="C2012" s="128" t="s">
        <v>1906</v>
      </c>
      <c r="D2012" t="s">
        <v>1907</v>
      </c>
      <c r="E2012">
        <v>3</v>
      </c>
      <c r="F2012">
        <v>3</v>
      </c>
      <c r="G2012">
        <v>1</v>
      </c>
      <c r="H2012">
        <v>3.9229826005957</v>
      </c>
      <c r="I2012" t="s">
        <v>957</v>
      </c>
      <c r="J2012" t="s">
        <v>4317</v>
      </c>
      <c r="K2012">
        <v>9.2857142857142902E-2</v>
      </c>
      <c r="L2012" t="s">
        <v>959</v>
      </c>
      <c r="M2012">
        <v>3.6496350364963499</v>
      </c>
      <c r="N2012" s="128" t="s">
        <v>960</v>
      </c>
      <c r="O2012">
        <v>0</v>
      </c>
      <c r="P2012">
        <v>0</v>
      </c>
      <c r="Q2012">
        <v>0</v>
      </c>
      <c r="R2012">
        <v>0</v>
      </c>
    </row>
    <row r="2013" spans="1:18" ht="16" x14ac:dyDescent="0.2">
      <c r="A2013" s="130" t="s">
        <v>3909</v>
      </c>
      <c r="B2013" t="s">
        <v>343</v>
      </c>
      <c r="C2013" t="s">
        <v>3437</v>
      </c>
      <c r="D2013" t="s">
        <v>3438</v>
      </c>
      <c r="E2013" t="s">
        <v>1052</v>
      </c>
      <c r="F2013">
        <v>2</v>
      </c>
      <c r="G2013">
        <v>2</v>
      </c>
      <c r="H2013">
        <v>2.0370957344577199</v>
      </c>
      <c r="I2013" t="s">
        <v>957</v>
      </c>
      <c r="J2013" t="s">
        <v>4666</v>
      </c>
      <c r="K2013">
        <v>0.107142857142857</v>
      </c>
      <c r="L2013" t="s">
        <v>959</v>
      </c>
      <c r="M2013">
        <v>3.6496350364963499</v>
      </c>
      <c r="N2013" t="s">
        <v>960</v>
      </c>
      <c r="O2013">
        <v>0</v>
      </c>
      <c r="P2013">
        <v>0</v>
      </c>
      <c r="Q2013">
        <v>0</v>
      </c>
      <c r="R2013">
        <v>0</v>
      </c>
    </row>
    <row r="2014" spans="1:18" ht="16" x14ac:dyDescent="0.2">
      <c r="A2014" s="130" t="s">
        <v>3909</v>
      </c>
      <c r="B2014" t="s">
        <v>347</v>
      </c>
      <c r="C2014" t="s">
        <v>983</v>
      </c>
      <c r="D2014" t="s">
        <v>984</v>
      </c>
      <c r="E2014">
        <v>3</v>
      </c>
      <c r="F2014">
        <v>3</v>
      </c>
      <c r="G2014">
        <v>1</v>
      </c>
      <c r="H2014">
        <v>2.2883346115302001</v>
      </c>
      <c r="I2014" t="s">
        <v>957</v>
      </c>
      <c r="J2014" t="s">
        <v>4240</v>
      </c>
      <c r="K2014">
        <v>0.128571428571429</v>
      </c>
      <c r="L2014" t="s">
        <v>959</v>
      </c>
      <c r="M2014">
        <v>8.7591240875912408</v>
      </c>
      <c r="N2014" t="s">
        <v>960</v>
      </c>
      <c r="O2014">
        <v>0</v>
      </c>
      <c r="P2014">
        <v>0</v>
      </c>
      <c r="Q2014">
        <v>0</v>
      </c>
      <c r="R2014">
        <v>0</v>
      </c>
    </row>
    <row r="2015" spans="1:18" ht="16" x14ac:dyDescent="0.2">
      <c r="A2015" s="130" t="s">
        <v>3909</v>
      </c>
      <c r="B2015" t="s">
        <v>347</v>
      </c>
      <c r="C2015" t="s">
        <v>1814</v>
      </c>
      <c r="D2015" t="s">
        <v>1815</v>
      </c>
      <c r="E2015">
        <v>3</v>
      </c>
      <c r="F2015">
        <v>3</v>
      </c>
      <c r="G2015">
        <v>1</v>
      </c>
      <c r="H2015">
        <v>3.37763827441939</v>
      </c>
      <c r="I2015" t="s">
        <v>957</v>
      </c>
      <c r="J2015" t="s">
        <v>4855</v>
      </c>
      <c r="K2015">
        <v>0.157142857142857</v>
      </c>
      <c r="L2015" t="s">
        <v>959</v>
      </c>
      <c r="M2015">
        <v>5.8394160583941597</v>
      </c>
      <c r="N2015" t="s">
        <v>960</v>
      </c>
      <c r="O2015">
        <v>0</v>
      </c>
      <c r="P2015">
        <v>0</v>
      </c>
      <c r="Q2015">
        <v>0</v>
      </c>
      <c r="R2015">
        <v>0</v>
      </c>
    </row>
    <row r="2016" spans="1:18" ht="16" x14ac:dyDescent="0.2">
      <c r="A2016" s="130" t="s">
        <v>3909</v>
      </c>
      <c r="B2016" t="s">
        <v>347</v>
      </c>
      <c r="C2016" t="s">
        <v>2947</v>
      </c>
      <c r="D2016" t="s">
        <v>2948</v>
      </c>
      <c r="E2016">
        <v>3</v>
      </c>
      <c r="F2016">
        <v>3</v>
      </c>
      <c r="G2016">
        <v>1</v>
      </c>
      <c r="H2016">
        <v>2.7000826698782401</v>
      </c>
      <c r="I2016" t="s">
        <v>957</v>
      </c>
      <c r="J2016" t="s">
        <v>4089</v>
      </c>
      <c r="K2016">
        <v>0.17142857142857101</v>
      </c>
      <c r="L2016" t="s">
        <v>959</v>
      </c>
      <c r="M2016">
        <v>5.8394160583941597</v>
      </c>
      <c r="N2016" t="s">
        <v>960</v>
      </c>
      <c r="O2016">
        <v>0</v>
      </c>
      <c r="P2016" t="s">
        <v>5018</v>
      </c>
      <c r="Q2016">
        <v>0</v>
      </c>
      <c r="R2016">
        <v>0</v>
      </c>
    </row>
    <row r="2017" spans="1:18" ht="16" x14ac:dyDescent="0.2">
      <c r="A2017" s="130" t="s">
        <v>3909</v>
      </c>
      <c r="B2017" t="s">
        <v>347</v>
      </c>
      <c r="C2017" t="s">
        <v>2742</v>
      </c>
      <c r="D2017" t="s">
        <v>2743</v>
      </c>
      <c r="E2017" t="s">
        <v>1039</v>
      </c>
      <c r="F2017">
        <v>3</v>
      </c>
      <c r="G2017">
        <v>2</v>
      </c>
      <c r="H2017">
        <v>3.6787372536696599</v>
      </c>
      <c r="I2017" t="s">
        <v>957</v>
      </c>
      <c r="J2017" t="s">
        <v>4086</v>
      </c>
      <c r="K2017">
        <v>5.7142857142857099E-2</v>
      </c>
      <c r="L2017" t="s">
        <v>959</v>
      </c>
      <c r="M2017">
        <v>1.4598540145985399</v>
      </c>
      <c r="N2017" t="s">
        <v>960</v>
      </c>
      <c r="O2017">
        <v>0</v>
      </c>
      <c r="P2017">
        <v>0</v>
      </c>
      <c r="Q2017">
        <v>0</v>
      </c>
      <c r="R2017">
        <v>0</v>
      </c>
    </row>
    <row r="2018" spans="1:18" ht="16" x14ac:dyDescent="0.2">
      <c r="A2018" s="130" t="s">
        <v>3909</v>
      </c>
      <c r="B2018" t="s">
        <v>347</v>
      </c>
      <c r="C2018" t="s">
        <v>1459</v>
      </c>
      <c r="D2018" t="s">
        <v>1460</v>
      </c>
      <c r="E2018">
        <v>13</v>
      </c>
      <c r="F2018">
        <v>13</v>
      </c>
      <c r="G2018">
        <v>1</v>
      </c>
      <c r="H2018">
        <v>3.7801965740519501</v>
      </c>
      <c r="I2018" t="s">
        <v>957</v>
      </c>
      <c r="J2018" t="s">
        <v>4298</v>
      </c>
      <c r="K2018">
        <v>7.1428571428571397E-2</v>
      </c>
      <c r="L2018" t="s">
        <v>959</v>
      </c>
      <c r="M2018">
        <v>8.0291970802919703</v>
      </c>
      <c r="N2018" t="s">
        <v>960</v>
      </c>
      <c r="O2018">
        <v>0</v>
      </c>
      <c r="P2018" t="s">
        <v>5017</v>
      </c>
      <c r="Q2018">
        <v>0</v>
      </c>
      <c r="R2018" t="s">
        <v>5019</v>
      </c>
    </row>
    <row r="2019" spans="1:18" ht="16" x14ac:dyDescent="0.2">
      <c r="A2019" s="130" t="s">
        <v>3909</v>
      </c>
      <c r="B2019" t="s">
        <v>347</v>
      </c>
      <c r="C2019" t="s">
        <v>3044</v>
      </c>
      <c r="D2019" t="s">
        <v>3045</v>
      </c>
      <c r="E2019" t="s">
        <v>1052</v>
      </c>
      <c r="F2019">
        <v>2</v>
      </c>
      <c r="G2019">
        <v>2</v>
      </c>
      <c r="H2019">
        <v>1.10312498755863</v>
      </c>
      <c r="I2019" t="s">
        <v>957</v>
      </c>
      <c r="J2019" t="s">
        <v>4131</v>
      </c>
      <c r="K2019">
        <v>0.16428571428571401</v>
      </c>
      <c r="L2019" t="s">
        <v>959</v>
      </c>
      <c r="M2019">
        <v>8.7591240875912408</v>
      </c>
      <c r="N2019" t="s">
        <v>960</v>
      </c>
      <c r="O2019">
        <v>0</v>
      </c>
      <c r="P2019">
        <v>0</v>
      </c>
      <c r="Q2019">
        <v>0</v>
      </c>
      <c r="R2019">
        <v>0</v>
      </c>
    </row>
    <row r="2020" spans="1:18" ht="16" x14ac:dyDescent="0.2">
      <c r="A2020" s="130" t="s">
        <v>3909</v>
      </c>
      <c r="B2020" t="s">
        <v>347</v>
      </c>
      <c r="C2020" t="s">
        <v>1480</v>
      </c>
      <c r="D2020" t="s">
        <v>2208</v>
      </c>
      <c r="E2020">
        <v>4</v>
      </c>
      <c r="F2020">
        <v>4</v>
      </c>
      <c r="G2020">
        <v>1</v>
      </c>
      <c r="H2020">
        <v>1.9189710475216499</v>
      </c>
      <c r="I2020" t="s">
        <v>957</v>
      </c>
      <c r="J2020" t="s">
        <v>4673</v>
      </c>
      <c r="K2020">
        <v>0.13571428571428601</v>
      </c>
      <c r="L2020" t="s">
        <v>959</v>
      </c>
      <c r="M2020">
        <v>8.0291970802919703</v>
      </c>
      <c r="N2020" t="s">
        <v>960</v>
      </c>
      <c r="O2020">
        <v>0</v>
      </c>
      <c r="P2020">
        <v>0</v>
      </c>
      <c r="Q2020">
        <v>0</v>
      </c>
      <c r="R2020" t="s">
        <v>5019</v>
      </c>
    </row>
    <row r="2021" spans="1:18" ht="16" x14ac:dyDescent="0.2">
      <c r="A2021" s="130" t="s">
        <v>3909</v>
      </c>
      <c r="B2021" t="s">
        <v>354</v>
      </c>
      <c r="C2021" t="s">
        <v>2947</v>
      </c>
      <c r="D2021" t="s">
        <v>2948</v>
      </c>
      <c r="E2021" t="s">
        <v>1022</v>
      </c>
      <c r="F2021">
        <v>3</v>
      </c>
      <c r="G2021">
        <v>2</v>
      </c>
      <c r="H2021">
        <v>2.7000826698782401</v>
      </c>
      <c r="I2021" t="s">
        <v>957</v>
      </c>
      <c r="J2021" t="s">
        <v>4089</v>
      </c>
      <c r="K2021">
        <v>0.17142857142857101</v>
      </c>
      <c r="L2021" t="s">
        <v>959</v>
      </c>
      <c r="M2021">
        <v>5.8394160583941597</v>
      </c>
      <c r="N2021" t="s">
        <v>960</v>
      </c>
      <c r="O2021">
        <v>0</v>
      </c>
      <c r="P2021" t="s">
        <v>5018</v>
      </c>
      <c r="Q2021">
        <v>0</v>
      </c>
      <c r="R2021">
        <v>0</v>
      </c>
    </row>
    <row r="2022" spans="1:18" ht="16" x14ac:dyDescent="0.2">
      <c r="A2022" s="130" t="s">
        <v>3909</v>
      </c>
      <c r="B2022" t="s">
        <v>354</v>
      </c>
      <c r="C2022" t="s">
        <v>2105</v>
      </c>
      <c r="D2022" t="s">
        <v>2106</v>
      </c>
      <c r="E2022" t="s">
        <v>1052</v>
      </c>
      <c r="F2022">
        <v>2</v>
      </c>
      <c r="G2022">
        <v>2</v>
      </c>
      <c r="H2022">
        <v>1.8998468185020301</v>
      </c>
      <c r="I2022" t="s">
        <v>957</v>
      </c>
      <c r="J2022" t="s">
        <v>3942</v>
      </c>
      <c r="K2022">
        <v>0.13571428571428601</v>
      </c>
      <c r="L2022" t="s">
        <v>959</v>
      </c>
      <c r="M2022">
        <v>8.0291970802919703</v>
      </c>
      <c r="N2022" t="s">
        <v>960</v>
      </c>
      <c r="O2022">
        <v>0</v>
      </c>
      <c r="P2022">
        <v>0</v>
      </c>
      <c r="Q2022">
        <v>0</v>
      </c>
      <c r="R2022">
        <v>0</v>
      </c>
    </row>
    <row r="2023" spans="1:18" ht="16" x14ac:dyDescent="0.2">
      <c r="A2023" s="130" t="s">
        <v>3909</v>
      </c>
      <c r="B2023" t="s">
        <v>358</v>
      </c>
      <c r="C2023" t="s">
        <v>1376</v>
      </c>
      <c r="D2023" t="s">
        <v>1377</v>
      </c>
      <c r="E2023" t="s">
        <v>1059</v>
      </c>
      <c r="F2023">
        <v>4</v>
      </c>
      <c r="G2023">
        <v>2</v>
      </c>
      <c r="H2023">
        <v>1.5868372593834299</v>
      </c>
      <c r="I2023" t="s">
        <v>957</v>
      </c>
      <c r="J2023" t="s">
        <v>4789</v>
      </c>
      <c r="K2023">
        <v>0.17142857142857101</v>
      </c>
      <c r="L2023" t="s">
        <v>959</v>
      </c>
      <c r="M2023">
        <v>9.4890510948905096</v>
      </c>
      <c r="N2023" t="s">
        <v>960</v>
      </c>
      <c r="O2023">
        <v>0</v>
      </c>
      <c r="P2023">
        <v>0</v>
      </c>
      <c r="Q2023">
        <v>0</v>
      </c>
      <c r="R2023">
        <v>0</v>
      </c>
    </row>
    <row r="2024" spans="1:18" ht="16" x14ac:dyDescent="0.2">
      <c r="A2024" s="130" t="s">
        <v>3909</v>
      </c>
      <c r="B2024" t="s">
        <v>358</v>
      </c>
      <c r="C2024" t="s">
        <v>2322</v>
      </c>
      <c r="D2024" t="s">
        <v>2323</v>
      </c>
      <c r="E2024" t="s">
        <v>1039</v>
      </c>
      <c r="F2024">
        <v>3</v>
      </c>
      <c r="G2024">
        <v>2</v>
      </c>
      <c r="H2024">
        <v>3.3248998389010098</v>
      </c>
      <c r="I2024" t="s">
        <v>957</v>
      </c>
      <c r="J2024" t="s">
        <v>4219</v>
      </c>
      <c r="K2024">
        <v>0.192857142857143</v>
      </c>
      <c r="L2024" t="s">
        <v>959</v>
      </c>
      <c r="M2024">
        <v>6.5693430656934302</v>
      </c>
      <c r="N2024" t="s">
        <v>960</v>
      </c>
      <c r="O2024">
        <v>0</v>
      </c>
      <c r="P2024">
        <v>0</v>
      </c>
      <c r="Q2024">
        <v>0</v>
      </c>
      <c r="R2024">
        <v>0</v>
      </c>
    </row>
    <row r="2025" spans="1:18" ht="16" x14ac:dyDescent="0.2">
      <c r="A2025" s="130" t="s">
        <v>3909</v>
      </c>
      <c r="B2025" t="s">
        <v>358</v>
      </c>
      <c r="C2025" t="s">
        <v>1263</v>
      </c>
      <c r="D2025" t="s">
        <v>1264</v>
      </c>
      <c r="E2025" t="s">
        <v>1052</v>
      </c>
      <c r="F2025">
        <v>2</v>
      </c>
      <c r="G2025">
        <v>2</v>
      </c>
      <c r="H2025">
        <v>0.827944075464499</v>
      </c>
      <c r="I2025" t="s">
        <v>957</v>
      </c>
      <c r="J2025" t="s">
        <v>4763</v>
      </c>
      <c r="K2025">
        <v>0.17142857142857101</v>
      </c>
      <c r="L2025" t="s">
        <v>959</v>
      </c>
      <c r="M2025">
        <v>4.3795620437956204</v>
      </c>
      <c r="N2025" t="s">
        <v>960</v>
      </c>
      <c r="O2025">
        <v>0</v>
      </c>
      <c r="P2025">
        <v>0</v>
      </c>
      <c r="Q2025">
        <v>0</v>
      </c>
      <c r="R2025">
        <v>0</v>
      </c>
    </row>
    <row r="2026" spans="1:18" ht="16" x14ac:dyDescent="0.2">
      <c r="A2026" s="130" t="s">
        <v>3909</v>
      </c>
      <c r="B2026" t="s">
        <v>358</v>
      </c>
      <c r="C2026" t="s">
        <v>1792</v>
      </c>
      <c r="D2026" t="s">
        <v>1793</v>
      </c>
      <c r="E2026">
        <v>3</v>
      </c>
      <c r="F2026">
        <v>3</v>
      </c>
      <c r="G2026">
        <v>1</v>
      </c>
      <c r="H2026">
        <v>1.47790413532362</v>
      </c>
      <c r="I2026" t="s">
        <v>957</v>
      </c>
      <c r="J2026" t="s">
        <v>4622</v>
      </c>
      <c r="K2026">
        <v>0.16428571428571401</v>
      </c>
      <c r="L2026" t="s">
        <v>959</v>
      </c>
      <c r="M2026">
        <v>9.4890510948905096</v>
      </c>
      <c r="N2026" t="s">
        <v>960</v>
      </c>
      <c r="O2026">
        <v>0</v>
      </c>
      <c r="P2026">
        <v>0</v>
      </c>
      <c r="Q2026">
        <v>0</v>
      </c>
      <c r="R2026">
        <v>0</v>
      </c>
    </row>
    <row r="2027" spans="1:18" ht="16" x14ac:dyDescent="0.2">
      <c r="A2027" s="130" t="s">
        <v>3909</v>
      </c>
      <c r="B2027" t="s">
        <v>358</v>
      </c>
      <c r="C2027" t="s">
        <v>1247</v>
      </c>
      <c r="D2027" t="s">
        <v>1248</v>
      </c>
      <c r="E2027" t="s">
        <v>1052</v>
      </c>
      <c r="F2027">
        <v>2</v>
      </c>
      <c r="G2027">
        <v>2</v>
      </c>
      <c r="H2027">
        <v>0.907339020175714</v>
      </c>
      <c r="I2027" t="s">
        <v>957</v>
      </c>
      <c r="J2027" t="s">
        <v>4687</v>
      </c>
      <c r="K2027">
        <v>8.5714285714285701E-2</v>
      </c>
      <c r="L2027" t="s">
        <v>959</v>
      </c>
      <c r="M2027">
        <v>6.5693430656934302</v>
      </c>
      <c r="N2027" t="s">
        <v>960</v>
      </c>
      <c r="O2027">
        <v>0</v>
      </c>
      <c r="P2027">
        <v>0</v>
      </c>
      <c r="Q2027">
        <v>0</v>
      </c>
      <c r="R2027">
        <v>0</v>
      </c>
    </row>
    <row r="2028" spans="1:18" ht="16" x14ac:dyDescent="0.2">
      <c r="A2028" s="130" t="s">
        <v>3909</v>
      </c>
      <c r="B2028" t="s">
        <v>358</v>
      </c>
      <c r="C2028" t="s">
        <v>2814</v>
      </c>
      <c r="D2028" t="s">
        <v>2815</v>
      </c>
      <c r="E2028">
        <v>3</v>
      </c>
      <c r="F2028">
        <v>3</v>
      </c>
      <c r="G2028">
        <v>1</v>
      </c>
      <c r="H2028">
        <v>2.0945802780162301</v>
      </c>
      <c r="I2028" t="s">
        <v>957</v>
      </c>
      <c r="J2028" t="s">
        <v>4970</v>
      </c>
      <c r="K2028">
        <v>0.15</v>
      </c>
      <c r="L2028" t="s">
        <v>959</v>
      </c>
      <c r="M2028">
        <v>7.2992700729926998</v>
      </c>
      <c r="N2028" t="s">
        <v>960</v>
      </c>
      <c r="O2028">
        <v>0</v>
      </c>
      <c r="P2028">
        <v>0</v>
      </c>
      <c r="Q2028">
        <v>0</v>
      </c>
      <c r="R2028">
        <v>0</v>
      </c>
    </row>
    <row r="2029" spans="1:18" ht="16" x14ac:dyDescent="0.2">
      <c r="A2029" s="130" t="s">
        <v>3909</v>
      </c>
      <c r="B2029" t="s">
        <v>358</v>
      </c>
      <c r="C2029" t="s">
        <v>1222</v>
      </c>
      <c r="D2029" t="s">
        <v>1223</v>
      </c>
      <c r="E2029" t="s">
        <v>1052</v>
      </c>
      <c r="F2029">
        <v>2</v>
      </c>
      <c r="G2029">
        <v>2</v>
      </c>
      <c r="H2029">
        <v>0.29709132145363698</v>
      </c>
      <c r="I2029" t="s">
        <v>957</v>
      </c>
      <c r="J2029" t="s">
        <v>4068</v>
      </c>
      <c r="K2029">
        <v>7.8571428571428598E-2</v>
      </c>
      <c r="L2029" t="s">
        <v>959</v>
      </c>
      <c r="M2029">
        <v>3.6496350364963499</v>
      </c>
      <c r="N2029" t="s">
        <v>960</v>
      </c>
      <c r="O2029">
        <v>0</v>
      </c>
      <c r="P2029">
        <v>0</v>
      </c>
      <c r="Q2029">
        <v>0</v>
      </c>
      <c r="R2029">
        <v>0</v>
      </c>
    </row>
    <row r="2030" spans="1:18" ht="16" x14ac:dyDescent="0.2">
      <c r="A2030" s="130" t="s">
        <v>3909</v>
      </c>
      <c r="B2030" t="s">
        <v>362</v>
      </c>
      <c r="C2030" t="s">
        <v>4318</v>
      </c>
      <c r="D2030" t="s">
        <v>4319</v>
      </c>
      <c r="E2030" t="s">
        <v>1052</v>
      </c>
      <c r="F2030">
        <v>2</v>
      </c>
      <c r="G2030">
        <v>2</v>
      </c>
      <c r="H2030">
        <v>4.0244548894183199</v>
      </c>
      <c r="I2030" t="s">
        <v>957</v>
      </c>
      <c r="J2030" t="s">
        <v>4738</v>
      </c>
      <c r="K2030">
        <v>0.13571428571428601</v>
      </c>
      <c r="L2030" t="s">
        <v>959</v>
      </c>
      <c r="M2030">
        <v>1.4598540145985399</v>
      </c>
      <c r="N2030" t="s">
        <v>960</v>
      </c>
      <c r="O2030">
        <v>0</v>
      </c>
      <c r="P2030">
        <v>0</v>
      </c>
      <c r="Q2030">
        <v>0</v>
      </c>
      <c r="R2030">
        <v>0</v>
      </c>
    </row>
    <row r="2031" spans="1:18" ht="16" x14ac:dyDescent="0.2">
      <c r="A2031" s="130" t="s">
        <v>3909</v>
      </c>
      <c r="B2031" t="s">
        <v>362</v>
      </c>
      <c r="C2031" t="s">
        <v>983</v>
      </c>
      <c r="D2031" t="s">
        <v>984</v>
      </c>
      <c r="E2031" t="s">
        <v>1059</v>
      </c>
      <c r="F2031">
        <v>4</v>
      </c>
      <c r="G2031">
        <v>2</v>
      </c>
      <c r="H2031">
        <v>2.2883346115302001</v>
      </c>
      <c r="I2031" t="s">
        <v>957</v>
      </c>
      <c r="J2031" t="s">
        <v>4800</v>
      </c>
      <c r="K2031">
        <v>0.128571428571429</v>
      </c>
      <c r="L2031" t="s">
        <v>959</v>
      </c>
      <c r="M2031">
        <v>8.7591240875912408</v>
      </c>
      <c r="N2031" t="s">
        <v>960</v>
      </c>
      <c r="O2031">
        <v>0</v>
      </c>
      <c r="P2031">
        <v>0</v>
      </c>
      <c r="Q2031">
        <v>0</v>
      </c>
      <c r="R2031">
        <v>0</v>
      </c>
    </row>
    <row r="2032" spans="1:18" ht="16" x14ac:dyDescent="0.2">
      <c r="A2032" s="130" t="s">
        <v>3909</v>
      </c>
      <c r="B2032" t="s">
        <v>362</v>
      </c>
      <c r="C2032" t="s">
        <v>3159</v>
      </c>
      <c r="D2032" t="s">
        <v>3160</v>
      </c>
      <c r="E2032" t="s">
        <v>1052</v>
      </c>
      <c r="F2032">
        <v>2</v>
      </c>
      <c r="G2032">
        <v>2</v>
      </c>
      <c r="H2032">
        <v>3.2810777890682599</v>
      </c>
      <c r="I2032" t="s">
        <v>957</v>
      </c>
      <c r="J2032" t="s">
        <v>4631</v>
      </c>
      <c r="K2032">
        <v>0.13571428571428601</v>
      </c>
      <c r="L2032" t="s">
        <v>959</v>
      </c>
      <c r="M2032">
        <v>1.4598540145985399</v>
      </c>
      <c r="N2032" t="s">
        <v>960</v>
      </c>
      <c r="O2032">
        <v>0</v>
      </c>
      <c r="P2032">
        <v>0</v>
      </c>
      <c r="Q2032">
        <v>0</v>
      </c>
      <c r="R2032">
        <v>0</v>
      </c>
    </row>
    <row r="2033" spans="1:18" ht="16" x14ac:dyDescent="0.2">
      <c r="A2033" s="130" t="s">
        <v>3909</v>
      </c>
      <c r="B2033" t="s">
        <v>362</v>
      </c>
      <c r="C2033" t="s">
        <v>2641</v>
      </c>
      <c r="D2033" t="s">
        <v>2642</v>
      </c>
      <c r="E2033">
        <v>4</v>
      </c>
      <c r="F2033">
        <v>4</v>
      </c>
      <c r="G2033">
        <v>1</v>
      </c>
      <c r="H2033">
        <v>2.3797752685726499</v>
      </c>
      <c r="I2033" t="s">
        <v>957</v>
      </c>
      <c r="J2033" t="s">
        <v>4859</v>
      </c>
      <c r="K2033">
        <v>0.17857142857142899</v>
      </c>
      <c r="L2033" t="s">
        <v>959</v>
      </c>
      <c r="M2033">
        <v>8.0291970802919703</v>
      </c>
      <c r="N2033" t="s">
        <v>960</v>
      </c>
      <c r="O2033">
        <v>0</v>
      </c>
      <c r="P2033">
        <v>0</v>
      </c>
      <c r="Q2033">
        <v>0</v>
      </c>
      <c r="R2033">
        <v>0</v>
      </c>
    </row>
    <row r="2034" spans="1:18" ht="16" x14ac:dyDescent="0.2">
      <c r="A2034" s="130" t="s">
        <v>3909</v>
      </c>
      <c r="B2034" t="s">
        <v>362</v>
      </c>
      <c r="C2034" t="s">
        <v>1653</v>
      </c>
      <c r="D2034" t="s">
        <v>1654</v>
      </c>
      <c r="E2034" t="s">
        <v>1052</v>
      </c>
      <c r="F2034">
        <v>2</v>
      </c>
      <c r="G2034">
        <v>2</v>
      </c>
      <c r="H2034">
        <v>2.11945952413449</v>
      </c>
      <c r="I2034" t="s">
        <v>957</v>
      </c>
      <c r="J2034" t="s">
        <v>5011</v>
      </c>
      <c r="K2034">
        <v>0.20714285714285699</v>
      </c>
      <c r="L2034" t="s">
        <v>959</v>
      </c>
      <c r="M2034">
        <v>5.8394160583941597</v>
      </c>
      <c r="N2034" t="s">
        <v>960</v>
      </c>
      <c r="O2034">
        <v>0</v>
      </c>
      <c r="P2034">
        <v>0</v>
      </c>
      <c r="Q2034">
        <v>0</v>
      </c>
      <c r="R2034">
        <v>0</v>
      </c>
    </row>
    <row r="2035" spans="1:18" ht="16" x14ac:dyDescent="0.2">
      <c r="A2035" s="130" t="s">
        <v>3909</v>
      </c>
      <c r="B2035" t="s">
        <v>362</v>
      </c>
      <c r="C2035" t="s">
        <v>1792</v>
      </c>
      <c r="D2035" t="s">
        <v>1793</v>
      </c>
      <c r="E2035">
        <v>4</v>
      </c>
      <c r="F2035">
        <v>4</v>
      </c>
      <c r="G2035">
        <v>1</v>
      </c>
      <c r="H2035">
        <v>2.1011167225082801</v>
      </c>
      <c r="I2035" t="s">
        <v>957</v>
      </c>
      <c r="J2035" t="s">
        <v>4945</v>
      </c>
      <c r="K2035">
        <v>0.16428571428571401</v>
      </c>
      <c r="L2035" t="s">
        <v>959</v>
      </c>
      <c r="M2035">
        <v>9.4890510948905096</v>
      </c>
      <c r="N2035" t="s">
        <v>960</v>
      </c>
      <c r="O2035">
        <v>0</v>
      </c>
      <c r="P2035">
        <v>0</v>
      </c>
      <c r="Q2035">
        <v>0</v>
      </c>
      <c r="R2035">
        <v>0</v>
      </c>
    </row>
    <row r="2036" spans="1:18" ht="16" x14ac:dyDescent="0.2">
      <c r="A2036" s="130" t="s">
        <v>3909</v>
      </c>
      <c r="B2036" t="s">
        <v>362</v>
      </c>
      <c r="C2036" t="s">
        <v>2030</v>
      </c>
      <c r="D2036" t="s">
        <v>2031</v>
      </c>
      <c r="E2036" t="s">
        <v>1052</v>
      </c>
      <c r="F2036">
        <v>2</v>
      </c>
      <c r="G2036">
        <v>2</v>
      </c>
      <c r="H2036">
        <v>1.91819752863957</v>
      </c>
      <c r="I2036" t="s">
        <v>957</v>
      </c>
      <c r="J2036" t="s">
        <v>4492</v>
      </c>
      <c r="K2036">
        <v>0.128571428571429</v>
      </c>
      <c r="L2036" t="s">
        <v>959</v>
      </c>
      <c r="M2036">
        <v>5.8394160583941597</v>
      </c>
      <c r="N2036" t="s">
        <v>960</v>
      </c>
      <c r="O2036">
        <v>0</v>
      </c>
      <c r="P2036">
        <v>0</v>
      </c>
      <c r="Q2036">
        <v>0</v>
      </c>
      <c r="R2036">
        <v>0</v>
      </c>
    </row>
    <row r="2037" spans="1:18" ht="16" x14ac:dyDescent="0.2">
      <c r="A2037" s="130" t="s">
        <v>3909</v>
      </c>
      <c r="B2037" t="s">
        <v>362</v>
      </c>
      <c r="C2037" t="s">
        <v>1430</v>
      </c>
      <c r="D2037" t="s">
        <v>1765</v>
      </c>
      <c r="E2037" t="s">
        <v>1102</v>
      </c>
      <c r="F2037">
        <v>4</v>
      </c>
      <c r="G2037">
        <v>2</v>
      </c>
      <c r="H2037">
        <v>3.1505661652126999</v>
      </c>
      <c r="I2037" t="s">
        <v>957</v>
      </c>
      <c r="J2037" t="s">
        <v>4629</v>
      </c>
      <c r="K2037">
        <v>0.15</v>
      </c>
      <c r="L2037" t="s">
        <v>959</v>
      </c>
      <c r="M2037">
        <v>6.5693430656934302</v>
      </c>
      <c r="N2037" t="s">
        <v>960</v>
      </c>
      <c r="O2037">
        <v>0</v>
      </c>
      <c r="P2037">
        <v>0</v>
      </c>
      <c r="Q2037">
        <v>0</v>
      </c>
      <c r="R2037">
        <v>0</v>
      </c>
    </row>
    <row r="2038" spans="1:18" ht="16" x14ac:dyDescent="0.2">
      <c r="A2038" s="130" t="s">
        <v>3909</v>
      </c>
      <c r="B2038" t="s">
        <v>362</v>
      </c>
      <c r="C2038" t="s">
        <v>1247</v>
      </c>
      <c r="D2038" t="s">
        <v>1248</v>
      </c>
      <c r="E2038" t="s">
        <v>2857</v>
      </c>
      <c r="F2038">
        <v>6</v>
      </c>
      <c r="G2038">
        <v>2</v>
      </c>
      <c r="H2038">
        <v>3.1358909995546602</v>
      </c>
      <c r="I2038" t="s">
        <v>957</v>
      </c>
      <c r="J2038" t="s">
        <v>4450</v>
      </c>
      <c r="K2038">
        <v>8.5714285714285701E-2</v>
      </c>
      <c r="L2038" t="s">
        <v>959</v>
      </c>
      <c r="M2038">
        <v>6.5693430656934302</v>
      </c>
      <c r="N2038" t="s">
        <v>960</v>
      </c>
      <c r="O2038">
        <v>0</v>
      </c>
      <c r="P2038">
        <v>0</v>
      </c>
      <c r="Q2038">
        <v>0</v>
      </c>
      <c r="R2038">
        <v>0</v>
      </c>
    </row>
    <row r="2039" spans="1:18" ht="16" x14ac:dyDescent="0.2">
      <c r="A2039" s="130" t="s">
        <v>3909</v>
      </c>
      <c r="B2039" t="s">
        <v>362</v>
      </c>
      <c r="C2039" t="s">
        <v>1944</v>
      </c>
      <c r="D2039" t="s">
        <v>1945</v>
      </c>
      <c r="E2039" t="s">
        <v>2253</v>
      </c>
      <c r="F2039">
        <v>4</v>
      </c>
      <c r="G2039">
        <v>3</v>
      </c>
      <c r="H2039">
        <v>3.80723694831679</v>
      </c>
      <c r="I2039" t="s">
        <v>957</v>
      </c>
      <c r="J2039" t="s">
        <v>3872</v>
      </c>
      <c r="K2039">
        <v>0.15</v>
      </c>
      <c r="L2039" t="s">
        <v>959</v>
      </c>
      <c r="M2039">
        <v>5.10948905109489</v>
      </c>
      <c r="N2039" t="s">
        <v>960</v>
      </c>
      <c r="O2039">
        <v>0</v>
      </c>
      <c r="P2039">
        <v>0</v>
      </c>
      <c r="Q2039">
        <v>0</v>
      </c>
      <c r="R2039">
        <v>0</v>
      </c>
    </row>
    <row r="2040" spans="1:18" ht="16" x14ac:dyDescent="0.2">
      <c r="A2040" s="130" t="s">
        <v>3909</v>
      </c>
      <c r="B2040" t="s">
        <v>366</v>
      </c>
      <c r="C2040" t="s">
        <v>2310</v>
      </c>
      <c r="D2040" t="s">
        <v>2311</v>
      </c>
      <c r="E2040" t="s">
        <v>1692</v>
      </c>
      <c r="F2040">
        <v>5</v>
      </c>
      <c r="G2040">
        <v>2</v>
      </c>
      <c r="H2040">
        <v>3.5184356722007601</v>
      </c>
      <c r="I2040" t="s">
        <v>957</v>
      </c>
      <c r="J2040" t="s">
        <v>4138</v>
      </c>
      <c r="K2040">
        <v>0.128571428571429</v>
      </c>
      <c r="L2040" t="s">
        <v>959</v>
      </c>
      <c r="M2040">
        <v>8.7591240875912408</v>
      </c>
      <c r="N2040" t="s">
        <v>960</v>
      </c>
      <c r="O2040">
        <v>0</v>
      </c>
      <c r="P2040">
        <v>0</v>
      </c>
      <c r="Q2040">
        <v>0</v>
      </c>
      <c r="R2040">
        <v>0</v>
      </c>
    </row>
    <row r="2041" spans="1:18" ht="16" x14ac:dyDescent="0.2">
      <c r="A2041" s="130" t="s">
        <v>3909</v>
      </c>
      <c r="B2041" t="s">
        <v>366</v>
      </c>
      <c r="C2041" t="s">
        <v>3305</v>
      </c>
      <c r="D2041" t="s">
        <v>3306</v>
      </c>
      <c r="E2041" t="s">
        <v>1022</v>
      </c>
      <c r="F2041">
        <v>3</v>
      </c>
      <c r="G2041">
        <v>2</v>
      </c>
      <c r="H2041">
        <v>2.3729564286217801</v>
      </c>
      <c r="I2041" t="s">
        <v>957</v>
      </c>
      <c r="J2041" t="s">
        <v>4088</v>
      </c>
      <c r="K2041">
        <v>0.16428571428571401</v>
      </c>
      <c r="L2041" t="s">
        <v>959</v>
      </c>
      <c r="M2041">
        <v>8.7591240875912408</v>
      </c>
      <c r="N2041" t="s">
        <v>960</v>
      </c>
      <c r="O2041">
        <v>0</v>
      </c>
      <c r="P2041">
        <v>0</v>
      </c>
      <c r="Q2041">
        <v>0</v>
      </c>
      <c r="R2041">
        <v>0</v>
      </c>
    </row>
    <row r="2042" spans="1:18" ht="16" x14ac:dyDescent="0.2">
      <c r="A2042" s="130" t="s">
        <v>3909</v>
      </c>
      <c r="B2042" t="s">
        <v>366</v>
      </c>
      <c r="C2042" t="s">
        <v>2773</v>
      </c>
      <c r="D2042" t="s">
        <v>2774</v>
      </c>
      <c r="E2042" t="s">
        <v>1265</v>
      </c>
      <c r="F2042">
        <v>6</v>
      </c>
      <c r="G2042">
        <v>2</v>
      </c>
      <c r="H2042">
        <v>2.8880964799170998</v>
      </c>
      <c r="I2042" t="s">
        <v>957</v>
      </c>
      <c r="J2042" t="s">
        <v>4097</v>
      </c>
      <c r="K2042">
        <v>0.20714285714285699</v>
      </c>
      <c r="L2042" t="s">
        <v>959</v>
      </c>
      <c r="M2042">
        <v>8.0291970802919703</v>
      </c>
      <c r="N2042" t="s">
        <v>960</v>
      </c>
      <c r="O2042">
        <v>0</v>
      </c>
      <c r="P2042">
        <v>0</v>
      </c>
      <c r="Q2042">
        <v>0</v>
      </c>
      <c r="R2042">
        <v>0</v>
      </c>
    </row>
    <row r="2043" spans="1:18" ht="16" x14ac:dyDescent="0.2">
      <c r="A2043" s="130" t="s">
        <v>3909</v>
      </c>
      <c r="B2043" t="s">
        <v>366</v>
      </c>
      <c r="C2043" t="s">
        <v>1383</v>
      </c>
      <c r="D2043" t="s">
        <v>1384</v>
      </c>
      <c r="E2043" t="s">
        <v>1052</v>
      </c>
      <c r="F2043">
        <v>2</v>
      </c>
      <c r="G2043">
        <v>2</v>
      </c>
      <c r="H2043">
        <v>2.2416691354829301</v>
      </c>
      <c r="I2043" t="s">
        <v>957</v>
      </c>
      <c r="J2043" t="s">
        <v>4955</v>
      </c>
      <c r="K2043">
        <v>0.1</v>
      </c>
      <c r="L2043" t="s">
        <v>959</v>
      </c>
      <c r="M2043">
        <v>3.6496350364963499</v>
      </c>
      <c r="N2043" t="s">
        <v>960</v>
      </c>
      <c r="O2043">
        <v>0</v>
      </c>
      <c r="P2043">
        <v>0</v>
      </c>
      <c r="Q2043">
        <v>0</v>
      </c>
      <c r="R2043">
        <v>0</v>
      </c>
    </row>
    <row r="2044" spans="1:18" ht="16" x14ac:dyDescent="0.2">
      <c r="A2044" s="130" t="s">
        <v>3909</v>
      </c>
      <c r="B2044" t="s">
        <v>366</v>
      </c>
      <c r="C2044" t="s">
        <v>4078</v>
      </c>
      <c r="D2044" t="s">
        <v>4079</v>
      </c>
      <c r="E2044" t="s">
        <v>1974</v>
      </c>
      <c r="F2044">
        <v>5</v>
      </c>
      <c r="G2044">
        <v>2</v>
      </c>
      <c r="H2044">
        <v>1.6684448510477301</v>
      </c>
      <c r="I2044" t="s">
        <v>957</v>
      </c>
      <c r="J2044" t="s">
        <v>4080</v>
      </c>
      <c r="K2044">
        <v>0.37931034482758602</v>
      </c>
      <c r="L2044" t="s">
        <v>972</v>
      </c>
      <c r="M2044">
        <v>4.3795620437956204</v>
      </c>
      <c r="N2044" t="s">
        <v>973</v>
      </c>
      <c r="O2044">
        <v>0</v>
      </c>
      <c r="P2044">
        <v>0</v>
      </c>
      <c r="Q2044">
        <v>0</v>
      </c>
      <c r="R2044">
        <v>0</v>
      </c>
    </row>
    <row r="2045" spans="1:18" ht="16" x14ac:dyDescent="0.2">
      <c r="A2045" s="130" t="s">
        <v>3909</v>
      </c>
      <c r="B2045" t="s">
        <v>366</v>
      </c>
      <c r="C2045" t="s">
        <v>2818</v>
      </c>
      <c r="D2045" t="s">
        <v>2819</v>
      </c>
      <c r="E2045">
        <v>3</v>
      </c>
      <c r="F2045">
        <v>3</v>
      </c>
      <c r="G2045">
        <v>1</v>
      </c>
      <c r="H2045">
        <v>3.8654242287994198</v>
      </c>
      <c r="I2045" t="s">
        <v>957</v>
      </c>
      <c r="J2045" t="s">
        <v>4414</v>
      </c>
      <c r="K2045">
        <v>0.13571428571428601</v>
      </c>
      <c r="L2045" t="s">
        <v>959</v>
      </c>
      <c r="M2045">
        <v>5.10948905109489</v>
      </c>
      <c r="N2045" t="s">
        <v>960</v>
      </c>
      <c r="O2045">
        <v>0</v>
      </c>
      <c r="P2045">
        <v>0</v>
      </c>
      <c r="Q2045">
        <v>0</v>
      </c>
      <c r="R2045">
        <v>0</v>
      </c>
    </row>
    <row r="2046" spans="1:18" ht="16" x14ac:dyDescent="0.2">
      <c r="A2046" s="130" t="s">
        <v>3909</v>
      </c>
      <c r="B2046" t="s">
        <v>366</v>
      </c>
      <c r="C2046" t="s">
        <v>1525</v>
      </c>
      <c r="D2046" t="s">
        <v>1526</v>
      </c>
      <c r="E2046" t="s">
        <v>1425</v>
      </c>
      <c r="F2046">
        <v>8</v>
      </c>
      <c r="G2046">
        <v>2</v>
      </c>
      <c r="H2046">
        <v>2.1266443347621302</v>
      </c>
      <c r="I2046" t="s">
        <v>957</v>
      </c>
      <c r="J2046" t="s">
        <v>4779</v>
      </c>
      <c r="K2046">
        <v>0.20689655172413801</v>
      </c>
      <c r="L2046" t="s">
        <v>972</v>
      </c>
      <c r="M2046">
        <v>2.1897810218978102</v>
      </c>
      <c r="N2046" t="s">
        <v>973</v>
      </c>
      <c r="O2046">
        <v>0</v>
      </c>
      <c r="P2046">
        <v>0</v>
      </c>
      <c r="Q2046">
        <v>0</v>
      </c>
      <c r="R2046">
        <v>0</v>
      </c>
    </row>
    <row r="2047" spans="1:18" ht="16" x14ac:dyDescent="0.2">
      <c r="A2047" s="130" t="s">
        <v>3909</v>
      </c>
      <c r="B2047" t="s">
        <v>370</v>
      </c>
      <c r="C2047" t="s">
        <v>4351</v>
      </c>
      <c r="D2047" t="s">
        <v>4352</v>
      </c>
      <c r="E2047" t="s">
        <v>1008</v>
      </c>
      <c r="F2047">
        <v>7</v>
      </c>
      <c r="G2047">
        <v>2</v>
      </c>
      <c r="H2047">
        <v>2.3365234880777401</v>
      </c>
      <c r="I2047" t="s">
        <v>957</v>
      </c>
      <c r="J2047" t="s">
        <v>4577</v>
      </c>
      <c r="K2047">
        <v>0.34482758620689702</v>
      </c>
      <c r="L2047" t="s">
        <v>972</v>
      </c>
      <c r="M2047">
        <v>5.10948905109489</v>
      </c>
      <c r="N2047" t="s">
        <v>973</v>
      </c>
      <c r="O2047">
        <v>0</v>
      </c>
      <c r="P2047">
        <v>0</v>
      </c>
      <c r="Q2047">
        <v>0</v>
      </c>
      <c r="R2047">
        <v>0</v>
      </c>
    </row>
    <row r="2048" spans="1:18" ht="16" x14ac:dyDescent="0.2">
      <c r="A2048" s="130" t="s">
        <v>3909</v>
      </c>
      <c r="B2048" t="s">
        <v>370</v>
      </c>
      <c r="C2048" t="s">
        <v>1339</v>
      </c>
      <c r="D2048" t="s">
        <v>1340</v>
      </c>
      <c r="E2048">
        <v>3</v>
      </c>
      <c r="F2048">
        <v>3</v>
      </c>
      <c r="G2048">
        <v>1</v>
      </c>
      <c r="H2048">
        <v>3.8701635545367599</v>
      </c>
      <c r="I2048" t="s">
        <v>957</v>
      </c>
      <c r="J2048" t="s">
        <v>2810</v>
      </c>
      <c r="K2048">
        <v>8.5714285714285701E-2</v>
      </c>
      <c r="L2048" t="s">
        <v>959</v>
      </c>
      <c r="M2048">
        <v>3.6496350364963499</v>
      </c>
      <c r="N2048" t="s">
        <v>960</v>
      </c>
      <c r="O2048">
        <v>0</v>
      </c>
      <c r="P2048">
        <v>0</v>
      </c>
      <c r="Q2048">
        <v>0</v>
      </c>
      <c r="R2048">
        <v>0</v>
      </c>
    </row>
    <row r="2049" spans="1:18" ht="16" x14ac:dyDescent="0.2">
      <c r="A2049" s="130" t="s">
        <v>3909</v>
      </c>
      <c r="B2049" t="s">
        <v>370</v>
      </c>
      <c r="C2049" t="s">
        <v>2773</v>
      </c>
      <c r="D2049" t="s">
        <v>2774</v>
      </c>
      <c r="E2049" t="s">
        <v>1230</v>
      </c>
      <c r="F2049">
        <v>4</v>
      </c>
      <c r="G2049">
        <v>2</v>
      </c>
      <c r="H2049">
        <v>2.3394757103263299</v>
      </c>
      <c r="I2049" t="s">
        <v>957</v>
      </c>
      <c r="J2049" t="s">
        <v>4946</v>
      </c>
      <c r="K2049">
        <v>0.20714285714285699</v>
      </c>
      <c r="L2049" t="s">
        <v>959</v>
      </c>
      <c r="M2049">
        <v>8.0291970802919703</v>
      </c>
      <c r="N2049" t="s">
        <v>960</v>
      </c>
      <c r="O2049">
        <v>0</v>
      </c>
      <c r="P2049">
        <v>0</v>
      </c>
      <c r="Q2049">
        <v>0</v>
      </c>
      <c r="R2049">
        <v>0</v>
      </c>
    </row>
    <row r="2050" spans="1:18" ht="16" x14ac:dyDescent="0.2">
      <c r="A2050" s="130" t="s">
        <v>3909</v>
      </c>
      <c r="B2050" t="s">
        <v>370</v>
      </c>
      <c r="C2050" t="s">
        <v>4773</v>
      </c>
      <c r="D2050" t="s">
        <v>4774</v>
      </c>
      <c r="E2050" t="s">
        <v>1052</v>
      </c>
      <c r="F2050">
        <v>2</v>
      </c>
      <c r="G2050">
        <v>2</v>
      </c>
      <c r="H2050">
        <v>2.3598880750938598</v>
      </c>
      <c r="I2050" t="s">
        <v>957</v>
      </c>
      <c r="J2050" t="s">
        <v>4775</v>
      </c>
      <c r="K2050">
        <v>0.107142857142857</v>
      </c>
      <c r="L2050" t="s">
        <v>959</v>
      </c>
      <c r="M2050">
        <v>2.1897810218978102</v>
      </c>
      <c r="N2050" t="s">
        <v>960</v>
      </c>
      <c r="O2050">
        <v>0</v>
      </c>
      <c r="P2050">
        <v>0</v>
      </c>
      <c r="Q2050">
        <v>0</v>
      </c>
      <c r="R2050">
        <v>0</v>
      </c>
    </row>
    <row r="2051" spans="1:18" ht="16" x14ac:dyDescent="0.2">
      <c r="A2051" s="130" t="s">
        <v>3909</v>
      </c>
      <c r="B2051" t="s">
        <v>370</v>
      </c>
      <c r="C2051" t="s">
        <v>1409</v>
      </c>
      <c r="D2051" t="s">
        <v>1410</v>
      </c>
      <c r="E2051" t="s">
        <v>1039</v>
      </c>
      <c r="F2051">
        <v>3</v>
      </c>
      <c r="G2051">
        <v>2</v>
      </c>
      <c r="H2051">
        <v>3.84428400200138</v>
      </c>
      <c r="I2051" t="s">
        <v>957</v>
      </c>
      <c r="J2051" t="s">
        <v>3922</v>
      </c>
      <c r="K2051">
        <v>0.121428571428571</v>
      </c>
      <c r="L2051" t="s">
        <v>959</v>
      </c>
      <c r="M2051">
        <v>2.1897810218978102</v>
      </c>
      <c r="N2051" t="s">
        <v>960</v>
      </c>
      <c r="O2051">
        <v>0</v>
      </c>
      <c r="P2051">
        <v>0</v>
      </c>
      <c r="Q2051">
        <v>0</v>
      </c>
      <c r="R2051">
        <v>0</v>
      </c>
    </row>
    <row r="2052" spans="1:18" ht="16" x14ac:dyDescent="0.2">
      <c r="A2052" s="130" t="s">
        <v>3909</v>
      </c>
      <c r="B2052" t="s">
        <v>370</v>
      </c>
      <c r="C2052" t="s">
        <v>1057</v>
      </c>
      <c r="D2052" t="s">
        <v>1058</v>
      </c>
      <c r="E2052" t="s">
        <v>4390</v>
      </c>
      <c r="F2052">
        <v>9</v>
      </c>
      <c r="G2052">
        <v>3</v>
      </c>
      <c r="H2052">
        <v>4.0581749342617197</v>
      </c>
      <c r="I2052" t="s">
        <v>957</v>
      </c>
      <c r="J2052" t="s">
        <v>4391</v>
      </c>
      <c r="K2052" t="s">
        <v>4392</v>
      </c>
      <c r="L2052" t="s">
        <v>2024</v>
      </c>
      <c r="M2052">
        <v>5.10948905109489</v>
      </c>
      <c r="N2052" t="s">
        <v>987</v>
      </c>
      <c r="O2052">
        <v>0</v>
      </c>
      <c r="P2052">
        <v>0</v>
      </c>
      <c r="Q2052">
        <v>0</v>
      </c>
      <c r="R2052">
        <v>0</v>
      </c>
    </row>
    <row r="2053" spans="1:18" ht="16" x14ac:dyDescent="0.2">
      <c r="A2053" s="130" t="s">
        <v>3909</v>
      </c>
      <c r="B2053" t="s">
        <v>370</v>
      </c>
      <c r="C2053" t="s">
        <v>4094</v>
      </c>
      <c r="D2053" t="s">
        <v>4095</v>
      </c>
      <c r="E2053" t="s">
        <v>1008</v>
      </c>
      <c r="F2053">
        <v>7</v>
      </c>
      <c r="G2053">
        <v>2</v>
      </c>
      <c r="H2053">
        <v>4.7903115380325998</v>
      </c>
      <c r="I2053" t="s">
        <v>957</v>
      </c>
      <c r="J2053" t="s">
        <v>4096</v>
      </c>
      <c r="K2053">
        <v>0.24137931034482801</v>
      </c>
      <c r="L2053" t="s">
        <v>972</v>
      </c>
      <c r="M2053">
        <v>1.4598540145985399</v>
      </c>
      <c r="N2053" t="s">
        <v>973</v>
      </c>
      <c r="O2053">
        <v>0</v>
      </c>
      <c r="P2053">
        <v>0</v>
      </c>
      <c r="Q2053">
        <v>0</v>
      </c>
      <c r="R2053">
        <v>0</v>
      </c>
    </row>
    <row r="2054" spans="1:18" ht="16" x14ac:dyDescent="0.2">
      <c r="A2054" s="130" t="s">
        <v>3909</v>
      </c>
      <c r="B2054" t="s">
        <v>370</v>
      </c>
      <c r="C2054" t="s">
        <v>450</v>
      </c>
      <c r="D2054" t="s">
        <v>1456</v>
      </c>
      <c r="E2054">
        <v>2</v>
      </c>
      <c r="F2054">
        <v>2</v>
      </c>
      <c r="G2054">
        <v>1</v>
      </c>
      <c r="H2054">
        <v>1.4801624874252299</v>
      </c>
      <c r="I2054" t="s">
        <v>957</v>
      </c>
      <c r="J2054" t="s">
        <v>1458</v>
      </c>
      <c r="K2054">
        <v>4.2857142857142899E-2</v>
      </c>
      <c r="L2054" t="s">
        <v>959</v>
      </c>
      <c r="M2054">
        <v>4.3795620437956204</v>
      </c>
      <c r="N2054" t="s">
        <v>960</v>
      </c>
      <c r="O2054">
        <v>0</v>
      </c>
      <c r="P2054">
        <v>0</v>
      </c>
      <c r="Q2054">
        <v>0</v>
      </c>
      <c r="R2054">
        <v>0</v>
      </c>
    </row>
    <row r="2055" spans="1:18" ht="16" x14ac:dyDescent="0.2">
      <c r="A2055" s="130" t="s">
        <v>3909</v>
      </c>
      <c r="B2055" t="s">
        <v>370</v>
      </c>
      <c r="C2055" t="s">
        <v>4078</v>
      </c>
      <c r="D2055" t="s">
        <v>4079</v>
      </c>
      <c r="E2055" t="s">
        <v>1008</v>
      </c>
      <c r="F2055">
        <v>7</v>
      </c>
      <c r="G2055">
        <v>2</v>
      </c>
      <c r="H2055">
        <v>4.0172264374741404</v>
      </c>
      <c r="I2055" t="s">
        <v>957</v>
      </c>
      <c r="J2055" t="s">
        <v>4080</v>
      </c>
      <c r="K2055">
        <v>0.37931034482758602</v>
      </c>
      <c r="L2055" t="s">
        <v>972</v>
      </c>
      <c r="M2055">
        <v>4.3795620437956204</v>
      </c>
      <c r="N2055" t="s">
        <v>973</v>
      </c>
      <c r="O2055">
        <v>0</v>
      </c>
      <c r="P2055">
        <v>0</v>
      </c>
      <c r="Q2055">
        <v>0</v>
      </c>
      <c r="R2055">
        <v>0</v>
      </c>
    </row>
    <row r="2056" spans="1:18" ht="16" x14ac:dyDescent="0.2">
      <c r="A2056" s="130" t="s">
        <v>3909</v>
      </c>
      <c r="B2056" t="s">
        <v>370</v>
      </c>
      <c r="C2056" t="s">
        <v>4767</v>
      </c>
      <c r="D2056" t="s">
        <v>4768</v>
      </c>
      <c r="E2056" t="s">
        <v>1074</v>
      </c>
      <c r="F2056">
        <v>6</v>
      </c>
      <c r="G2056">
        <v>2</v>
      </c>
      <c r="H2056">
        <v>4.9132676726315498</v>
      </c>
      <c r="I2056" t="s">
        <v>957</v>
      </c>
      <c r="J2056" t="s">
        <v>4769</v>
      </c>
      <c r="K2056">
        <v>0.17241379310344801</v>
      </c>
      <c r="L2056" t="s">
        <v>972</v>
      </c>
      <c r="M2056">
        <v>0.72992700729926996</v>
      </c>
      <c r="N2056" t="s">
        <v>973</v>
      </c>
      <c r="O2056">
        <v>0</v>
      </c>
      <c r="P2056">
        <v>0</v>
      </c>
      <c r="Q2056">
        <v>0</v>
      </c>
      <c r="R2056">
        <v>0</v>
      </c>
    </row>
    <row r="2057" spans="1:18" ht="16" x14ac:dyDescent="0.2">
      <c r="A2057" s="130" t="s">
        <v>3909</v>
      </c>
      <c r="B2057" t="s">
        <v>370</v>
      </c>
      <c r="C2057" t="s">
        <v>3144</v>
      </c>
      <c r="D2057" t="s">
        <v>3145</v>
      </c>
      <c r="E2057" t="s">
        <v>1052</v>
      </c>
      <c r="F2057">
        <v>2</v>
      </c>
      <c r="G2057">
        <v>2</v>
      </c>
      <c r="H2057">
        <v>3.9430193759355801</v>
      </c>
      <c r="I2057" t="s">
        <v>957</v>
      </c>
      <c r="J2057" t="s">
        <v>4609</v>
      </c>
      <c r="K2057">
        <v>7.1428571428571397E-2</v>
      </c>
      <c r="L2057" t="s">
        <v>959</v>
      </c>
      <c r="M2057">
        <v>1.4598540145985399</v>
      </c>
      <c r="N2057" t="s">
        <v>960</v>
      </c>
      <c r="O2057">
        <v>0</v>
      </c>
      <c r="P2057">
        <v>0</v>
      </c>
      <c r="Q2057">
        <v>0</v>
      </c>
      <c r="R2057">
        <v>0</v>
      </c>
    </row>
    <row r="2058" spans="1:18" ht="16" x14ac:dyDescent="0.2">
      <c r="A2058" s="130" t="s">
        <v>3909</v>
      </c>
      <c r="B2058" t="s">
        <v>378</v>
      </c>
      <c r="C2058" t="s">
        <v>2310</v>
      </c>
      <c r="D2058" t="s">
        <v>2311</v>
      </c>
      <c r="E2058">
        <v>3</v>
      </c>
      <c r="F2058">
        <v>3</v>
      </c>
      <c r="G2058">
        <v>1</v>
      </c>
      <c r="H2058">
        <v>2.79815695875463</v>
      </c>
      <c r="I2058" t="s">
        <v>957</v>
      </c>
      <c r="J2058" t="s">
        <v>4249</v>
      </c>
      <c r="K2058">
        <v>0.17647058823529399</v>
      </c>
      <c r="L2058" t="s">
        <v>1099</v>
      </c>
      <c r="M2058">
        <v>8.7591240875912408</v>
      </c>
      <c r="N2058" t="s">
        <v>973</v>
      </c>
      <c r="O2058">
        <v>0</v>
      </c>
      <c r="P2058">
        <v>0</v>
      </c>
      <c r="Q2058" t="s">
        <v>5019</v>
      </c>
      <c r="R2058">
        <v>0</v>
      </c>
    </row>
    <row r="2059" spans="1:18" ht="16" x14ac:dyDescent="0.2">
      <c r="A2059" s="130" t="s">
        <v>3909</v>
      </c>
      <c r="B2059" t="s">
        <v>378</v>
      </c>
      <c r="C2059" t="s">
        <v>4705</v>
      </c>
      <c r="D2059" t="s">
        <v>4706</v>
      </c>
      <c r="E2059">
        <v>4</v>
      </c>
      <c r="F2059">
        <v>4</v>
      </c>
      <c r="G2059">
        <v>1</v>
      </c>
      <c r="H2059">
        <v>2.9154759474226499</v>
      </c>
      <c r="I2059" t="s">
        <v>957</v>
      </c>
      <c r="J2059" t="s">
        <v>4952</v>
      </c>
      <c r="K2059">
        <v>0.11764705882352899</v>
      </c>
      <c r="L2059" t="s">
        <v>1099</v>
      </c>
      <c r="M2059">
        <v>1.4598540145985399</v>
      </c>
      <c r="N2059" t="s">
        <v>973</v>
      </c>
      <c r="O2059">
        <v>0</v>
      </c>
      <c r="P2059">
        <v>0</v>
      </c>
      <c r="Q2059" t="s">
        <v>5019</v>
      </c>
      <c r="R2059">
        <v>0</v>
      </c>
    </row>
    <row r="2060" spans="1:18" ht="16" x14ac:dyDescent="0.2">
      <c r="A2060" s="130" t="s">
        <v>3909</v>
      </c>
      <c r="B2060" t="s">
        <v>378</v>
      </c>
      <c r="C2060" t="s">
        <v>1324</v>
      </c>
      <c r="E2060">
        <v>3</v>
      </c>
      <c r="F2060">
        <v>3</v>
      </c>
      <c r="G2060">
        <v>1</v>
      </c>
      <c r="H2060">
        <v>2.7412749484512302</v>
      </c>
      <c r="I2060" t="s">
        <v>957</v>
      </c>
      <c r="J2060" t="s">
        <v>2731</v>
      </c>
      <c r="K2060">
        <v>0.121428571428571</v>
      </c>
      <c r="L2060" t="s">
        <v>959</v>
      </c>
      <c r="M2060">
        <v>5.8394160583941597</v>
      </c>
      <c r="N2060" t="s">
        <v>987</v>
      </c>
      <c r="O2060">
        <v>0</v>
      </c>
      <c r="P2060">
        <v>0</v>
      </c>
      <c r="Q2060" t="s">
        <v>5019</v>
      </c>
      <c r="R2060" t="s">
        <v>5019</v>
      </c>
    </row>
    <row r="2061" spans="1:18" ht="16" x14ac:dyDescent="0.2">
      <c r="A2061" s="130" t="s">
        <v>3909</v>
      </c>
      <c r="B2061" t="s">
        <v>378</v>
      </c>
      <c r="C2061" t="s">
        <v>1822</v>
      </c>
      <c r="D2061" t="s">
        <v>1823</v>
      </c>
      <c r="E2061">
        <v>4</v>
      </c>
      <c r="F2061">
        <v>4</v>
      </c>
      <c r="G2061">
        <v>1</v>
      </c>
      <c r="H2061">
        <v>6.5376323983166507E-2</v>
      </c>
      <c r="I2061" t="s">
        <v>957</v>
      </c>
      <c r="J2061" t="s">
        <v>3304</v>
      </c>
      <c r="K2061">
        <v>0.17647058823529399</v>
      </c>
      <c r="L2061" t="s">
        <v>1099</v>
      </c>
      <c r="M2061">
        <v>8.0291970802919703</v>
      </c>
      <c r="N2061" t="s">
        <v>973</v>
      </c>
      <c r="O2061">
        <v>0</v>
      </c>
      <c r="P2061">
        <v>0</v>
      </c>
      <c r="Q2061" t="s">
        <v>5019</v>
      </c>
      <c r="R2061">
        <v>0</v>
      </c>
    </row>
    <row r="2062" spans="1:18" ht="16" x14ac:dyDescent="0.2">
      <c r="A2062" s="130" t="s">
        <v>3909</v>
      </c>
      <c r="B2062" t="s">
        <v>378</v>
      </c>
      <c r="C2062" t="s">
        <v>1926</v>
      </c>
      <c r="D2062" t="s">
        <v>1927</v>
      </c>
      <c r="E2062" t="s">
        <v>1052</v>
      </c>
      <c r="F2062">
        <v>2</v>
      </c>
      <c r="G2062">
        <v>2</v>
      </c>
      <c r="H2062">
        <v>3.0931096218913399</v>
      </c>
      <c r="I2062" t="s">
        <v>957</v>
      </c>
      <c r="J2062" t="s">
        <v>2069</v>
      </c>
      <c r="K2062">
        <v>6.4285714285714293E-2</v>
      </c>
      <c r="L2062" t="s">
        <v>959</v>
      </c>
      <c r="M2062">
        <v>4.3795620437956204</v>
      </c>
      <c r="N2062" t="s">
        <v>987</v>
      </c>
      <c r="O2062">
        <v>0</v>
      </c>
      <c r="P2062">
        <v>0</v>
      </c>
      <c r="Q2062" t="s">
        <v>5019</v>
      </c>
      <c r="R2062">
        <v>0</v>
      </c>
    </row>
    <row r="2063" spans="1:18" ht="16" x14ac:dyDescent="0.2">
      <c r="A2063" s="130" t="s">
        <v>3909</v>
      </c>
      <c r="B2063" t="s">
        <v>378</v>
      </c>
      <c r="C2063" t="s">
        <v>1459</v>
      </c>
      <c r="D2063" t="s">
        <v>4170</v>
      </c>
      <c r="E2063" t="s">
        <v>4171</v>
      </c>
      <c r="F2063">
        <v>14</v>
      </c>
      <c r="G2063">
        <v>2</v>
      </c>
      <c r="H2063">
        <v>-0.107558193315337</v>
      </c>
      <c r="I2063" t="s">
        <v>957</v>
      </c>
      <c r="J2063" t="s">
        <v>4172</v>
      </c>
      <c r="K2063" t="s">
        <v>4173</v>
      </c>
      <c r="L2063" t="s">
        <v>2377</v>
      </c>
      <c r="M2063">
        <v>8.0291970802919703</v>
      </c>
      <c r="N2063" t="s">
        <v>987</v>
      </c>
      <c r="O2063">
        <v>0</v>
      </c>
      <c r="P2063" t="s">
        <v>5017</v>
      </c>
      <c r="Q2063" t="s">
        <v>5019</v>
      </c>
      <c r="R2063" t="s">
        <v>5019</v>
      </c>
    </row>
    <row r="2064" spans="1:18" ht="16" x14ac:dyDescent="0.2">
      <c r="A2064" s="130" t="s">
        <v>3909</v>
      </c>
      <c r="B2064" t="s">
        <v>378</v>
      </c>
      <c r="C2064" t="s">
        <v>3044</v>
      </c>
      <c r="D2064" t="s">
        <v>3045</v>
      </c>
      <c r="E2064" t="s">
        <v>1052</v>
      </c>
      <c r="F2064">
        <v>2</v>
      </c>
      <c r="G2064">
        <v>2</v>
      </c>
      <c r="H2064">
        <v>1.97722454034498</v>
      </c>
      <c r="I2064" t="s">
        <v>957</v>
      </c>
      <c r="J2064" t="s">
        <v>4120</v>
      </c>
      <c r="K2064">
        <v>0.16428571428571401</v>
      </c>
      <c r="L2064" t="s">
        <v>959</v>
      </c>
      <c r="M2064">
        <v>8.7591240875912408</v>
      </c>
      <c r="N2064" t="s">
        <v>960</v>
      </c>
      <c r="O2064">
        <v>0</v>
      </c>
      <c r="P2064">
        <v>0</v>
      </c>
      <c r="Q2064" t="s">
        <v>5019</v>
      </c>
      <c r="R2064">
        <v>0</v>
      </c>
    </row>
    <row r="2065" spans="1:18" ht="16" x14ac:dyDescent="0.2">
      <c r="A2065" s="130" t="s">
        <v>3909</v>
      </c>
      <c r="B2065" t="s">
        <v>382</v>
      </c>
      <c r="C2065" t="s">
        <v>4318</v>
      </c>
      <c r="D2065" t="s">
        <v>4319</v>
      </c>
      <c r="E2065" t="s">
        <v>1052</v>
      </c>
      <c r="F2065">
        <v>2</v>
      </c>
      <c r="G2065">
        <v>2</v>
      </c>
      <c r="H2065">
        <v>4.0244548894183199</v>
      </c>
      <c r="I2065" t="s">
        <v>957</v>
      </c>
      <c r="J2065" t="s">
        <v>4320</v>
      </c>
      <c r="K2065">
        <v>0.13571428571428601</v>
      </c>
      <c r="L2065" t="s">
        <v>959</v>
      </c>
      <c r="M2065">
        <v>1.4598540145985399</v>
      </c>
      <c r="N2065" t="s">
        <v>960</v>
      </c>
      <c r="O2065">
        <v>0</v>
      </c>
      <c r="P2065">
        <v>0</v>
      </c>
      <c r="Q2065">
        <v>0</v>
      </c>
      <c r="R2065">
        <v>0</v>
      </c>
    </row>
    <row r="2066" spans="1:18" ht="16" x14ac:dyDescent="0.2">
      <c r="A2066" s="130" t="s">
        <v>3909</v>
      </c>
      <c r="B2066" t="s">
        <v>382</v>
      </c>
      <c r="C2066" t="s">
        <v>2952</v>
      </c>
      <c r="D2066" t="s">
        <v>2953</v>
      </c>
      <c r="E2066" t="s">
        <v>1022</v>
      </c>
      <c r="F2066">
        <v>3</v>
      </c>
      <c r="G2066">
        <v>2</v>
      </c>
      <c r="H2066">
        <v>2.8346033501396999</v>
      </c>
      <c r="I2066" t="s">
        <v>957</v>
      </c>
      <c r="J2066" t="s">
        <v>4685</v>
      </c>
      <c r="K2066">
        <v>0.107142857142857</v>
      </c>
      <c r="L2066" t="s">
        <v>959</v>
      </c>
      <c r="M2066">
        <v>5.10948905109489</v>
      </c>
      <c r="N2066" t="s">
        <v>960</v>
      </c>
      <c r="O2066">
        <v>0</v>
      </c>
      <c r="P2066">
        <v>0</v>
      </c>
      <c r="Q2066">
        <v>0</v>
      </c>
      <c r="R2066">
        <v>0</v>
      </c>
    </row>
    <row r="2067" spans="1:18" ht="16" x14ac:dyDescent="0.2">
      <c r="A2067" s="130" t="s">
        <v>3909</v>
      </c>
      <c r="B2067" t="s">
        <v>382</v>
      </c>
      <c r="C2067" t="s">
        <v>1450</v>
      </c>
      <c r="D2067" t="s">
        <v>1451</v>
      </c>
      <c r="E2067" t="s">
        <v>1052</v>
      </c>
      <c r="F2067">
        <v>2</v>
      </c>
      <c r="G2067">
        <v>2</v>
      </c>
      <c r="H2067">
        <v>1.7718875379567001</v>
      </c>
      <c r="I2067" t="s">
        <v>957</v>
      </c>
      <c r="J2067" t="s">
        <v>3963</v>
      </c>
      <c r="K2067">
        <v>0.15</v>
      </c>
      <c r="L2067" t="s">
        <v>959</v>
      </c>
      <c r="M2067">
        <v>4.3795620437956204</v>
      </c>
      <c r="N2067" t="s">
        <v>960</v>
      </c>
      <c r="O2067">
        <v>0</v>
      </c>
      <c r="P2067">
        <v>0</v>
      </c>
      <c r="Q2067">
        <v>0</v>
      </c>
      <c r="R2067">
        <v>0</v>
      </c>
    </row>
    <row r="2068" spans="1:18" ht="16" x14ac:dyDescent="0.2">
      <c r="A2068" s="130" t="s">
        <v>3909</v>
      </c>
      <c r="B2068" t="s">
        <v>382</v>
      </c>
      <c r="C2068" t="s">
        <v>1402</v>
      </c>
      <c r="D2068" t="s">
        <v>1403</v>
      </c>
      <c r="E2068">
        <v>3</v>
      </c>
      <c r="F2068">
        <v>3</v>
      </c>
      <c r="G2068">
        <v>1</v>
      </c>
      <c r="H2068">
        <v>1.61704468155938</v>
      </c>
      <c r="I2068" t="s">
        <v>957</v>
      </c>
      <c r="J2068" t="s">
        <v>4575</v>
      </c>
      <c r="K2068">
        <v>0.185714285714286</v>
      </c>
      <c r="L2068" t="s">
        <v>959</v>
      </c>
      <c r="M2068">
        <v>9.4890510948905096</v>
      </c>
      <c r="N2068" t="s">
        <v>960</v>
      </c>
      <c r="O2068">
        <v>0</v>
      </c>
      <c r="P2068">
        <v>0</v>
      </c>
      <c r="Q2068">
        <v>0</v>
      </c>
      <c r="R2068">
        <v>0</v>
      </c>
    </row>
    <row r="2069" spans="1:18" ht="16" x14ac:dyDescent="0.2">
      <c r="A2069" s="130" t="s">
        <v>3909</v>
      </c>
      <c r="B2069" t="s">
        <v>382</v>
      </c>
      <c r="C2069" t="s">
        <v>3332</v>
      </c>
      <c r="D2069" t="s">
        <v>3333</v>
      </c>
      <c r="E2069" t="s">
        <v>1052</v>
      </c>
      <c r="F2069">
        <v>2</v>
      </c>
      <c r="G2069">
        <v>2</v>
      </c>
      <c r="H2069">
        <v>1.84004205858487</v>
      </c>
      <c r="I2069" t="s">
        <v>957</v>
      </c>
      <c r="J2069" t="s">
        <v>4214</v>
      </c>
      <c r="K2069">
        <v>0.185714285714286</v>
      </c>
      <c r="L2069" t="s">
        <v>959</v>
      </c>
      <c r="M2069">
        <v>4.3795620437956204</v>
      </c>
      <c r="N2069" t="s">
        <v>960</v>
      </c>
      <c r="O2069">
        <v>0</v>
      </c>
      <c r="P2069">
        <v>0</v>
      </c>
      <c r="Q2069">
        <v>0</v>
      </c>
      <c r="R2069">
        <v>0</v>
      </c>
    </row>
    <row r="2070" spans="1:18" ht="16" x14ac:dyDescent="0.2">
      <c r="A2070" s="130" t="s">
        <v>3909</v>
      </c>
      <c r="B2070" t="s">
        <v>382</v>
      </c>
      <c r="C2070" t="s">
        <v>2233</v>
      </c>
      <c r="D2070" t="s">
        <v>2234</v>
      </c>
      <c r="E2070" t="s">
        <v>1039</v>
      </c>
      <c r="F2070">
        <v>3</v>
      </c>
      <c r="G2070">
        <v>2</v>
      </c>
      <c r="H2070">
        <v>2.8074593543295498</v>
      </c>
      <c r="I2070" t="s">
        <v>957</v>
      </c>
      <c r="J2070" t="s">
        <v>4144</v>
      </c>
      <c r="K2070">
        <v>0.16428571428571401</v>
      </c>
      <c r="L2070" t="s">
        <v>959</v>
      </c>
      <c r="M2070">
        <v>8.0291970802919703</v>
      </c>
      <c r="N2070" t="s">
        <v>960</v>
      </c>
      <c r="O2070">
        <v>0</v>
      </c>
      <c r="P2070">
        <v>0</v>
      </c>
      <c r="Q2070">
        <v>0</v>
      </c>
      <c r="R2070">
        <v>0</v>
      </c>
    </row>
    <row r="2071" spans="1:18" ht="16" x14ac:dyDescent="0.2">
      <c r="A2071" s="130" t="s">
        <v>3909</v>
      </c>
      <c r="B2071" t="s">
        <v>382</v>
      </c>
      <c r="C2071" t="s">
        <v>2699</v>
      </c>
      <c r="D2071" t="s">
        <v>2700</v>
      </c>
      <c r="E2071">
        <v>4</v>
      </c>
      <c r="F2071">
        <v>4</v>
      </c>
      <c r="G2071">
        <v>1</v>
      </c>
      <c r="H2071">
        <v>3.3903202631881801</v>
      </c>
      <c r="I2071" t="s">
        <v>957</v>
      </c>
      <c r="J2071" t="s">
        <v>4841</v>
      </c>
      <c r="K2071">
        <v>0.157142857142857</v>
      </c>
      <c r="L2071" t="s">
        <v>959</v>
      </c>
      <c r="M2071">
        <v>6.5693430656934302</v>
      </c>
      <c r="N2071" t="s">
        <v>960</v>
      </c>
      <c r="O2071">
        <v>0</v>
      </c>
      <c r="P2071">
        <v>0</v>
      </c>
      <c r="Q2071">
        <v>0</v>
      </c>
      <c r="R2071">
        <v>0</v>
      </c>
    </row>
    <row r="2072" spans="1:18" ht="16" x14ac:dyDescent="0.2">
      <c r="A2072" s="130" t="s">
        <v>3909</v>
      </c>
      <c r="B2072" t="s">
        <v>386</v>
      </c>
      <c r="C2072" t="s">
        <v>1634</v>
      </c>
      <c r="D2072" t="s">
        <v>4235</v>
      </c>
      <c r="E2072">
        <v>5</v>
      </c>
      <c r="F2072">
        <v>5</v>
      </c>
      <c r="G2072">
        <v>1</v>
      </c>
      <c r="H2072">
        <v>2.07281509966991</v>
      </c>
      <c r="I2072" t="s">
        <v>957</v>
      </c>
      <c r="J2072" t="s">
        <v>1637</v>
      </c>
      <c r="K2072">
        <v>2.1428571428571401E-2</v>
      </c>
      <c r="L2072" t="s">
        <v>959</v>
      </c>
      <c r="M2072">
        <v>1.4598540145985399</v>
      </c>
      <c r="N2072" t="s">
        <v>960</v>
      </c>
      <c r="O2072">
        <v>0</v>
      </c>
      <c r="P2072">
        <v>0</v>
      </c>
      <c r="Q2072">
        <v>0</v>
      </c>
      <c r="R2072" t="s">
        <v>5019</v>
      </c>
    </row>
    <row r="2073" spans="1:18" ht="16" x14ac:dyDescent="0.2">
      <c r="A2073" s="130" t="s">
        <v>3909</v>
      </c>
      <c r="B2073" t="s">
        <v>390</v>
      </c>
      <c r="C2073" t="s">
        <v>2088</v>
      </c>
      <c r="D2073" t="s">
        <v>2089</v>
      </c>
      <c r="E2073">
        <v>4</v>
      </c>
      <c r="F2073">
        <v>4</v>
      </c>
      <c r="G2073">
        <v>1</v>
      </c>
      <c r="H2073">
        <v>4.0059770587497701</v>
      </c>
      <c r="I2073" t="s">
        <v>957</v>
      </c>
      <c r="J2073" t="s">
        <v>5012</v>
      </c>
      <c r="K2073">
        <v>7.8571428571428598E-2</v>
      </c>
      <c r="L2073" t="s">
        <v>959</v>
      </c>
      <c r="M2073">
        <v>5.8394160583941597</v>
      </c>
      <c r="N2073" t="s">
        <v>960</v>
      </c>
      <c r="O2073">
        <v>0</v>
      </c>
      <c r="P2073">
        <v>0</v>
      </c>
      <c r="Q2073">
        <v>0</v>
      </c>
      <c r="R2073">
        <v>0</v>
      </c>
    </row>
    <row r="2074" spans="1:18" ht="16" x14ac:dyDescent="0.2">
      <c r="A2074" s="130" t="s">
        <v>3909</v>
      </c>
      <c r="B2074" t="s">
        <v>390</v>
      </c>
      <c r="C2074" t="s">
        <v>4052</v>
      </c>
      <c r="E2074" t="s">
        <v>1022</v>
      </c>
      <c r="F2074">
        <v>3</v>
      </c>
      <c r="G2074">
        <v>2</v>
      </c>
      <c r="H2074">
        <v>3.8495216664668801</v>
      </c>
      <c r="I2074" t="s">
        <v>957</v>
      </c>
      <c r="J2074" t="s">
        <v>4053</v>
      </c>
      <c r="K2074">
        <v>0.1</v>
      </c>
      <c r="L2074" t="s">
        <v>959</v>
      </c>
      <c r="M2074">
        <v>1.4598540145985399</v>
      </c>
      <c r="N2074" t="s">
        <v>960</v>
      </c>
      <c r="O2074">
        <v>0</v>
      </c>
      <c r="P2074">
        <v>0</v>
      </c>
      <c r="Q2074">
        <v>0</v>
      </c>
      <c r="R2074">
        <v>0</v>
      </c>
    </row>
    <row r="2075" spans="1:18" ht="16" x14ac:dyDescent="0.2">
      <c r="A2075" s="130" t="s">
        <v>3909</v>
      </c>
      <c r="B2075" t="s">
        <v>390</v>
      </c>
      <c r="C2075" t="s">
        <v>1822</v>
      </c>
      <c r="D2075" t="s">
        <v>1823</v>
      </c>
      <c r="E2075">
        <v>3</v>
      </c>
      <c r="F2075">
        <v>3</v>
      </c>
      <c r="G2075">
        <v>1</v>
      </c>
      <c r="H2075">
        <v>2.20287169340369</v>
      </c>
      <c r="I2075" t="s">
        <v>957</v>
      </c>
      <c r="J2075" t="s">
        <v>4364</v>
      </c>
      <c r="K2075">
        <v>0.107142857142857</v>
      </c>
      <c r="L2075" t="s">
        <v>959</v>
      </c>
      <c r="M2075">
        <v>8.0291970802919703</v>
      </c>
      <c r="N2075" t="s">
        <v>960</v>
      </c>
      <c r="O2075">
        <v>0</v>
      </c>
      <c r="P2075">
        <v>0</v>
      </c>
      <c r="Q2075">
        <v>0</v>
      </c>
      <c r="R2075">
        <v>0</v>
      </c>
    </row>
    <row r="2076" spans="1:18" ht="16" x14ac:dyDescent="0.2">
      <c r="A2076" s="130" t="s">
        <v>3909</v>
      </c>
      <c r="B2076" t="s">
        <v>390</v>
      </c>
      <c r="C2076" t="s">
        <v>1802</v>
      </c>
      <c r="D2076" t="s">
        <v>1803</v>
      </c>
      <c r="E2076">
        <v>4</v>
      </c>
      <c r="F2076">
        <v>4</v>
      </c>
      <c r="G2076">
        <v>1</v>
      </c>
      <c r="H2076">
        <v>2.9353307595093501</v>
      </c>
      <c r="I2076" t="s">
        <v>957</v>
      </c>
      <c r="J2076" t="s">
        <v>3965</v>
      </c>
      <c r="K2076">
        <v>0.1</v>
      </c>
      <c r="L2076" t="s">
        <v>959</v>
      </c>
      <c r="M2076">
        <v>6.5693430656934302</v>
      </c>
      <c r="N2076" t="s">
        <v>960</v>
      </c>
      <c r="O2076">
        <v>0</v>
      </c>
      <c r="P2076">
        <v>0</v>
      </c>
      <c r="Q2076">
        <v>0</v>
      </c>
      <c r="R2076">
        <v>0</v>
      </c>
    </row>
    <row r="2077" spans="1:18" ht="16" x14ac:dyDescent="0.2">
      <c r="A2077" s="130" t="s">
        <v>3909</v>
      </c>
      <c r="B2077" t="s">
        <v>390</v>
      </c>
      <c r="C2077" t="s">
        <v>3549</v>
      </c>
      <c r="D2077" t="s">
        <v>3550</v>
      </c>
      <c r="E2077" t="s">
        <v>1039</v>
      </c>
      <c r="F2077">
        <v>3</v>
      </c>
      <c r="G2077">
        <v>2</v>
      </c>
      <c r="H2077">
        <v>3.8337108655274599</v>
      </c>
      <c r="I2077" t="s">
        <v>957</v>
      </c>
      <c r="J2077" t="s">
        <v>3996</v>
      </c>
      <c r="K2077">
        <v>0.15</v>
      </c>
      <c r="L2077" t="s">
        <v>959</v>
      </c>
      <c r="M2077">
        <v>2.9197080291970798</v>
      </c>
      <c r="N2077" t="s">
        <v>960</v>
      </c>
      <c r="O2077">
        <v>0</v>
      </c>
      <c r="P2077">
        <v>0</v>
      </c>
      <c r="Q2077">
        <v>0</v>
      </c>
      <c r="R2077">
        <v>0</v>
      </c>
    </row>
    <row r="2078" spans="1:18" ht="16" x14ac:dyDescent="0.2">
      <c r="A2078" s="130" t="s">
        <v>3909</v>
      </c>
      <c r="B2078" t="s">
        <v>390</v>
      </c>
      <c r="C2078" t="s">
        <v>2074</v>
      </c>
      <c r="D2078" t="s">
        <v>2075</v>
      </c>
      <c r="E2078" t="s">
        <v>1052</v>
      </c>
      <c r="F2078">
        <v>2</v>
      </c>
      <c r="G2078">
        <v>2</v>
      </c>
      <c r="H2078">
        <v>2.6004301819277802</v>
      </c>
      <c r="I2078" t="s">
        <v>957</v>
      </c>
      <c r="J2078" t="s">
        <v>4475</v>
      </c>
      <c r="K2078">
        <v>0.128571428571429</v>
      </c>
      <c r="L2078" t="s">
        <v>959</v>
      </c>
      <c r="M2078">
        <v>5.8394160583941597</v>
      </c>
      <c r="N2078" t="s">
        <v>960</v>
      </c>
      <c r="O2078">
        <v>0</v>
      </c>
      <c r="P2078">
        <v>0</v>
      </c>
      <c r="Q2078">
        <v>0</v>
      </c>
      <c r="R2078">
        <v>0</v>
      </c>
    </row>
    <row r="2079" spans="1:18" ht="16" x14ac:dyDescent="0.2">
      <c r="A2079" s="130" t="s">
        <v>3909</v>
      </c>
      <c r="B2079" t="s">
        <v>397</v>
      </c>
      <c r="C2079" t="s">
        <v>2233</v>
      </c>
      <c r="D2079" t="s">
        <v>2234</v>
      </c>
      <c r="E2079">
        <v>3</v>
      </c>
      <c r="F2079">
        <v>3</v>
      </c>
      <c r="G2079">
        <v>1</v>
      </c>
      <c r="H2079">
        <v>2.0085888063495898</v>
      </c>
      <c r="I2079" t="s">
        <v>957</v>
      </c>
      <c r="J2079" t="s">
        <v>4702</v>
      </c>
      <c r="K2079">
        <v>0.16428571428571401</v>
      </c>
      <c r="L2079" t="s">
        <v>959</v>
      </c>
      <c r="M2079">
        <v>8.0291970802919703</v>
      </c>
      <c r="N2079" t="s">
        <v>960</v>
      </c>
      <c r="O2079">
        <v>0</v>
      </c>
      <c r="P2079">
        <v>0</v>
      </c>
      <c r="Q2079">
        <v>0</v>
      </c>
      <c r="R2079">
        <v>0</v>
      </c>
    </row>
    <row r="2080" spans="1:18" ht="16" x14ac:dyDescent="0.2">
      <c r="A2080" s="130" t="s">
        <v>3909</v>
      </c>
      <c r="B2080" t="s">
        <v>397</v>
      </c>
      <c r="C2080" t="s">
        <v>1649</v>
      </c>
      <c r="D2080" t="s">
        <v>1650</v>
      </c>
      <c r="E2080" t="s">
        <v>1022</v>
      </c>
      <c r="F2080">
        <v>3</v>
      </c>
      <c r="G2080">
        <v>2</v>
      </c>
      <c r="H2080">
        <v>2.5655407312427698</v>
      </c>
      <c r="I2080" t="s">
        <v>957</v>
      </c>
      <c r="J2080" t="s">
        <v>4439</v>
      </c>
      <c r="K2080">
        <v>0.2</v>
      </c>
      <c r="L2080" t="s">
        <v>959</v>
      </c>
      <c r="M2080">
        <v>8.7591240875912408</v>
      </c>
      <c r="N2080" t="s">
        <v>960</v>
      </c>
      <c r="O2080">
        <v>0</v>
      </c>
      <c r="P2080">
        <v>0</v>
      </c>
      <c r="Q2080">
        <v>0</v>
      </c>
      <c r="R2080">
        <v>0</v>
      </c>
    </row>
    <row r="2081" spans="1:18" ht="16" x14ac:dyDescent="0.2">
      <c r="A2081" s="130" t="s">
        <v>3909</v>
      </c>
      <c r="B2081" t="s">
        <v>397</v>
      </c>
      <c r="C2081" t="s">
        <v>3608</v>
      </c>
      <c r="D2081" t="s">
        <v>3609</v>
      </c>
      <c r="E2081" t="s">
        <v>4277</v>
      </c>
      <c r="F2081">
        <v>8</v>
      </c>
      <c r="G2081">
        <v>2</v>
      </c>
      <c r="H2081">
        <v>1.6853505681632699</v>
      </c>
      <c r="I2081" t="s">
        <v>957</v>
      </c>
      <c r="J2081" t="s">
        <v>4539</v>
      </c>
      <c r="K2081">
        <v>1.4285714285714299E-2</v>
      </c>
      <c r="L2081" t="s">
        <v>959</v>
      </c>
      <c r="M2081">
        <v>1.4598540145985399</v>
      </c>
      <c r="N2081" t="s">
        <v>960</v>
      </c>
      <c r="O2081">
        <v>0</v>
      </c>
      <c r="P2081">
        <v>0</v>
      </c>
      <c r="Q2081">
        <v>0</v>
      </c>
      <c r="R2081">
        <v>0</v>
      </c>
    </row>
    <row r="2082" spans="1:18" ht="16" x14ac:dyDescent="0.2">
      <c r="A2082" s="130" t="s">
        <v>3909</v>
      </c>
      <c r="B2082" t="s">
        <v>397</v>
      </c>
      <c r="C2082" t="s">
        <v>2131</v>
      </c>
      <c r="D2082" t="s">
        <v>2132</v>
      </c>
      <c r="E2082" t="s">
        <v>1102</v>
      </c>
      <c r="F2082">
        <v>4</v>
      </c>
      <c r="G2082">
        <v>2</v>
      </c>
      <c r="H2082">
        <v>1.48823976258293</v>
      </c>
      <c r="I2082" t="s">
        <v>957</v>
      </c>
      <c r="J2082" t="s">
        <v>2133</v>
      </c>
      <c r="K2082">
        <v>1.4285714285714299E-2</v>
      </c>
      <c r="L2082" t="s">
        <v>959</v>
      </c>
      <c r="M2082">
        <v>1.4598540145985399</v>
      </c>
      <c r="N2082" t="s">
        <v>960</v>
      </c>
      <c r="O2082">
        <v>0</v>
      </c>
      <c r="P2082">
        <v>0</v>
      </c>
      <c r="Q2082">
        <v>0</v>
      </c>
      <c r="R2082">
        <v>0</v>
      </c>
    </row>
    <row r="2083" spans="1:18" ht="16" x14ac:dyDescent="0.2">
      <c r="A2083" s="130" t="s">
        <v>3909</v>
      </c>
      <c r="B2083" t="s">
        <v>397</v>
      </c>
      <c r="C2083" t="s">
        <v>3502</v>
      </c>
      <c r="D2083" t="s">
        <v>4065</v>
      </c>
      <c r="E2083" t="s">
        <v>4066</v>
      </c>
      <c r="F2083">
        <v>31</v>
      </c>
      <c r="G2083">
        <v>3</v>
      </c>
      <c r="H2083">
        <v>3.6412105284435601</v>
      </c>
      <c r="I2083" t="s">
        <v>957</v>
      </c>
      <c r="J2083" t="s">
        <v>4067</v>
      </c>
      <c r="K2083">
        <v>1.4285714285714299E-2</v>
      </c>
      <c r="L2083" t="s">
        <v>959</v>
      </c>
      <c r="M2083">
        <v>1.4598540145985399</v>
      </c>
      <c r="N2083" t="s">
        <v>960</v>
      </c>
      <c r="O2083">
        <v>0</v>
      </c>
      <c r="P2083">
        <v>0</v>
      </c>
      <c r="Q2083">
        <v>0</v>
      </c>
      <c r="R2083">
        <v>0</v>
      </c>
    </row>
    <row r="2084" spans="1:18" ht="16" x14ac:dyDescent="0.2">
      <c r="A2084" s="130" t="s">
        <v>3909</v>
      </c>
      <c r="B2084" t="s">
        <v>397</v>
      </c>
      <c r="C2084" t="s">
        <v>3139</v>
      </c>
      <c r="D2084" t="s">
        <v>3140</v>
      </c>
      <c r="E2084" t="s">
        <v>4277</v>
      </c>
      <c r="F2084">
        <v>8</v>
      </c>
      <c r="G2084">
        <v>2</v>
      </c>
      <c r="H2084">
        <v>3.83954564795429</v>
      </c>
      <c r="I2084" t="s">
        <v>957</v>
      </c>
      <c r="J2084" t="s">
        <v>4278</v>
      </c>
      <c r="K2084">
        <v>1.4285714285714299E-2</v>
      </c>
      <c r="L2084" t="s">
        <v>959</v>
      </c>
      <c r="M2084">
        <v>1.4598540145985399</v>
      </c>
      <c r="N2084" t="s">
        <v>960</v>
      </c>
      <c r="O2084">
        <v>0</v>
      </c>
      <c r="P2084">
        <v>0</v>
      </c>
      <c r="Q2084">
        <v>0</v>
      </c>
      <c r="R2084">
        <v>0</v>
      </c>
    </row>
    <row r="2085" spans="1:18" ht="16" x14ac:dyDescent="0.2">
      <c r="A2085" s="130" t="s">
        <v>3909</v>
      </c>
      <c r="B2085" t="s">
        <v>397</v>
      </c>
      <c r="C2085" t="s">
        <v>3925</v>
      </c>
      <c r="D2085" t="s">
        <v>3926</v>
      </c>
      <c r="E2085" t="s">
        <v>1022</v>
      </c>
      <c r="F2085">
        <v>3</v>
      </c>
      <c r="G2085">
        <v>2</v>
      </c>
      <c r="H2085">
        <v>3.8596871801992698</v>
      </c>
      <c r="I2085" t="s">
        <v>957</v>
      </c>
      <c r="J2085" t="s">
        <v>4040</v>
      </c>
      <c r="K2085">
        <v>0.157142857142857</v>
      </c>
      <c r="L2085" t="s">
        <v>959</v>
      </c>
      <c r="M2085">
        <v>8.0291970802919703</v>
      </c>
      <c r="N2085" t="s">
        <v>960</v>
      </c>
      <c r="O2085">
        <v>0</v>
      </c>
      <c r="P2085">
        <v>0</v>
      </c>
      <c r="Q2085">
        <v>0</v>
      </c>
      <c r="R2085">
        <v>0</v>
      </c>
    </row>
    <row r="2086" spans="1:18" ht="16" x14ac:dyDescent="0.2">
      <c r="A2086" s="130" t="s">
        <v>3909</v>
      </c>
      <c r="B2086" t="s">
        <v>397</v>
      </c>
      <c r="C2086" t="s">
        <v>2249</v>
      </c>
      <c r="D2086" t="s">
        <v>2250</v>
      </c>
      <c r="E2086" t="s">
        <v>1052</v>
      </c>
      <c r="F2086">
        <v>2</v>
      </c>
      <c r="G2086">
        <v>2</v>
      </c>
      <c r="H2086">
        <v>2.94180338569101</v>
      </c>
      <c r="I2086" t="s">
        <v>957</v>
      </c>
      <c r="J2086" t="s">
        <v>4757</v>
      </c>
      <c r="K2086">
        <v>0.17857142857142899</v>
      </c>
      <c r="L2086" t="s">
        <v>959</v>
      </c>
      <c r="M2086">
        <v>6.5693430656934302</v>
      </c>
      <c r="N2086" t="s">
        <v>960</v>
      </c>
      <c r="O2086">
        <v>0</v>
      </c>
      <c r="P2086">
        <v>0</v>
      </c>
      <c r="Q2086">
        <v>0</v>
      </c>
      <c r="R2086">
        <v>0</v>
      </c>
    </row>
    <row r="2087" spans="1:18" ht="16" x14ac:dyDescent="0.2">
      <c r="A2087" s="130" t="s">
        <v>3909</v>
      </c>
      <c r="B2087" t="s">
        <v>401</v>
      </c>
      <c r="C2087" t="s">
        <v>4505</v>
      </c>
      <c r="D2087" t="s">
        <v>4506</v>
      </c>
      <c r="E2087" t="s">
        <v>1646</v>
      </c>
      <c r="F2087">
        <v>8</v>
      </c>
      <c r="G2087">
        <v>2</v>
      </c>
      <c r="H2087">
        <v>2.3106035767497799</v>
      </c>
      <c r="I2087" t="s">
        <v>957</v>
      </c>
      <c r="J2087" t="s">
        <v>4753</v>
      </c>
      <c r="K2087">
        <v>0.33333333333333298</v>
      </c>
      <c r="L2087" t="s">
        <v>1004</v>
      </c>
      <c r="M2087">
        <v>2.1897810218978102</v>
      </c>
      <c r="N2087" t="s">
        <v>1005</v>
      </c>
      <c r="O2087">
        <v>0</v>
      </c>
      <c r="P2087">
        <v>0</v>
      </c>
      <c r="Q2087">
        <v>0</v>
      </c>
      <c r="R2087">
        <v>0</v>
      </c>
    </row>
    <row r="2088" spans="1:18" ht="16" x14ac:dyDescent="0.2">
      <c r="A2088" s="130" t="s">
        <v>3909</v>
      </c>
      <c r="B2088" t="s">
        <v>401</v>
      </c>
      <c r="C2088" t="s">
        <v>2203</v>
      </c>
      <c r="D2088" t="s">
        <v>2204</v>
      </c>
      <c r="E2088" t="s">
        <v>1442</v>
      </c>
      <c r="F2088">
        <v>5</v>
      </c>
      <c r="G2088">
        <v>2</v>
      </c>
      <c r="H2088">
        <v>1.5617376188860601</v>
      </c>
      <c r="I2088" t="s">
        <v>957</v>
      </c>
      <c r="J2088" t="s">
        <v>4638</v>
      </c>
      <c r="K2088">
        <v>0.4</v>
      </c>
      <c r="L2088" t="s">
        <v>1004</v>
      </c>
      <c r="M2088">
        <v>2.9197080291970798</v>
      </c>
      <c r="N2088" t="s">
        <v>1005</v>
      </c>
      <c r="O2088">
        <v>0</v>
      </c>
      <c r="P2088">
        <v>0</v>
      </c>
      <c r="Q2088">
        <v>0</v>
      </c>
      <c r="R2088">
        <v>0</v>
      </c>
    </row>
    <row r="2089" spans="1:18" ht="16" x14ac:dyDescent="0.2">
      <c r="A2089" s="130" t="s">
        <v>3909</v>
      </c>
      <c r="B2089" t="s">
        <v>401</v>
      </c>
      <c r="C2089" t="s">
        <v>310</v>
      </c>
      <c r="D2089" t="s">
        <v>1113</v>
      </c>
      <c r="E2089">
        <v>3</v>
      </c>
      <c r="F2089">
        <v>3</v>
      </c>
      <c r="G2089">
        <v>1</v>
      </c>
      <c r="H2089">
        <v>3.40916967982694</v>
      </c>
      <c r="I2089" t="s">
        <v>957</v>
      </c>
      <c r="J2089" t="s">
        <v>1114</v>
      </c>
      <c r="K2089">
        <v>6.4285714285714293E-2</v>
      </c>
      <c r="L2089" t="s">
        <v>959</v>
      </c>
      <c r="M2089">
        <v>3.6496350364963499</v>
      </c>
      <c r="N2089" t="s">
        <v>960</v>
      </c>
      <c r="O2089">
        <v>0</v>
      </c>
      <c r="P2089">
        <v>0</v>
      </c>
      <c r="Q2089">
        <v>0</v>
      </c>
      <c r="R2089">
        <v>0</v>
      </c>
    </row>
    <row r="2090" spans="1:18" ht="16" x14ac:dyDescent="0.2">
      <c r="A2090" s="130" t="s">
        <v>3909</v>
      </c>
      <c r="B2090" t="s">
        <v>401</v>
      </c>
      <c r="C2090" t="s">
        <v>2705</v>
      </c>
      <c r="D2090" t="s">
        <v>2706</v>
      </c>
      <c r="E2090" t="s">
        <v>4530</v>
      </c>
      <c r="F2090">
        <v>13</v>
      </c>
      <c r="G2090">
        <v>3</v>
      </c>
      <c r="H2090">
        <v>0.13830306667004499</v>
      </c>
      <c r="I2090" t="s">
        <v>957</v>
      </c>
      <c r="J2090" t="s">
        <v>4531</v>
      </c>
      <c r="K2090" t="s">
        <v>4532</v>
      </c>
      <c r="L2090" t="s">
        <v>1175</v>
      </c>
      <c r="M2090">
        <v>2.1897810218978102</v>
      </c>
      <c r="N2090" t="s">
        <v>982</v>
      </c>
      <c r="O2090">
        <v>0</v>
      </c>
      <c r="P2090" t="s">
        <v>5018</v>
      </c>
      <c r="Q2090">
        <v>0</v>
      </c>
      <c r="R2090" t="s">
        <v>5019</v>
      </c>
    </row>
    <row r="2091" spans="1:18" ht="16" x14ac:dyDescent="0.2">
      <c r="A2091" s="130" t="s">
        <v>3909</v>
      </c>
      <c r="B2091" t="s">
        <v>401</v>
      </c>
      <c r="C2091" t="s">
        <v>1780</v>
      </c>
      <c r="D2091" t="s">
        <v>1781</v>
      </c>
      <c r="E2091">
        <v>3</v>
      </c>
      <c r="F2091">
        <v>3</v>
      </c>
      <c r="G2091">
        <v>1</v>
      </c>
      <c r="H2091">
        <v>3.80093836068556</v>
      </c>
      <c r="I2091" t="s">
        <v>957</v>
      </c>
      <c r="J2091" t="s">
        <v>4280</v>
      </c>
      <c r="K2091">
        <v>0.1</v>
      </c>
      <c r="L2091" t="s">
        <v>959</v>
      </c>
      <c r="M2091">
        <v>2.1897810218978102</v>
      </c>
      <c r="N2091" t="s">
        <v>960</v>
      </c>
      <c r="O2091">
        <v>0</v>
      </c>
      <c r="P2091">
        <v>0</v>
      </c>
      <c r="Q2091">
        <v>0</v>
      </c>
      <c r="R2091">
        <v>0</v>
      </c>
    </row>
    <row r="2092" spans="1:18" ht="16" x14ac:dyDescent="0.2">
      <c r="A2092" s="130" t="s">
        <v>3909</v>
      </c>
      <c r="B2092" t="s">
        <v>401</v>
      </c>
      <c r="C2092" t="s">
        <v>2937</v>
      </c>
      <c r="D2092" t="s">
        <v>2938</v>
      </c>
      <c r="E2092" t="s">
        <v>3982</v>
      </c>
      <c r="F2092">
        <v>10</v>
      </c>
      <c r="G2092">
        <v>2</v>
      </c>
      <c r="H2092">
        <v>3.1455002464584298</v>
      </c>
      <c r="I2092" t="s">
        <v>957</v>
      </c>
      <c r="J2092" t="s">
        <v>3983</v>
      </c>
      <c r="K2092">
        <v>0.46666666666666701</v>
      </c>
      <c r="L2092" t="s">
        <v>1004</v>
      </c>
      <c r="M2092">
        <v>7.2992700729926998</v>
      </c>
      <c r="N2092" t="s">
        <v>1005</v>
      </c>
      <c r="O2092">
        <v>0</v>
      </c>
      <c r="P2092">
        <v>0</v>
      </c>
      <c r="Q2092">
        <v>0</v>
      </c>
      <c r="R2092">
        <v>0</v>
      </c>
    </row>
    <row r="2093" spans="1:18" ht="16" x14ac:dyDescent="0.2">
      <c r="A2093" s="130" t="s">
        <v>3909</v>
      </c>
      <c r="B2093" t="s">
        <v>401</v>
      </c>
      <c r="C2093" t="s">
        <v>4553</v>
      </c>
      <c r="D2093" t="s">
        <v>4554</v>
      </c>
      <c r="E2093" t="s">
        <v>1692</v>
      </c>
      <c r="F2093">
        <v>5</v>
      </c>
      <c r="G2093">
        <v>2</v>
      </c>
      <c r="H2093">
        <v>3.1281636346780002</v>
      </c>
      <c r="I2093" t="s">
        <v>957</v>
      </c>
      <c r="J2093" t="s">
        <v>4555</v>
      </c>
      <c r="K2093">
        <v>0.266666666666667</v>
      </c>
      <c r="L2093" t="s">
        <v>1004</v>
      </c>
      <c r="M2093">
        <v>0.72992700729926996</v>
      </c>
      <c r="N2093" t="s">
        <v>1005</v>
      </c>
      <c r="O2093">
        <v>0</v>
      </c>
      <c r="P2093">
        <v>0</v>
      </c>
      <c r="Q2093">
        <v>0</v>
      </c>
      <c r="R2093">
        <v>0</v>
      </c>
    </row>
    <row r="2094" spans="1:18" ht="16" x14ac:dyDescent="0.2">
      <c r="A2094" s="130" t="s">
        <v>3909</v>
      </c>
      <c r="B2094" t="s">
        <v>401</v>
      </c>
      <c r="C2094" t="s">
        <v>2030</v>
      </c>
      <c r="D2094" t="s">
        <v>2031</v>
      </c>
      <c r="E2094">
        <v>3</v>
      </c>
      <c r="F2094">
        <v>3</v>
      </c>
      <c r="G2094">
        <v>1</v>
      </c>
      <c r="H2094">
        <v>3.0561113168155898</v>
      </c>
      <c r="I2094" t="s">
        <v>957</v>
      </c>
      <c r="J2094" t="s">
        <v>4987</v>
      </c>
      <c r="K2094">
        <v>0.128571428571429</v>
      </c>
      <c r="L2094" t="s">
        <v>959</v>
      </c>
      <c r="M2094">
        <v>5.8394160583941597</v>
      </c>
      <c r="N2094" t="s">
        <v>960</v>
      </c>
      <c r="O2094">
        <v>0</v>
      </c>
      <c r="P2094">
        <v>0</v>
      </c>
      <c r="Q2094">
        <v>0</v>
      </c>
      <c r="R2094">
        <v>0</v>
      </c>
    </row>
    <row r="2095" spans="1:18" ht="16" x14ac:dyDescent="0.2">
      <c r="A2095" s="130" t="s">
        <v>3909</v>
      </c>
      <c r="B2095" t="s">
        <v>401</v>
      </c>
      <c r="C2095" t="s">
        <v>1150</v>
      </c>
      <c r="D2095" t="s">
        <v>4597</v>
      </c>
      <c r="E2095" t="s">
        <v>1216</v>
      </c>
      <c r="F2095">
        <v>7</v>
      </c>
      <c r="G2095">
        <v>2</v>
      </c>
      <c r="H2095">
        <v>3.6005296198672898</v>
      </c>
      <c r="I2095" t="s">
        <v>957</v>
      </c>
      <c r="J2095" t="s">
        <v>4598</v>
      </c>
      <c r="K2095">
        <v>0.266666666666667</v>
      </c>
      <c r="L2095" t="s">
        <v>1004</v>
      </c>
      <c r="M2095">
        <v>5.10948905109489</v>
      </c>
      <c r="N2095" t="s">
        <v>1005</v>
      </c>
      <c r="O2095">
        <v>0</v>
      </c>
      <c r="P2095">
        <v>0</v>
      </c>
      <c r="Q2095">
        <v>0</v>
      </c>
      <c r="R2095">
        <v>0</v>
      </c>
    </row>
    <row r="2096" spans="1:18" ht="16" x14ac:dyDescent="0.2">
      <c r="A2096" s="130" t="s">
        <v>3909</v>
      </c>
      <c r="B2096" t="s">
        <v>401</v>
      </c>
      <c r="C2096" t="s">
        <v>1926</v>
      </c>
      <c r="D2096" t="s">
        <v>1927</v>
      </c>
      <c r="E2096" t="s">
        <v>3339</v>
      </c>
      <c r="F2096">
        <v>13</v>
      </c>
      <c r="G2096">
        <v>2</v>
      </c>
      <c r="H2096">
        <v>3.1911460275711701</v>
      </c>
      <c r="I2096" t="s">
        <v>957</v>
      </c>
      <c r="J2096" t="s">
        <v>4838</v>
      </c>
      <c r="K2096">
        <v>0.33333333333333298</v>
      </c>
      <c r="L2096" t="s">
        <v>1004</v>
      </c>
      <c r="M2096">
        <v>4.3795620437956204</v>
      </c>
      <c r="N2096" t="s">
        <v>1005</v>
      </c>
      <c r="O2096">
        <v>0</v>
      </c>
      <c r="P2096">
        <v>0</v>
      </c>
      <c r="Q2096">
        <v>0</v>
      </c>
      <c r="R2096">
        <v>0</v>
      </c>
    </row>
    <row r="2097" spans="1:18" ht="16" x14ac:dyDescent="0.2">
      <c r="A2097" s="130" t="s">
        <v>3909</v>
      </c>
      <c r="B2097" t="s">
        <v>401</v>
      </c>
      <c r="C2097" t="s">
        <v>4045</v>
      </c>
      <c r="D2097" t="s">
        <v>4046</v>
      </c>
      <c r="E2097" t="s">
        <v>1590</v>
      </c>
      <c r="F2097">
        <v>7</v>
      </c>
      <c r="G2097">
        <v>2</v>
      </c>
      <c r="H2097">
        <v>3.3003988603904499</v>
      </c>
      <c r="I2097" t="s">
        <v>957</v>
      </c>
      <c r="J2097" t="s">
        <v>4047</v>
      </c>
      <c r="K2097">
        <v>0.266666666666667</v>
      </c>
      <c r="L2097" t="s">
        <v>1004</v>
      </c>
      <c r="M2097">
        <v>0.72992700729926996</v>
      </c>
      <c r="N2097" t="s">
        <v>1005</v>
      </c>
      <c r="O2097">
        <v>0</v>
      </c>
      <c r="P2097">
        <v>0</v>
      </c>
      <c r="Q2097">
        <v>0</v>
      </c>
      <c r="R2097">
        <v>0</v>
      </c>
    </row>
    <row r="2098" spans="1:18" ht="16" x14ac:dyDescent="0.2">
      <c r="A2098" s="130" t="s">
        <v>3909</v>
      </c>
      <c r="B2098" t="s">
        <v>401</v>
      </c>
      <c r="C2098" t="s">
        <v>2464</v>
      </c>
      <c r="D2098" t="s">
        <v>2465</v>
      </c>
      <c r="E2098" t="s">
        <v>1457</v>
      </c>
      <c r="F2098">
        <v>9</v>
      </c>
      <c r="G2098">
        <v>2</v>
      </c>
      <c r="H2098">
        <v>3.2936627462013002</v>
      </c>
      <c r="I2098" t="s">
        <v>957</v>
      </c>
      <c r="J2098" t="s">
        <v>4947</v>
      </c>
      <c r="K2098">
        <v>0.4</v>
      </c>
      <c r="L2098" t="s">
        <v>1004</v>
      </c>
      <c r="M2098">
        <v>6.5693430656934302</v>
      </c>
      <c r="N2098" t="s">
        <v>1005</v>
      </c>
      <c r="O2098">
        <v>0</v>
      </c>
      <c r="P2098">
        <v>0</v>
      </c>
      <c r="Q2098">
        <v>0</v>
      </c>
      <c r="R2098">
        <v>0</v>
      </c>
    </row>
    <row r="2099" spans="1:18" ht="16" x14ac:dyDescent="0.2">
      <c r="A2099" s="130" t="s">
        <v>3909</v>
      </c>
      <c r="B2099" t="s">
        <v>401</v>
      </c>
      <c r="C2099" t="s">
        <v>2091</v>
      </c>
      <c r="D2099" t="s">
        <v>2092</v>
      </c>
      <c r="E2099" t="s">
        <v>1627</v>
      </c>
      <c r="F2099">
        <v>8</v>
      </c>
      <c r="G2099">
        <v>2</v>
      </c>
      <c r="H2099">
        <v>3.7115717018816698</v>
      </c>
      <c r="I2099" t="s">
        <v>957</v>
      </c>
      <c r="J2099" t="s">
        <v>4467</v>
      </c>
      <c r="K2099">
        <v>0.266666666666667</v>
      </c>
      <c r="L2099" t="s">
        <v>1004</v>
      </c>
      <c r="M2099">
        <v>6.5693430656934302</v>
      </c>
      <c r="N2099" t="s">
        <v>982</v>
      </c>
      <c r="O2099">
        <v>0</v>
      </c>
      <c r="P2099">
        <v>0</v>
      </c>
      <c r="Q2099">
        <v>0</v>
      </c>
      <c r="R2099">
        <v>0</v>
      </c>
    </row>
    <row r="2100" spans="1:18" ht="16" x14ac:dyDescent="0.2">
      <c r="A2100" s="130" t="s">
        <v>3909</v>
      </c>
      <c r="B2100" t="s">
        <v>405</v>
      </c>
      <c r="C2100" t="s">
        <v>1964</v>
      </c>
      <c r="D2100" t="s">
        <v>1965</v>
      </c>
      <c r="E2100" t="s">
        <v>4041</v>
      </c>
      <c r="F2100">
        <v>16</v>
      </c>
      <c r="G2100">
        <v>2</v>
      </c>
      <c r="H2100">
        <v>1.82033328573037</v>
      </c>
      <c r="I2100" t="s">
        <v>957</v>
      </c>
      <c r="J2100" t="s">
        <v>1967</v>
      </c>
      <c r="K2100">
        <v>1.4285714285714299E-2</v>
      </c>
      <c r="L2100" t="s">
        <v>959</v>
      </c>
      <c r="M2100">
        <v>1.4598540145985399</v>
      </c>
      <c r="N2100" t="s">
        <v>960</v>
      </c>
      <c r="O2100">
        <v>0</v>
      </c>
      <c r="P2100" t="s">
        <v>5018</v>
      </c>
      <c r="Q2100">
        <v>0</v>
      </c>
      <c r="R2100">
        <v>0</v>
      </c>
    </row>
    <row r="2101" spans="1:18" ht="16" x14ac:dyDescent="0.2">
      <c r="A2101" s="130" t="s">
        <v>3909</v>
      </c>
      <c r="B2101" t="s">
        <v>405</v>
      </c>
      <c r="C2101" t="s">
        <v>3460</v>
      </c>
      <c r="D2101" t="s">
        <v>3461</v>
      </c>
      <c r="E2101">
        <v>3</v>
      </c>
      <c r="F2101">
        <v>3</v>
      </c>
      <c r="G2101">
        <v>1</v>
      </c>
      <c r="H2101">
        <v>3.2179688959896402</v>
      </c>
      <c r="I2101" t="s">
        <v>957</v>
      </c>
      <c r="J2101" t="s">
        <v>4174</v>
      </c>
      <c r="K2101">
        <v>4.2857142857142899E-2</v>
      </c>
      <c r="L2101" t="s">
        <v>959</v>
      </c>
      <c r="M2101">
        <v>1.4598540145985399</v>
      </c>
      <c r="N2101" t="s">
        <v>960</v>
      </c>
      <c r="O2101">
        <v>0</v>
      </c>
      <c r="P2101">
        <v>0</v>
      </c>
      <c r="Q2101">
        <v>0</v>
      </c>
      <c r="R2101">
        <v>0</v>
      </c>
    </row>
    <row r="2102" spans="1:18" ht="16" x14ac:dyDescent="0.2">
      <c r="A2102" s="130" t="s">
        <v>3909</v>
      </c>
      <c r="B2102" t="s">
        <v>405</v>
      </c>
      <c r="C2102" t="s">
        <v>1802</v>
      </c>
      <c r="D2102" t="s">
        <v>1803</v>
      </c>
      <c r="E2102" t="s">
        <v>1102</v>
      </c>
      <c r="F2102">
        <v>4</v>
      </c>
      <c r="G2102">
        <v>2</v>
      </c>
      <c r="H2102">
        <v>2.9353307595093501</v>
      </c>
      <c r="I2102" t="s">
        <v>957</v>
      </c>
      <c r="J2102" t="s">
        <v>3965</v>
      </c>
      <c r="K2102">
        <v>0.1</v>
      </c>
      <c r="L2102" t="s">
        <v>959</v>
      </c>
      <c r="M2102">
        <v>6.5693430656934302</v>
      </c>
      <c r="N2102" t="s">
        <v>960</v>
      </c>
      <c r="O2102">
        <v>0</v>
      </c>
      <c r="P2102">
        <v>0</v>
      </c>
      <c r="Q2102">
        <v>0</v>
      </c>
      <c r="R2102">
        <v>0</v>
      </c>
    </row>
    <row r="2103" spans="1:18" ht="16" x14ac:dyDescent="0.2">
      <c r="A2103" s="130" t="s">
        <v>3909</v>
      </c>
      <c r="B2103" t="s">
        <v>405</v>
      </c>
      <c r="C2103" t="s">
        <v>2814</v>
      </c>
      <c r="D2103" t="s">
        <v>2815</v>
      </c>
      <c r="E2103" t="s">
        <v>1052</v>
      </c>
      <c r="F2103">
        <v>2</v>
      </c>
      <c r="G2103">
        <v>2</v>
      </c>
      <c r="H2103">
        <v>2.0945802780162301</v>
      </c>
      <c r="I2103" t="s">
        <v>957</v>
      </c>
      <c r="J2103" t="s">
        <v>2816</v>
      </c>
      <c r="K2103">
        <v>0.15</v>
      </c>
      <c r="L2103" t="s">
        <v>959</v>
      </c>
      <c r="M2103">
        <v>7.2992700729926998</v>
      </c>
      <c r="N2103" t="s">
        <v>960</v>
      </c>
      <c r="O2103">
        <v>0</v>
      </c>
      <c r="P2103">
        <v>0</v>
      </c>
      <c r="Q2103">
        <v>0</v>
      </c>
      <c r="R2103">
        <v>0</v>
      </c>
    </row>
    <row r="2104" spans="1:18" ht="16" x14ac:dyDescent="0.2">
      <c r="A2104" s="130" t="s">
        <v>3909</v>
      </c>
      <c r="B2104" t="s">
        <v>409</v>
      </c>
      <c r="C2104" t="s">
        <v>1391</v>
      </c>
      <c r="D2104" t="s">
        <v>1392</v>
      </c>
      <c r="E2104">
        <v>4</v>
      </c>
      <c r="F2104">
        <v>4</v>
      </c>
      <c r="G2104">
        <v>1</v>
      </c>
      <c r="H2104">
        <v>1.69287354797798</v>
      </c>
      <c r="I2104" t="s">
        <v>957</v>
      </c>
      <c r="J2104" t="s">
        <v>4021</v>
      </c>
      <c r="K2104">
        <v>0.14285714285714299</v>
      </c>
      <c r="L2104" t="s">
        <v>959</v>
      </c>
      <c r="M2104">
        <v>5.10948905109489</v>
      </c>
      <c r="N2104" t="s">
        <v>960</v>
      </c>
      <c r="O2104">
        <v>0</v>
      </c>
      <c r="P2104">
        <v>0</v>
      </c>
      <c r="Q2104">
        <v>0</v>
      </c>
      <c r="R2104">
        <v>0</v>
      </c>
    </row>
    <row r="2105" spans="1:18" ht="16" x14ac:dyDescent="0.2">
      <c r="A2105" s="130" t="s">
        <v>3909</v>
      </c>
      <c r="B2105" t="s">
        <v>409</v>
      </c>
      <c r="C2105" t="s">
        <v>2245</v>
      </c>
      <c r="D2105" t="s">
        <v>2246</v>
      </c>
      <c r="E2105" t="s">
        <v>1022</v>
      </c>
      <c r="F2105">
        <v>3</v>
      </c>
      <c r="G2105">
        <v>2</v>
      </c>
      <c r="H2105">
        <v>2.9060072922344098</v>
      </c>
      <c r="I2105" t="s">
        <v>957</v>
      </c>
      <c r="J2105" t="s">
        <v>4130</v>
      </c>
      <c r="K2105">
        <v>0.16428571428571401</v>
      </c>
      <c r="L2105" t="s">
        <v>959</v>
      </c>
      <c r="M2105">
        <v>5.8394160583941597</v>
      </c>
      <c r="N2105" t="s">
        <v>960</v>
      </c>
      <c r="O2105">
        <v>0</v>
      </c>
      <c r="P2105">
        <v>0</v>
      </c>
      <c r="Q2105">
        <v>0</v>
      </c>
      <c r="R2105">
        <v>0</v>
      </c>
    </row>
    <row r="2106" spans="1:18" ht="16" x14ac:dyDescent="0.2">
      <c r="A2106" s="130" t="s">
        <v>3909</v>
      </c>
      <c r="B2106" t="s">
        <v>414</v>
      </c>
      <c r="C2106" t="s">
        <v>2641</v>
      </c>
      <c r="D2106" t="s">
        <v>2642</v>
      </c>
      <c r="E2106">
        <v>3</v>
      </c>
      <c r="F2106">
        <v>3</v>
      </c>
      <c r="G2106">
        <v>1</v>
      </c>
      <c r="H2106">
        <v>1.6871171862438099</v>
      </c>
      <c r="I2106" t="s">
        <v>957</v>
      </c>
      <c r="J2106" t="s">
        <v>4974</v>
      </c>
      <c r="K2106">
        <v>0.17857142857142899</v>
      </c>
      <c r="L2106" t="s">
        <v>959</v>
      </c>
      <c r="M2106">
        <v>8.0291970802919703</v>
      </c>
      <c r="N2106" t="s">
        <v>960</v>
      </c>
      <c r="O2106">
        <v>0</v>
      </c>
      <c r="P2106">
        <v>0</v>
      </c>
      <c r="Q2106">
        <v>0</v>
      </c>
      <c r="R2106">
        <v>0</v>
      </c>
    </row>
    <row r="2107" spans="1:18" ht="16" x14ac:dyDescent="0.2">
      <c r="A2107" s="130" t="s">
        <v>3909</v>
      </c>
      <c r="B2107" t="s">
        <v>414</v>
      </c>
      <c r="C2107" t="s">
        <v>1822</v>
      </c>
      <c r="D2107" t="s">
        <v>1823</v>
      </c>
      <c r="E2107">
        <v>3</v>
      </c>
      <c r="F2107">
        <v>3</v>
      </c>
      <c r="G2107">
        <v>1</v>
      </c>
      <c r="H2107">
        <v>3.04780878128456</v>
      </c>
      <c r="I2107" t="s">
        <v>957</v>
      </c>
      <c r="J2107" t="s">
        <v>4716</v>
      </c>
      <c r="K2107">
        <v>0.107142857142857</v>
      </c>
      <c r="L2107" t="s">
        <v>959</v>
      </c>
      <c r="M2107">
        <v>8.0291970802919703</v>
      </c>
      <c r="N2107" t="s">
        <v>960</v>
      </c>
      <c r="O2107">
        <v>0</v>
      </c>
      <c r="P2107">
        <v>0</v>
      </c>
      <c r="Q2107">
        <v>0</v>
      </c>
      <c r="R2107">
        <v>0</v>
      </c>
    </row>
    <row r="2108" spans="1:18" ht="16" x14ac:dyDescent="0.2">
      <c r="A2108" s="130" t="s">
        <v>3909</v>
      </c>
      <c r="B2108" t="s">
        <v>414</v>
      </c>
      <c r="C2108" t="s">
        <v>3852</v>
      </c>
      <c r="D2108" t="s">
        <v>3853</v>
      </c>
      <c r="E2108" t="s">
        <v>1052</v>
      </c>
      <c r="F2108">
        <v>2</v>
      </c>
      <c r="G2108">
        <v>2</v>
      </c>
      <c r="H2108">
        <v>2.92052510330601</v>
      </c>
      <c r="I2108" t="s">
        <v>957</v>
      </c>
      <c r="J2108" t="s">
        <v>4489</v>
      </c>
      <c r="K2108">
        <v>8.5714285714285701E-2</v>
      </c>
      <c r="L2108" t="s">
        <v>959</v>
      </c>
      <c r="M2108">
        <v>2.1897810218978102</v>
      </c>
      <c r="N2108" t="s">
        <v>960</v>
      </c>
      <c r="O2108">
        <v>0</v>
      </c>
      <c r="P2108">
        <v>0</v>
      </c>
      <c r="Q2108">
        <v>0</v>
      </c>
      <c r="R2108">
        <v>0</v>
      </c>
    </row>
    <row r="2109" spans="1:18" ht="16" x14ac:dyDescent="0.2">
      <c r="A2109" s="130" t="s">
        <v>3909</v>
      </c>
      <c r="B2109" t="s">
        <v>414</v>
      </c>
      <c r="C2109" t="s">
        <v>1715</v>
      </c>
      <c r="D2109" t="s">
        <v>1716</v>
      </c>
      <c r="E2109">
        <v>3</v>
      </c>
      <c r="F2109">
        <v>3</v>
      </c>
      <c r="G2109">
        <v>1</v>
      </c>
      <c r="H2109">
        <v>4.0638230744529196</v>
      </c>
      <c r="I2109" t="s">
        <v>957</v>
      </c>
      <c r="J2109" t="s">
        <v>4535</v>
      </c>
      <c r="K2109">
        <v>0.1</v>
      </c>
      <c r="L2109" t="s">
        <v>959</v>
      </c>
      <c r="M2109">
        <v>3.6496350364963499</v>
      </c>
      <c r="N2109" t="s">
        <v>960</v>
      </c>
      <c r="O2109">
        <v>0</v>
      </c>
      <c r="P2109">
        <v>0</v>
      </c>
      <c r="Q2109">
        <v>0</v>
      </c>
      <c r="R2109">
        <v>0</v>
      </c>
    </row>
    <row r="2110" spans="1:18" ht="16" x14ac:dyDescent="0.2">
      <c r="A2110" s="130" t="s">
        <v>3909</v>
      </c>
      <c r="B2110" t="s">
        <v>422</v>
      </c>
      <c r="C2110" t="s">
        <v>983</v>
      </c>
      <c r="D2110" t="s">
        <v>4957</v>
      </c>
      <c r="E2110" t="s">
        <v>1442</v>
      </c>
      <c r="F2110">
        <v>5</v>
      </c>
      <c r="G2110">
        <v>2</v>
      </c>
      <c r="H2110">
        <v>0.62322481255772599</v>
      </c>
      <c r="I2110" t="s">
        <v>957</v>
      </c>
      <c r="J2110" t="s">
        <v>4958</v>
      </c>
      <c r="K2110">
        <v>0.34482758620689702</v>
      </c>
      <c r="L2110" t="s">
        <v>972</v>
      </c>
      <c r="M2110">
        <v>8.7591240875912408</v>
      </c>
      <c r="N2110" t="s">
        <v>973</v>
      </c>
      <c r="O2110">
        <v>0</v>
      </c>
      <c r="P2110">
        <v>0</v>
      </c>
      <c r="Q2110">
        <v>0</v>
      </c>
      <c r="R2110">
        <v>0</v>
      </c>
    </row>
    <row r="2111" spans="1:18" ht="16" x14ac:dyDescent="0.2">
      <c r="A2111" s="130" t="s">
        <v>3909</v>
      </c>
      <c r="B2111" t="s">
        <v>422</v>
      </c>
      <c r="C2111" t="s">
        <v>2316</v>
      </c>
      <c r="D2111" t="s">
        <v>2317</v>
      </c>
      <c r="E2111" t="s">
        <v>966</v>
      </c>
      <c r="F2111">
        <v>3</v>
      </c>
      <c r="G2111">
        <v>3</v>
      </c>
      <c r="H2111">
        <v>2.30699492590383</v>
      </c>
      <c r="I2111" t="s">
        <v>957</v>
      </c>
      <c r="J2111" t="s">
        <v>4177</v>
      </c>
      <c r="K2111">
        <v>0.192857142857143</v>
      </c>
      <c r="L2111" t="s">
        <v>959</v>
      </c>
      <c r="M2111">
        <v>8.7591240875912408</v>
      </c>
      <c r="N2111" t="s">
        <v>960</v>
      </c>
      <c r="O2111">
        <v>0</v>
      </c>
      <c r="P2111">
        <v>0</v>
      </c>
      <c r="Q2111">
        <v>0</v>
      </c>
      <c r="R2111">
        <v>0</v>
      </c>
    </row>
    <row r="2112" spans="1:18" ht="16" x14ac:dyDescent="0.2">
      <c r="A2112" s="130" t="s">
        <v>3909</v>
      </c>
      <c r="B2112" t="s">
        <v>422</v>
      </c>
      <c r="C2112" t="s">
        <v>3765</v>
      </c>
      <c r="D2112" t="s">
        <v>3766</v>
      </c>
      <c r="E2112" t="s">
        <v>1052</v>
      </c>
      <c r="F2112">
        <v>2</v>
      </c>
      <c r="G2112">
        <v>2</v>
      </c>
      <c r="H2112">
        <v>1.50828990144195</v>
      </c>
      <c r="I2112" t="s">
        <v>957</v>
      </c>
      <c r="J2112" t="s">
        <v>4440</v>
      </c>
      <c r="K2112">
        <v>0.2</v>
      </c>
      <c r="L2112" t="s">
        <v>959</v>
      </c>
      <c r="M2112">
        <v>6.5693430656934302</v>
      </c>
      <c r="N2112" t="s">
        <v>960</v>
      </c>
      <c r="O2112">
        <v>0</v>
      </c>
      <c r="P2112">
        <v>0</v>
      </c>
      <c r="Q2112">
        <v>0</v>
      </c>
      <c r="R2112">
        <v>0</v>
      </c>
    </row>
    <row r="2113" spans="1:18" ht="16" x14ac:dyDescent="0.2">
      <c r="A2113" s="130" t="s">
        <v>3909</v>
      </c>
      <c r="B2113" t="s">
        <v>422</v>
      </c>
      <c r="C2113" t="s">
        <v>2491</v>
      </c>
      <c r="D2113" t="s">
        <v>2492</v>
      </c>
      <c r="E2113" t="s">
        <v>3276</v>
      </c>
      <c r="F2113">
        <v>6</v>
      </c>
      <c r="G2113">
        <v>3</v>
      </c>
      <c r="H2113">
        <v>3.4379889936805199</v>
      </c>
      <c r="I2113" t="s">
        <v>957</v>
      </c>
      <c r="J2113" t="s">
        <v>4820</v>
      </c>
      <c r="K2113">
        <v>0.121428571428571</v>
      </c>
      <c r="L2113" t="s">
        <v>959</v>
      </c>
      <c r="M2113">
        <v>8.0291970802919703</v>
      </c>
      <c r="N2113" t="s">
        <v>987</v>
      </c>
      <c r="O2113">
        <v>0</v>
      </c>
      <c r="P2113">
        <v>0</v>
      </c>
      <c r="Q2113">
        <v>0</v>
      </c>
      <c r="R2113">
        <v>0</v>
      </c>
    </row>
    <row r="2114" spans="1:18" ht="16" x14ac:dyDescent="0.2">
      <c r="A2114" s="130" t="s">
        <v>3909</v>
      </c>
      <c r="B2114" t="s">
        <v>422</v>
      </c>
      <c r="C2114" t="s">
        <v>3070</v>
      </c>
      <c r="D2114" t="s">
        <v>3071</v>
      </c>
      <c r="E2114">
        <v>3</v>
      </c>
      <c r="F2114">
        <v>3</v>
      </c>
      <c r="G2114">
        <v>1</v>
      </c>
      <c r="H2114">
        <v>2.5881391590148999</v>
      </c>
      <c r="I2114" t="s">
        <v>957</v>
      </c>
      <c r="J2114" t="s">
        <v>3211</v>
      </c>
      <c r="K2114">
        <v>0.1</v>
      </c>
      <c r="L2114" t="s">
        <v>959</v>
      </c>
      <c r="M2114">
        <v>5.8394160583941597</v>
      </c>
      <c r="N2114" t="s">
        <v>960</v>
      </c>
      <c r="O2114">
        <v>0</v>
      </c>
      <c r="P2114">
        <v>0</v>
      </c>
      <c r="Q2114">
        <v>0</v>
      </c>
      <c r="R2114">
        <v>0</v>
      </c>
    </row>
    <row r="2115" spans="1:18" ht="16" x14ac:dyDescent="0.2">
      <c r="A2115" s="130" t="s">
        <v>3909</v>
      </c>
      <c r="B2115" t="s">
        <v>422</v>
      </c>
      <c r="C2115" t="s">
        <v>2245</v>
      </c>
      <c r="D2115" t="s">
        <v>2246</v>
      </c>
      <c r="E2115" t="s">
        <v>1039</v>
      </c>
      <c r="F2115">
        <v>3</v>
      </c>
      <c r="G2115">
        <v>2</v>
      </c>
      <c r="H2115">
        <v>2.9060072922344098</v>
      </c>
      <c r="I2115" t="s">
        <v>957</v>
      </c>
      <c r="J2115" t="s">
        <v>4396</v>
      </c>
      <c r="K2115">
        <v>0.16428571428571401</v>
      </c>
      <c r="L2115" t="s">
        <v>959</v>
      </c>
      <c r="M2115">
        <v>5.8394160583941597</v>
      </c>
      <c r="N2115" t="s">
        <v>960</v>
      </c>
      <c r="O2115">
        <v>0</v>
      </c>
      <c r="P2115">
        <v>0</v>
      </c>
      <c r="Q2115">
        <v>0</v>
      </c>
      <c r="R2115">
        <v>0</v>
      </c>
    </row>
    <row r="2116" spans="1:18" ht="16" x14ac:dyDescent="0.2">
      <c r="A2116" s="130" t="s">
        <v>3909</v>
      </c>
      <c r="B2116" t="s">
        <v>422</v>
      </c>
      <c r="C2116" t="s">
        <v>3301</v>
      </c>
      <c r="D2116" t="s">
        <v>4561</v>
      </c>
      <c r="E2116" t="s">
        <v>1230</v>
      </c>
      <c r="F2116">
        <v>4</v>
      </c>
      <c r="G2116">
        <v>2</v>
      </c>
      <c r="H2116">
        <v>2.3551301346723501</v>
      </c>
      <c r="I2116" t="s">
        <v>957</v>
      </c>
      <c r="J2116" t="s">
        <v>4134</v>
      </c>
      <c r="K2116">
        <v>0.128571428571429</v>
      </c>
      <c r="L2116" t="s">
        <v>959</v>
      </c>
      <c r="M2116">
        <v>7.2992700729926998</v>
      </c>
      <c r="N2116" t="s">
        <v>987</v>
      </c>
      <c r="O2116">
        <v>0</v>
      </c>
      <c r="P2116">
        <v>0</v>
      </c>
      <c r="Q2116">
        <v>0</v>
      </c>
      <c r="R2116">
        <v>0</v>
      </c>
    </row>
    <row r="2117" spans="1:18" ht="16" x14ac:dyDescent="0.2">
      <c r="A2117" s="130" t="s">
        <v>3909</v>
      </c>
      <c r="B2117" t="s">
        <v>422</v>
      </c>
      <c r="C2117" t="s">
        <v>3830</v>
      </c>
      <c r="D2117" t="s">
        <v>3831</v>
      </c>
      <c r="E2117" t="s">
        <v>3197</v>
      </c>
      <c r="F2117">
        <v>6</v>
      </c>
      <c r="G2117">
        <v>3</v>
      </c>
      <c r="H2117">
        <v>3.8891004247564598</v>
      </c>
      <c r="I2117" t="s">
        <v>957</v>
      </c>
      <c r="J2117" t="s">
        <v>3832</v>
      </c>
      <c r="K2117">
        <v>0.17142857142857101</v>
      </c>
      <c r="L2117" t="s">
        <v>959</v>
      </c>
      <c r="M2117">
        <v>8.7591240875912408</v>
      </c>
      <c r="N2117" t="s">
        <v>960</v>
      </c>
      <c r="O2117">
        <v>0</v>
      </c>
      <c r="P2117">
        <v>0</v>
      </c>
      <c r="Q2117">
        <v>0</v>
      </c>
      <c r="R2117">
        <v>0</v>
      </c>
    </row>
    <row r="2118" spans="1:18" ht="16" x14ac:dyDescent="0.2">
      <c r="A2118" s="130" t="s">
        <v>3909</v>
      </c>
      <c r="B2118" t="s">
        <v>422</v>
      </c>
      <c r="C2118" t="s">
        <v>2904</v>
      </c>
      <c r="D2118" t="s">
        <v>2905</v>
      </c>
      <c r="E2118" t="s">
        <v>1074</v>
      </c>
      <c r="F2118">
        <v>6</v>
      </c>
      <c r="G2118">
        <v>2</v>
      </c>
      <c r="H2118">
        <v>1.15407466111574</v>
      </c>
      <c r="I2118" t="s">
        <v>957</v>
      </c>
      <c r="J2118" t="s">
        <v>4363</v>
      </c>
      <c r="K2118">
        <v>0.34482758620689702</v>
      </c>
      <c r="L2118" t="s">
        <v>972</v>
      </c>
      <c r="M2118">
        <v>7.2992700729926998</v>
      </c>
      <c r="N2118" t="s">
        <v>973</v>
      </c>
      <c r="O2118">
        <v>0</v>
      </c>
      <c r="P2118">
        <v>0</v>
      </c>
      <c r="Q2118">
        <v>0</v>
      </c>
      <c r="R2118">
        <v>0</v>
      </c>
    </row>
    <row r="2119" spans="1:18" ht="16" x14ac:dyDescent="0.2">
      <c r="A2119" s="130" t="s">
        <v>3909</v>
      </c>
      <c r="B2119" t="s">
        <v>422</v>
      </c>
      <c r="C2119" t="s">
        <v>3715</v>
      </c>
      <c r="D2119" t="s">
        <v>3716</v>
      </c>
      <c r="E2119" t="s">
        <v>1442</v>
      </c>
      <c r="F2119">
        <v>5</v>
      </c>
      <c r="G2119">
        <v>2</v>
      </c>
      <c r="H2119">
        <v>4.5878564343443999</v>
      </c>
      <c r="I2119" t="s">
        <v>957</v>
      </c>
      <c r="J2119" t="s">
        <v>4344</v>
      </c>
      <c r="K2119">
        <v>0.24137931034482801</v>
      </c>
      <c r="L2119" t="s">
        <v>972</v>
      </c>
      <c r="M2119">
        <v>4.3795620437956204</v>
      </c>
      <c r="N2119" t="s">
        <v>987</v>
      </c>
      <c r="O2119">
        <v>0</v>
      </c>
      <c r="P2119">
        <v>0</v>
      </c>
      <c r="Q2119">
        <v>0</v>
      </c>
      <c r="R2119">
        <v>0</v>
      </c>
    </row>
    <row r="2120" spans="1:18" ht="16" x14ac:dyDescent="0.2">
      <c r="A2120" s="130" t="s">
        <v>3909</v>
      </c>
      <c r="B2120" t="s">
        <v>422</v>
      </c>
      <c r="C2120" t="s">
        <v>1902</v>
      </c>
      <c r="D2120" t="s">
        <v>4427</v>
      </c>
      <c r="E2120" t="s">
        <v>1052</v>
      </c>
      <c r="F2120">
        <v>2</v>
      </c>
      <c r="G2120">
        <v>2</v>
      </c>
      <c r="H2120">
        <v>6.7992061098580102E-3</v>
      </c>
      <c r="I2120" t="s">
        <v>957</v>
      </c>
      <c r="J2120" t="s">
        <v>4980</v>
      </c>
      <c r="K2120">
        <v>0.107142857142857</v>
      </c>
      <c r="L2120" t="s">
        <v>959</v>
      </c>
      <c r="M2120">
        <v>2.9197080291970798</v>
      </c>
      <c r="N2120" t="s">
        <v>960</v>
      </c>
      <c r="O2120">
        <v>0</v>
      </c>
      <c r="P2120">
        <v>0</v>
      </c>
      <c r="Q2120">
        <v>0</v>
      </c>
      <c r="R2120">
        <v>0</v>
      </c>
    </row>
    <row r="2121" spans="1:18" ht="16" x14ac:dyDescent="0.2">
      <c r="A2121" s="130" t="s">
        <v>3909</v>
      </c>
      <c r="B2121" t="s">
        <v>422</v>
      </c>
      <c r="C2121" t="s">
        <v>2749</v>
      </c>
      <c r="D2121" t="s">
        <v>2750</v>
      </c>
      <c r="E2121" t="s">
        <v>1039</v>
      </c>
      <c r="F2121">
        <v>3</v>
      </c>
      <c r="G2121">
        <v>2</v>
      </c>
      <c r="H2121">
        <v>2.3864098029198701</v>
      </c>
      <c r="I2121" t="s">
        <v>957</v>
      </c>
      <c r="J2121" t="s">
        <v>4011</v>
      </c>
      <c r="K2121">
        <v>0.128571428571429</v>
      </c>
      <c r="L2121" t="s">
        <v>959</v>
      </c>
      <c r="M2121">
        <v>6.5693430656934302</v>
      </c>
      <c r="N2121" t="s">
        <v>960</v>
      </c>
      <c r="O2121">
        <v>0</v>
      </c>
      <c r="P2121">
        <v>0</v>
      </c>
      <c r="Q2121">
        <v>0</v>
      </c>
      <c r="R2121">
        <v>0</v>
      </c>
    </row>
    <row r="2122" spans="1:18" ht="16" x14ac:dyDescent="0.2">
      <c r="A2122" s="130" t="s">
        <v>3909</v>
      </c>
      <c r="B2122" t="s">
        <v>422</v>
      </c>
      <c r="C2122" t="s">
        <v>3771</v>
      </c>
      <c r="D2122" t="s">
        <v>3772</v>
      </c>
      <c r="E2122" t="s">
        <v>1039</v>
      </c>
      <c r="F2122">
        <v>3</v>
      </c>
      <c r="G2122">
        <v>2</v>
      </c>
      <c r="H2122">
        <v>3.25253133045398</v>
      </c>
      <c r="I2122" t="s">
        <v>957</v>
      </c>
      <c r="J2122" t="s">
        <v>4655</v>
      </c>
      <c r="K2122">
        <v>0.192857142857143</v>
      </c>
      <c r="L2122" t="s">
        <v>959</v>
      </c>
      <c r="M2122">
        <v>5.10948905109489</v>
      </c>
      <c r="N2122" t="s">
        <v>960</v>
      </c>
      <c r="O2122">
        <v>0</v>
      </c>
      <c r="P2122">
        <v>0</v>
      </c>
      <c r="Q2122">
        <v>0</v>
      </c>
      <c r="R2122">
        <v>0</v>
      </c>
    </row>
    <row r="2123" spans="1:18" ht="16" x14ac:dyDescent="0.2">
      <c r="A2123" s="130" t="s">
        <v>3909</v>
      </c>
      <c r="B2123" t="s">
        <v>422</v>
      </c>
      <c r="C2123" t="s">
        <v>2074</v>
      </c>
      <c r="D2123" t="s">
        <v>2075</v>
      </c>
      <c r="E2123" t="s">
        <v>3512</v>
      </c>
      <c r="F2123">
        <v>9</v>
      </c>
      <c r="G2123">
        <v>2</v>
      </c>
      <c r="H2123">
        <v>3.4796907079050001</v>
      </c>
      <c r="I2123" t="s">
        <v>957</v>
      </c>
      <c r="J2123" t="s">
        <v>4571</v>
      </c>
      <c r="K2123">
        <v>0.41379310344827602</v>
      </c>
      <c r="L2123" t="s">
        <v>972</v>
      </c>
      <c r="M2123">
        <v>5.8394160583941597</v>
      </c>
      <c r="N2123" t="s">
        <v>987</v>
      </c>
      <c r="O2123">
        <v>0</v>
      </c>
      <c r="P2123">
        <v>0</v>
      </c>
      <c r="Q2123">
        <v>0</v>
      </c>
      <c r="R2123">
        <v>0</v>
      </c>
    </row>
    <row r="2124" spans="1:18" ht="16" x14ac:dyDescent="0.2">
      <c r="A2124" s="130" t="s">
        <v>3909</v>
      </c>
      <c r="B2124" t="s">
        <v>426</v>
      </c>
      <c r="C2124" t="s">
        <v>3645</v>
      </c>
      <c r="D2124" t="s">
        <v>3646</v>
      </c>
      <c r="E2124">
        <v>3</v>
      </c>
      <c r="F2124">
        <v>3</v>
      </c>
      <c r="G2124">
        <v>1</v>
      </c>
      <c r="H2124">
        <v>2.1551974631325002</v>
      </c>
      <c r="I2124" t="s">
        <v>957</v>
      </c>
      <c r="J2124" t="s">
        <v>4413</v>
      </c>
      <c r="K2124">
        <v>0.14285714285714299</v>
      </c>
      <c r="L2124" t="s">
        <v>959</v>
      </c>
      <c r="M2124">
        <v>5.8394160583941597</v>
      </c>
      <c r="N2124" t="s">
        <v>960</v>
      </c>
      <c r="O2124">
        <v>0</v>
      </c>
      <c r="P2124">
        <v>0</v>
      </c>
      <c r="Q2124" t="s">
        <v>5019</v>
      </c>
      <c r="R2124">
        <v>0</v>
      </c>
    </row>
    <row r="2125" spans="1:18" ht="16" x14ac:dyDescent="0.2">
      <c r="A2125" s="130" t="s">
        <v>3909</v>
      </c>
      <c r="B2125" t="s">
        <v>426</v>
      </c>
      <c r="C2125" t="s">
        <v>2242</v>
      </c>
      <c r="D2125" t="s">
        <v>2243</v>
      </c>
      <c r="E2125">
        <v>3</v>
      </c>
      <c r="F2125">
        <v>3</v>
      </c>
      <c r="G2125">
        <v>1</v>
      </c>
      <c r="H2125">
        <v>3.0813915027212899</v>
      </c>
      <c r="I2125" t="s">
        <v>957</v>
      </c>
      <c r="J2125" t="s">
        <v>3778</v>
      </c>
      <c r="K2125">
        <v>9.2857142857142902E-2</v>
      </c>
      <c r="L2125" t="s">
        <v>959</v>
      </c>
      <c r="M2125">
        <v>7.2992700729926998</v>
      </c>
      <c r="N2125" t="s">
        <v>960</v>
      </c>
      <c r="O2125">
        <v>0</v>
      </c>
      <c r="P2125">
        <v>0</v>
      </c>
      <c r="Q2125" t="s">
        <v>5019</v>
      </c>
      <c r="R2125">
        <v>0</v>
      </c>
    </row>
    <row r="2126" spans="1:18" ht="16" x14ac:dyDescent="0.2">
      <c r="A2126" s="130" t="s">
        <v>3909</v>
      </c>
      <c r="B2126" t="s">
        <v>426</v>
      </c>
      <c r="C2126" t="s">
        <v>2546</v>
      </c>
      <c r="D2126" t="s">
        <v>2547</v>
      </c>
      <c r="E2126">
        <v>3</v>
      </c>
      <c r="F2126">
        <v>3</v>
      </c>
      <c r="G2126">
        <v>1</v>
      </c>
      <c r="H2126">
        <v>3.43170671824954</v>
      </c>
      <c r="I2126" t="s">
        <v>957</v>
      </c>
      <c r="J2126" t="s">
        <v>4626</v>
      </c>
      <c r="K2126">
        <v>0.107142857142857</v>
      </c>
      <c r="L2126" t="s">
        <v>959</v>
      </c>
      <c r="M2126">
        <v>4.3795620437956204</v>
      </c>
      <c r="N2126" t="s">
        <v>960</v>
      </c>
      <c r="O2126">
        <v>0</v>
      </c>
      <c r="P2126">
        <v>0</v>
      </c>
      <c r="Q2126" t="s">
        <v>5019</v>
      </c>
      <c r="R2126">
        <v>0</v>
      </c>
    </row>
    <row r="2127" spans="1:18" ht="16" x14ac:dyDescent="0.2">
      <c r="A2127" s="130" t="s">
        <v>3909</v>
      </c>
      <c r="B2127" t="s">
        <v>426</v>
      </c>
      <c r="C2127" t="s">
        <v>2384</v>
      </c>
      <c r="D2127" t="s">
        <v>2385</v>
      </c>
      <c r="E2127" t="s">
        <v>1102</v>
      </c>
      <c r="F2127">
        <v>4</v>
      </c>
      <c r="G2127">
        <v>2</v>
      </c>
      <c r="H2127">
        <v>3.80344524896267</v>
      </c>
      <c r="I2127" t="s">
        <v>957</v>
      </c>
      <c r="J2127" t="s">
        <v>4098</v>
      </c>
      <c r="K2127">
        <v>0.14285714285714299</v>
      </c>
      <c r="L2127" t="s">
        <v>959</v>
      </c>
      <c r="M2127">
        <v>3.6496350364963499</v>
      </c>
      <c r="N2127" t="s">
        <v>960</v>
      </c>
      <c r="O2127">
        <v>0</v>
      </c>
      <c r="P2127">
        <v>0</v>
      </c>
      <c r="Q2127" t="s">
        <v>5019</v>
      </c>
      <c r="R2127">
        <v>0</v>
      </c>
    </row>
    <row r="2128" spans="1:18" ht="16" x14ac:dyDescent="0.2">
      <c r="A2128" s="130" t="s">
        <v>3909</v>
      </c>
      <c r="B2128" t="s">
        <v>426</v>
      </c>
      <c r="C2128" t="s">
        <v>2937</v>
      </c>
      <c r="D2128" t="s">
        <v>2938</v>
      </c>
      <c r="E2128">
        <v>3</v>
      </c>
      <c r="F2128">
        <v>3</v>
      </c>
      <c r="G2128">
        <v>1</v>
      </c>
      <c r="H2128">
        <v>1.9518384329290701</v>
      </c>
      <c r="I2128" t="s">
        <v>957</v>
      </c>
      <c r="J2128" t="s">
        <v>4576</v>
      </c>
      <c r="K2128">
        <v>0.16428571428571401</v>
      </c>
      <c r="L2128" t="s">
        <v>959</v>
      </c>
      <c r="M2128">
        <v>7.2992700729926998</v>
      </c>
      <c r="N2128" t="s">
        <v>960</v>
      </c>
      <c r="O2128">
        <v>0</v>
      </c>
      <c r="P2128">
        <v>0</v>
      </c>
      <c r="Q2128" t="s">
        <v>5019</v>
      </c>
      <c r="R2128">
        <v>0</v>
      </c>
    </row>
    <row r="2129" spans="1:18" ht="16" x14ac:dyDescent="0.2">
      <c r="A2129" s="130" t="s">
        <v>3909</v>
      </c>
      <c r="B2129" t="s">
        <v>426</v>
      </c>
      <c r="C2129" t="s">
        <v>4073</v>
      </c>
      <c r="D2129" t="s">
        <v>4074</v>
      </c>
      <c r="E2129" t="s">
        <v>1052</v>
      </c>
      <c r="F2129">
        <v>2</v>
      </c>
      <c r="G2129">
        <v>2</v>
      </c>
      <c r="H2129">
        <v>3.7737864636387699</v>
      </c>
      <c r="I2129" t="s">
        <v>957</v>
      </c>
      <c r="J2129" t="s">
        <v>4939</v>
      </c>
      <c r="K2129">
        <v>0.121428571428571</v>
      </c>
      <c r="L2129" t="s">
        <v>959</v>
      </c>
      <c r="M2129">
        <v>2.9197080291970798</v>
      </c>
      <c r="N2129" t="s">
        <v>960</v>
      </c>
      <c r="O2129">
        <v>0</v>
      </c>
      <c r="P2129">
        <v>0</v>
      </c>
      <c r="Q2129" t="s">
        <v>5019</v>
      </c>
      <c r="R2129">
        <v>0</v>
      </c>
    </row>
    <row r="2130" spans="1:18" ht="16" x14ac:dyDescent="0.2">
      <c r="A2130" s="130" t="s">
        <v>3909</v>
      </c>
      <c r="B2130" t="s">
        <v>426</v>
      </c>
      <c r="C2130" t="s">
        <v>1263</v>
      </c>
      <c r="D2130" t="s">
        <v>1264</v>
      </c>
      <c r="E2130">
        <v>3</v>
      </c>
      <c r="F2130">
        <v>3</v>
      </c>
      <c r="G2130">
        <v>1</v>
      </c>
      <c r="H2130">
        <v>1.3825477623785201</v>
      </c>
      <c r="I2130" t="s">
        <v>957</v>
      </c>
      <c r="J2130" t="s">
        <v>4718</v>
      </c>
      <c r="K2130">
        <v>0.17142857142857101</v>
      </c>
      <c r="L2130" t="s">
        <v>959</v>
      </c>
      <c r="M2130">
        <v>4.3795620437956204</v>
      </c>
      <c r="N2130" t="s">
        <v>960</v>
      </c>
      <c r="O2130">
        <v>0</v>
      </c>
      <c r="P2130">
        <v>0</v>
      </c>
      <c r="Q2130" t="s">
        <v>5019</v>
      </c>
      <c r="R2130">
        <v>0</v>
      </c>
    </row>
    <row r="2131" spans="1:18" ht="16" x14ac:dyDescent="0.2">
      <c r="A2131" s="130" t="s">
        <v>3909</v>
      </c>
      <c r="B2131" t="s">
        <v>426</v>
      </c>
      <c r="C2131" t="s">
        <v>4326</v>
      </c>
      <c r="D2131" t="s">
        <v>4327</v>
      </c>
      <c r="E2131" t="s">
        <v>1052</v>
      </c>
      <c r="F2131">
        <v>2</v>
      </c>
      <c r="G2131">
        <v>2</v>
      </c>
      <c r="H2131">
        <v>2.9700957477592298</v>
      </c>
      <c r="I2131" t="s">
        <v>957</v>
      </c>
      <c r="J2131" t="s">
        <v>4846</v>
      </c>
      <c r="K2131">
        <v>0.13571428571428601</v>
      </c>
      <c r="L2131" t="s">
        <v>959</v>
      </c>
      <c r="M2131">
        <v>1.4598540145985399</v>
      </c>
      <c r="N2131" t="s">
        <v>960</v>
      </c>
      <c r="O2131">
        <v>0</v>
      </c>
      <c r="P2131">
        <v>0</v>
      </c>
      <c r="Q2131" t="s">
        <v>5019</v>
      </c>
      <c r="R2131">
        <v>0</v>
      </c>
    </row>
    <row r="2132" spans="1:18" ht="16" x14ac:dyDescent="0.2">
      <c r="A2132" s="130" t="s">
        <v>3909</v>
      </c>
      <c r="B2132" t="s">
        <v>426</v>
      </c>
      <c r="C2132" t="s">
        <v>1459</v>
      </c>
      <c r="D2132" t="s">
        <v>1460</v>
      </c>
      <c r="E2132">
        <v>7</v>
      </c>
      <c r="F2132">
        <v>7</v>
      </c>
      <c r="G2132">
        <v>1</v>
      </c>
      <c r="H2132">
        <v>1.9243432004671199</v>
      </c>
      <c r="I2132" t="s">
        <v>957</v>
      </c>
      <c r="J2132" t="s">
        <v>4037</v>
      </c>
      <c r="K2132">
        <v>7.1428571428571397E-2</v>
      </c>
      <c r="L2132" t="s">
        <v>959</v>
      </c>
      <c r="M2132">
        <v>8.0291970802919703</v>
      </c>
      <c r="N2132" t="s">
        <v>960</v>
      </c>
      <c r="O2132">
        <v>0</v>
      </c>
      <c r="P2132" t="s">
        <v>5017</v>
      </c>
      <c r="Q2132" t="s">
        <v>5019</v>
      </c>
      <c r="R2132" t="s">
        <v>5019</v>
      </c>
    </row>
    <row r="2133" spans="1:18" ht="16" x14ac:dyDescent="0.2">
      <c r="A2133" s="130" t="s">
        <v>3909</v>
      </c>
      <c r="B2133" t="s">
        <v>426</v>
      </c>
      <c r="C2133" t="s">
        <v>2433</v>
      </c>
      <c r="D2133" t="s">
        <v>2434</v>
      </c>
      <c r="E2133" t="s">
        <v>1102</v>
      </c>
      <c r="F2133">
        <v>4</v>
      </c>
      <c r="G2133">
        <v>2</v>
      </c>
      <c r="H2133">
        <v>2.7933559182460801</v>
      </c>
      <c r="I2133" t="s">
        <v>957</v>
      </c>
      <c r="J2133" t="s">
        <v>4975</v>
      </c>
      <c r="K2133">
        <v>0.114285714285714</v>
      </c>
      <c r="L2133" t="s">
        <v>959</v>
      </c>
      <c r="M2133">
        <v>7.2992700729926998</v>
      </c>
      <c r="N2133" t="s">
        <v>960</v>
      </c>
      <c r="O2133">
        <v>0</v>
      </c>
      <c r="P2133">
        <v>0</v>
      </c>
      <c r="Q2133" t="s">
        <v>5019</v>
      </c>
      <c r="R2133">
        <v>0</v>
      </c>
    </row>
    <row r="2134" spans="1:18" ht="16" x14ac:dyDescent="0.2">
      <c r="A2134" s="130" t="s">
        <v>3909</v>
      </c>
      <c r="B2134" t="s">
        <v>426</v>
      </c>
      <c r="C2134" t="s">
        <v>3771</v>
      </c>
      <c r="D2134" t="s">
        <v>3772</v>
      </c>
      <c r="E2134" t="s">
        <v>1022</v>
      </c>
      <c r="F2134">
        <v>3</v>
      </c>
      <c r="G2134">
        <v>2</v>
      </c>
      <c r="H2134">
        <v>3.25253133045398</v>
      </c>
      <c r="I2134" t="s">
        <v>957</v>
      </c>
      <c r="J2134" t="s">
        <v>4522</v>
      </c>
      <c r="K2134">
        <v>0.192857142857143</v>
      </c>
      <c r="L2134" t="s">
        <v>959</v>
      </c>
      <c r="M2134">
        <v>5.10948905109489</v>
      </c>
      <c r="N2134" t="s">
        <v>960</v>
      </c>
      <c r="O2134">
        <v>0</v>
      </c>
      <c r="P2134">
        <v>0</v>
      </c>
      <c r="Q2134" t="s">
        <v>5019</v>
      </c>
      <c r="R2134">
        <v>0</v>
      </c>
    </row>
    <row r="2135" spans="1:18" ht="16" x14ac:dyDescent="0.2">
      <c r="A2135" s="130" t="s">
        <v>3909</v>
      </c>
      <c r="B2135" t="s">
        <v>430</v>
      </c>
      <c r="C2135" t="s">
        <v>2893</v>
      </c>
      <c r="D2135" t="s">
        <v>2894</v>
      </c>
      <c r="E2135">
        <v>3</v>
      </c>
      <c r="F2135">
        <v>3</v>
      </c>
      <c r="G2135">
        <v>1</v>
      </c>
      <c r="H2135">
        <v>2.9907406987377398</v>
      </c>
      <c r="I2135" t="s">
        <v>957</v>
      </c>
      <c r="J2135" t="s">
        <v>4251</v>
      </c>
      <c r="K2135">
        <v>0.2</v>
      </c>
      <c r="L2135" t="s">
        <v>959</v>
      </c>
      <c r="M2135">
        <v>8.7591240875912408</v>
      </c>
      <c r="N2135" t="s">
        <v>960</v>
      </c>
      <c r="O2135">
        <v>0</v>
      </c>
      <c r="P2135">
        <v>0</v>
      </c>
      <c r="Q2135" t="s">
        <v>5019</v>
      </c>
      <c r="R2135">
        <v>0</v>
      </c>
    </row>
    <row r="2136" spans="1:18" ht="16" x14ac:dyDescent="0.2">
      <c r="A2136" s="130" t="s">
        <v>3909</v>
      </c>
      <c r="B2136" t="s">
        <v>430</v>
      </c>
      <c r="C2136" t="s">
        <v>1214</v>
      </c>
      <c r="D2136" t="s">
        <v>1215</v>
      </c>
      <c r="E2136" t="s">
        <v>1039</v>
      </c>
      <c r="F2136">
        <v>3</v>
      </c>
      <c r="G2136">
        <v>2</v>
      </c>
      <c r="H2136">
        <v>2.6729505604181099</v>
      </c>
      <c r="I2136" t="s">
        <v>957</v>
      </c>
      <c r="J2136" t="s">
        <v>4559</v>
      </c>
      <c r="K2136">
        <v>7.8571428571428598E-2</v>
      </c>
      <c r="L2136" t="s">
        <v>959</v>
      </c>
      <c r="M2136">
        <v>3.6496350364963499</v>
      </c>
      <c r="N2136" t="s">
        <v>960</v>
      </c>
      <c r="O2136">
        <v>0</v>
      </c>
      <c r="P2136">
        <v>0</v>
      </c>
      <c r="Q2136" t="s">
        <v>5019</v>
      </c>
      <c r="R2136">
        <v>0</v>
      </c>
    </row>
    <row r="2137" spans="1:18" ht="16" x14ac:dyDescent="0.2">
      <c r="A2137" s="130" t="s">
        <v>3909</v>
      </c>
      <c r="B2137" t="s">
        <v>430</v>
      </c>
      <c r="C2137" t="s">
        <v>2947</v>
      </c>
      <c r="D2137" t="s">
        <v>2948</v>
      </c>
      <c r="E2137">
        <v>3</v>
      </c>
      <c r="F2137">
        <v>3</v>
      </c>
      <c r="G2137">
        <v>1</v>
      </c>
      <c r="H2137">
        <v>3.7272880334188701</v>
      </c>
      <c r="I2137" t="s">
        <v>957</v>
      </c>
      <c r="J2137" t="s">
        <v>4395</v>
      </c>
      <c r="K2137">
        <v>0.17142857142857101</v>
      </c>
      <c r="L2137" t="s">
        <v>959</v>
      </c>
      <c r="M2137">
        <v>5.8394160583941597</v>
      </c>
      <c r="N2137" t="s">
        <v>960</v>
      </c>
      <c r="O2137">
        <v>0</v>
      </c>
      <c r="P2137" t="s">
        <v>5018</v>
      </c>
      <c r="Q2137" t="s">
        <v>5019</v>
      </c>
      <c r="R2137">
        <v>0</v>
      </c>
    </row>
    <row r="2138" spans="1:18" ht="16" x14ac:dyDescent="0.2">
      <c r="A2138" s="130" t="s">
        <v>3909</v>
      </c>
      <c r="B2138" t="s">
        <v>430</v>
      </c>
      <c r="C2138" t="s">
        <v>2427</v>
      </c>
      <c r="D2138" t="s">
        <v>2428</v>
      </c>
      <c r="E2138">
        <v>3</v>
      </c>
      <c r="F2138">
        <v>3</v>
      </c>
      <c r="G2138">
        <v>1</v>
      </c>
      <c r="H2138">
        <v>3.2942830975089401</v>
      </c>
      <c r="I2138" t="s">
        <v>957</v>
      </c>
      <c r="J2138" t="s">
        <v>4934</v>
      </c>
      <c r="K2138">
        <v>0.128571428571429</v>
      </c>
      <c r="L2138" t="s">
        <v>959</v>
      </c>
      <c r="M2138">
        <v>5.10948905109489</v>
      </c>
      <c r="N2138" t="s">
        <v>960</v>
      </c>
      <c r="O2138">
        <v>0</v>
      </c>
      <c r="P2138">
        <v>0</v>
      </c>
      <c r="Q2138" t="s">
        <v>5019</v>
      </c>
      <c r="R2138">
        <v>0</v>
      </c>
    </row>
    <row r="2139" spans="1:18" ht="16" x14ac:dyDescent="0.2">
      <c r="A2139" s="130" t="s">
        <v>3909</v>
      </c>
      <c r="B2139" t="s">
        <v>430</v>
      </c>
      <c r="C2139" t="s">
        <v>2843</v>
      </c>
      <c r="D2139" t="s">
        <v>2844</v>
      </c>
      <c r="E2139">
        <v>3</v>
      </c>
      <c r="F2139">
        <v>3</v>
      </c>
      <c r="G2139">
        <v>1</v>
      </c>
      <c r="H2139">
        <v>3.4953669291146401</v>
      </c>
      <c r="I2139" t="s">
        <v>957</v>
      </c>
      <c r="J2139" t="s">
        <v>3952</v>
      </c>
      <c r="K2139">
        <v>8.5714285714285701E-2</v>
      </c>
      <c r="L2139" t="s">
        <v>959</v>
      </c>
      <c r="M2139">
        <v>1.4598540145985399</v>
      </c>
      <c r="N2139" t="s">
        <v>960</v>
      </c>
      <c r="O2139">
        <v>0</v>
      </c>
      <c r="P2139">
        <v>0</v>
      </c>
      <c r="Q2139" t="s">
        <v>5019</v>
      </c>
      <c r="R2139">
        <v>0</v>
      </c>
    </row>
    <row r="2140" spans="1:18" ht="16" x14ac:dyDescent="0.2">
      <c r="A2140" s="130" t="s">
        <v>3909</v>
      </c>
      <c r="B2140" t="s">
        <v>430</v>
      </c>
      <c r="C2140" t="s">
        <v>2446</v>
      </c>
      <c r="D2140" t="s">
        <v>4441</v>
      </c>
      <c r="E2140">
        <v>3</v>
      </c>
      <c r="F2140">
        <v>3</v>
      </c>
      <c r="G2140">
        <v>1</v>
      </c>
      <c r="H2140">
        <v>3.6172583097600999</v>
      </c>
      <c r="I2140" t="s">
        <v>957</v>
      </c>
      <c r="J2140" t="s">
        <v>4442</v>
      </c>
      <c r="K2140">
        <v>7.8571428571428598E-2</v>
      </c>
      <c r="L2140" t="s">
        <v>959</v>
      </c>
      <c r="M2140">
        <v>3.6496350364963499</v>
      </c>
      <c r="N2140" t="s">
        <v>960</v>
      </c>
      <c r="O2140">
        <v>0</v>
      </c>
      <c r="P2140">
        <v>0</v>
      </c>
      <c r="Q2140" t="s">
        <v>5019</v>
      </c>
      <c r="R2140">
        <v>0</v>
      </c>
    </row>
    <row r="2141" spans="1:18" ht="16" x14ac:dyDescent="0.2">
      <c r="A2141" s="130" t="s">
        <v>3909</v>
      </c>
      <c r="B2141" t="s">
        <v>434</v>
      </c>
      <c r="C2141" t="s">
        <v>2139</v>
      </c>
      <c r="D2141" t="s">
        <v>2140</v>
      </c>
      <c r="E2141">
        <v>5</v>
      </c>
      <c r="F2141">
        <v>5</v>
      </c>
      <c r="G2141">
        <v>1</v>
      </c>
      <c r="H2141">
        <v>3.9519487544162599</v>
      </c>
      <c r="I2141" t="s">
        <v>957</v>
      </c>
      <c r="J2141" t="s">
        <v>4023</v>
      </c>
      <c r="K2141">
        <v>0.128571428571429</v>
      </c>
      <c r="L2141" t="s">
        <v>959</v>
      </c>
      <c r="M2141">
        <v>5.8394160583941597</v>
      </c>
      <c r="N2141" t="s">
        <v>960</v>
      </c>
      <c r="O2141">
        <v>0</v>
      </c>
      <c r="P2141">
        <v>0</v>
      </c>
      <c r="Q2141">
        <v>0</v>
      </c>
      <c r="R2141">
        <v>0</v>
      </c>
    </row>
    <row r="2142" spans="1:18" ht="16" x14ac:dyDescent="0.2">
      <c r="A2142" s="130" t="s">
        <v>3909</v>
      </c>
      <c r="B2142" t="s">
        <v>434</v>
      </c>
      <c r="C2142" t="s">
        <v>2491</v>
      </c>
      <c r="D2142" t="s">
        <v>2492</v>
      </c>
      <c r="E2142" t="s">
        <v>1265</v>
      </c>
      <c r="F2142">
        <v>6</v>
      </c>
      <c r="G2142">
        <v>2</v>
      </c>
      <c r="H2142">
        <v>3.4379889936805199</v>
      </c>
      <c r="I2142" t="s">
        <v>957</v>
      </c>
      <c r="J2142" t="s">
        <v>4117</v>
      </c>
      <c r="K2142">
        <v>0.121428571428571</v>
      </c>
      <c r="L2142" t="s">
        <v>959</v>
      </c>
      <c r="M2142">
        <v>8.0291970802919703</v>
      </c>
      <c r="N2142" t="s">
        <v>960</v>
      </c>
      <c r="O2142">
        <v>0</v>
      </c>
      <c r="P2142">
        <v>0</v>
      </c>
      <c r="Q2142">
        <v>0</v>
      </c>
      <c r="R2142">
        <v>0</v>
      </c>
    </row>
    <row r="2143" spans="1:18" ht="16" x14ac:dyDescent="0.2">
      <c r="A2143" s="130" t="s">
        <v>3909</v>
      </c>
      <c r="B2143" t="s">
        <v>434</v>
      </c>
      <c r="C2143" t="s">
        <v>1263</v>
      </c>
      <c r="D2143" t="s">
        <v>1264</v>
      </c>
      <c r="E2143" t="s">
        <v>1102</v>
      </c>
      <c r="F2143">
        <v>4</v>
      </c>
      <c r="G2143">
        <v>2</v>
      </c>
      <c r="H2143">
        <v>1.9371514492925399</v>
      </c>
      <c r="I2143" t="s">
        <v>957</v>
      </c>
      <c r="J2143" t="s">
        <v>4750</v>
      </c>
      <c r="K2143">
        <v>0.17142857142857101</v>
      </c>
      <c r="L2143" t="s">
        <v>959</v>
      </c>
      <c r="M2143">
        <v>4.3795620437956204</v>
      </c>
      <c r="N2143" t="s">
        <v>960</v>
      </c>
      <c r="O2143">
        <v>0</v>
      </c>
      <c r="P2143">
        <v>0</v>
      </c>
      <c r="Q2143">
        <v>0</v>
      </c>
      <c r="R2143">
        <v>0</v>
      </c>
    </row>
    <row r="2144" spans="1:18" ht="16" x14ac:dyDescent="0.2">
      <c r="A2144" s="130" t="s">
        <v>3909</v>
      </c>
      <c r="B2144" t="s">
        <v>434</v>
      </c>
      <c r="C2144" t="s">
        <v>1430</v>
      </c>
      <c r="D2144" t="s">
        <v>1765</v>
      </c>
      <c r="E2144">
        <v>3</v>
      </c>
      <c r="F2144">
        <v>3</v>
      </c>
      <c r="G2144">
        <v>1</v>
      </c>
      <c r="H2144">
        <v>2.2736690218135398</v>
      </c>
      <c r="I2144" t="s">
        <v>957</v>
      </c>
      <c r="J2144" t="s">
        <v>1433</v>
      </c>
      <c r="K2144">
        <v>0.15</v>
      </c>
      <c r="L2144" t="s">
        <v>959</v>
      </c>
      <c r="M2144">
        <v>6.5693430656934302</v>
      </c>
      <c r="N2144" t="s">
        <v>960</v>
      </c>
      <c r="O2144">
        <v>0</v>
      </c>
      <c r="P2144">
        <v>0</v>
      </c>
      <c r="Q2144">
        <v>0</v>
      </c>
      <c r="R2144">
        <v>0</v>
      </c>
    </row>
    <row r="2145" spans="1:18" ht="16" x14ac:dyDescent="0.2">
      <c r="A2145" s="130" t="s">
        <v>3909</v>
      </c>
      <c r="B2145" t="s">
        <v>434</v>
      </c>
      <c r="C2145" t="s">
        <v>1041</v>
      </c>
      <c r="E2145">
        <v>3</v>
      </c>
      <c r="F2145">
        <v>3</v>
      </c>
      <c r="G2145">
        <v>1</v>
      </c>
      <c r="H2145">
        <v>1.55419702638913</v>
      </c>
      <c r="I2145" t="s">
        <v>957</v>
      </c>
      <c r="J2145" t="s">
        <v>4809</v>
      </c>
      <c r="K2145">
        <v>0.17142857142857101</v>
      </c>
      <c r="L2145" t="s">
        <v>959</v>
      </c>
      <c r="M2145">
        <v>6.5693430656934302</v>
      </c>
      <c r="N2145" t="s">
        <v>982</v>
      </c>
      <c r="O2145">
        <v>0</v>
      </c>
      <c r="P2145">
        <v>0</v>
      </c>
      <c r="Q2145">
        <v>0</v>
      </c>
      <c r="R2145">
        <v>0</v>
      </c>
    </row>
    <row r="2146" spans="1:18" ht="16" x14ac:dyDescent="0.2">
      <c r="A2146" s="130" t="s">
        <v>3909</v>
      </c>
      <c r="B2146" t="s">
        <v>438</v>
      </c>
      <c r="C2146" t="s">
        <v>4203</v>
      </c>
      <c r="D2146" t="s">
        <v>4204</v>
      </c>
      <c r="E2146">
        <v>3</v>
      </c>
      <c r="F2146">
        <v>3</v>
      </c>
      <c r="G2146">
        <v>1</v>
      </c>
      <c r="H2146">
        <v>3.4878406109161499</v>
      </c>
      <c r="I2146" t="s">
        <v>957</v>
      </c>
      <c r="J2146" t="s">
        <v>4205</v>
      </c>
      <c r="K2146">
        <v>0.11764705882352899</v>
      </c>
      <c r="L2146" t="s">
        <v>1099</v>
      </c>
      <c r="M2146">
        <v>0.72992700729926996</v>
      </c>
      <c r="N2146" t="s">
        <v>973</v>
      </c>
      <c r="O2146">
        <v>0</v>
      </c>
      <c r="P2146">
        <v>0</v>
      </c>
      <c r="Q2146">
        <v>0</v>
      </c>
      <c r="R2146">
        <v>0</v>
      </c>
    </row>
    <row r="2147" spans="1:18" ht="16" x14ac:dyDescent="0.2">
      <c r="A2147" s="130" t="s">
        <v>3909</v>
      </c>
      <c r="B2147" t="s">
        <v>438</v>
      </c>
      <c r="C2147" t="s">
        <v>4351</v>
      </c>
      <c r="D2147" t="s">
        <v>4352</v>
      </c>
      <c r="E2147">
        <v>8</v>
      </c>
      <c r="F2147">
        <v>8</v>
      </c>
      <c r="G2147">
        <v>1</v>
      </c>
      <c r="H2147">
        <v>2.79815695875463</v>
      </c>
      <c r="I2147" t="s">
        <v>957</v>
      </c>
      <c r="J2147" t="s">
        <v>4359</v>
      </c>
      <c r="K2147">
        <v>0.17647058823529399</v>
      </c>
      <c r="L2147" t="s">
        <v>1099</v>
      </c>
      <c r="M2147">
        <v>5.10948905109489</v>
      </c>
      <c r="N2147" t="s">
        <v>973</v>
      </c>
      <c r="O2147">
        <v>0</v>
      </c>
      <c r="P2147">
        <v>0</v>
      </c>
      <c r="Q2147">
        <v>0</v>
      </c>
      <c r="R2147">
        <v>0</v>
      </c>
    </row>
    <row r="2148" spans="1:18" ht="16" x14ac:dyDescent="0.2">
      <c r="A2148" s="130" t="s">
        <v>3909</v>
      </c>
      <c r="B2148" t="s">
        <v>438</v>
      </c>
      <c r="C2148" t="s">
        <v>2390</v>
      </c>
      <c r="D2148" t="s">
        <v>2391</v>
      </c>
      <c r="E2148">
        <v>3</v>
      </c>
      <c r="F2148">
        <v>3</v>
      </c>
      <c r="G2148">
        <v>1</v>
      </c>
      <c r="H2148">
        <v>3.9728503649832998</v>
      </c>
      <c r="I2148" t="s">
        <v>957</v>
      </c>
      <c r="J2148" t="s">
        <v>4788</v>
      </c>
      <c r="K2148">
        <v>4.2857142857142899E-2</v>
      </c>
      <c r="L2148" t="s">
        <v>959</v>
      </c>
      <c r="M2148">
        <v>3.6496350364963499</v>
      </c>
      <c r="N2148" t="s">
        <v>960</v>
      </c>
      <c r="O2148">
        <v>0</v>
      </c>
      <c r="P2148">
        <v>0</v>
      </c>
      <c r="Q2148">
        <v>0</v>
      </c>
      <c r="R2148">
        <v>0</v>
      </c>
    </row>
    <row r="2149" spans="1:18" ht="16" x14ac:dyDescent="0.2">
      <c r="A2149" s="130" t="s">
        <v>3909</v>
      </c>
      <c r="B2149" t="s">
        <v>438</v>
      </c>
      <c r="C2149" t="s">
        <v>2111</v>
      </c>
      <c r="D2149" t="s">
        <v>2112</v>
      </c>
      <c r="E2149">
        <v>4</v>
      </c>
      <c r="F2149">
        <v>4</v>
      </c>
      <c r="G2149">
        <v>1</v>
      </c>
      <c r="H2149">
        <v>1.57013322748738</v>
      </c>
      <c r="I2149" t="s">
        <v>957</v>
      </c>
      <c r="J2149" t="s">
        <v>4255</v>
      </c>
      <c r="K2149">
        <v>0.35294117647058798</v>
      </c>
      <c r="L2149" t="s">
        <v>1099</v>
      </c>
      <c r="M2149">
        <v>7.2992700729926998</v>
      </c>
      <c r="N2149" t="s">
        <v>973</v>
      </c>
      <c r="O2149">
        <v>0</v>
      </c>
      <c r="P2149">
        <v>0</v>
      </c>
      <c r="Q2149">
        <v>0</v>
      </c>
      <c r="R2149">
        <v>0</v>
      </c>
    </row>
    <row r="2150" spans="1:18" ht="16" x14ac:dyDescent="0.2">
      <c r="A2150" s="130" t="s">
        <v>3909</v>
      </c>
      <c r="B2150" t="s">
        <v>438</v>
      </c>
      <c r="C2150" t="s">
        <v>3765</v>
      </c>
      <c r="D2150" t="s">
        <v>3766</v>
      </c>
      <c r="E2150">
        <v>3</v>
      </c>
      <c r="F2150">
        <v>3</v>
      </c>
      <c r="G2150">
        <v>1</v>
      </c>
      <c r="H2150">
        <v>3.50981204553552</v>
      </c>
      <c r="I2150" t="s">
        <v>957</v>
      </c>
      <c r="J2150" t="s">
        <v>4842</v>
      </c>
      <c r="K2150">
        <v>0.2</v>
      </c>
      <c r="L2150" t="s">
        <v>959</v>
      </c>
      <c r="M2150">
        <v>6.5693430656934302</v>
      </c>
      <c r="N2150" t="s">
        <v>960</v>
      </c>
      <c r="O2150">
        <v>0</v>
      </c>
      <c r="P2150">
        <v>0</v>
      </c>
      <c r="Q2150">
        <v>0</v>
      </c>
      <c r="R2150">
        <v>0</v>
      </c>
    </row>
    <row r="2151" spans="1:18" ht="16" x14ac:dyDescent="0.2">
      <c r="A2151" s="130" t="s">
        <v>3909</v>
      </c>
      <c r="B2151" t="s">
        <v>438</v>
      </c>
      <c r="C2151" t="s">
        <v>4505</v>
      </c>
      <c r="D2151" t="s">
        <v>4506</v>
      </c>
      <c r="E2151">
        <v>3</v>
      </c>
      <c r="F2151">
        <v>3</v>
      </c>
      <c r="G2151">
        <v>1</v>
      </c>
      <c r="H2151">
        <v>1.34871140614565</v>
      </c>
      <c r="I2151" t="s">
        <v>957</v>
      </c>
      <c r="J2151" t="s">
        <v>4507</v>
      </c>
      <c r="K2151">
        <v>0.11764705882352899</v>
      </c>
      <c r="L2151" t="s">
        <v>1099</v>
      </c>
      <c r="M2151">
        <v>2.1897810218978102</v>
      </c>
      <c r="N2151" t="s">
        <v>973</v>
      </c>
      <c r="O2151">
        <v>0</v>
      </c>
      <c r="P2151">
        <v>0</v>
      </c>
      <c r="Q2151">
        <v>0</v>
      </c>
      <c r="R2151">
        <v>0</v>
      </c>
    </row>
    <row r="2152" spans="1:18" ht="16" x14ac:dyDescent="0.2">
      <c r="A2152" s="130" t="s">
        <v>3909</v>
      </c>
      <c r="B2152" t="s">
        <v>438</v>
      </c>
      <c r="C2152" t="s">
        <v>4193</v>
      </c>
      <c r="D2152" t="s">
        <v>4194</v>
      </c>
      <c r="E2152">
        <v>8</v>
      </c>
      <c r="F2152">
        <v>8</v>
      </c>
      <c r="G2152">
        <v>1</v>
      </c>
      <c r="H2152">
        <v>3.4652908896182599</v>
      </c>
      <c r="I2152" t="s">
        <v>957</v>
      </c>
      <c r="J2152" t="s">
        <v>4782</v>
      </c>
      <c r="K2152">
        <v>0.17647058823529399</v>
      </c>
      <c r="L2152" t="s">
        <v>1099</v>
      </c>
      <c r="M2152">
        <v>2.1897810218978102</v>
      </c>
      <c r="N2152" t="s">
        <v>973</v>
      </c>
      <c r="O2152">
        <v>0</v>
      </c>
      <c r="P2152">
        <v>0</v>
      </c>
      <c r="Q2152">
        <v>0</v>
      </c>
      <c r="R2152">
        <v>0</v>
      </c>
    </row>
    <row r="2153" spans="1:18" ht="16" x14ac:dyDescent="0.2">
      <c r="A2153" s="130" t="s">
        <v>3909</v>
      </c>
      <c r="B2153" t="s">
        <v>438</v>
      </c>
      <c r="C2153" t="s">
        <v>4198</v>
      </c>
      <c r="D2153" t="s">
        <v>4199</v>
      </c>
      <c r="E2153">
        <v>9</v>
      </c>
      <c r="F2153">
        <v>9</v>
      </c>
      <c r="G2153">
        <v>1</v>
      </c>
      <c r="H2153">
        <v>2.0357237631777099</v>
      </c>
      <c r="I2153" t="s">
        <v>957</v>
      </c>
      <c r="J2153" t="s">
        <v>4200</v>
      </c>
      <c r="K2153">
        <v>0.23529411764705899</v>
      </c>
      <c r="L2153" t="s">
        <v>1099</v>
      </c>
      <c r="M2153">
        <v>2.9197080291970798</v>
      </c>
      <c r="N2153" t="s">
        <v>973</v>
      </c>
      <c r="O2153">
        <v>0</v>
      </c>
      <c r="P2153">
        <v>0</v>
      </c>
      <c r="Q2153">
        <v>0</v>
      </c>
      <c r="R2153">
        <v>0</v>
      </c>
    </row>
    <row r="2154" spans="1:18" ht="16" x14ac:dyDescent="0.2">
      <c r="A2154" s="130" t="s">
        <v>3909</v>
      </c>
      <c r="B2154" t="s">
        <v>438</v>
      </c>
      <c r="C2154" t="s">
        <v>3201</v>
      </c>
      <c r="D2154" t="s">
        <v>3202</v>
      </c>
      <c r="E2154">
        <v>3</v>
      </c>
      <c r="F2154">
        <v>3</v>
      </c>
      <c r="G2154">
        <v>1</v>
      </c>
      <c r="H2154">
        <v>3.3893375569635502</v>
      </c>
      <c r="I2154" t="s">
        <v>957</v>
      </c>
      <c r="J2154" t="s">
        <v>4513</v>
      </c>
      <c r="K2154">
        <v>0.23529411764705899</v>
      </c>
      <c r="L2154" t="s">
        <v>1099</v>
      </c>
      <c r="M2154">
        <v>2.1897810218978102</v>
      </c>
      <c r="N2154" t="s">
        <v>973</v>
      </c>
      <c r="O2154">
        <v>0</v>
      </c>
      <c r="P2154">
        <v>0</v>
      </c>
      <c r="Q2154">
        <v>0</v>
      </c>
      <c r="R2154">
        <v>0</v>
      </c>
    </row>
    <row r="2155" spans="1:18" ht="16" x14ac:dyDescent="0.2">
      <c r="A2155" s="130" t="s">
        <v>3909</v>
      </c>
      <c r="B2155" t="s">
        <v>438</v>
      </c>
      <c r="C2155" t="s">
        <v>1050</v>
      </c>
      <c r="D2155" t="s">
        <v>4238</v>
      </c>
      <c r="E2155">
        <v>4</v>
      </c>
      <c r="F2155">
        <v>4</v>
      </c>
      <c r="G2155">
        <v>1</v>
      </c>
      <c r="H2155">
        <v>3.7576772464752199</v>
      </c>
      <c r="I2155" t="s">
        <v>957</v>
      </c>
      <c r="J2155" t="s">
        <v>4239</v>
      </c>
      <c r="K2155">
        <v>0.11764705882352899</v>
      </c>
      <c r="L2155" t="s">
        <v>1099</v>
      </c>
      <c r="M2155">
        <v>2.1897810218978102</v>
      </c>
      <c r="N2155" t="s">
        <v>973</v>
      </c>
      <c r="O2155">
        <v>0</v>
      </c>
      <c r="P2155">
        <v>0</v>
      </c>
      <c r="Q2155">
        <v>0</v>
      </c>
      <c r="R2155">
        <v>0</v>
      </c>
    </row>
    <row r="2156" spans="1:18" ht="16" x14ac:dyDescent="0.2">
      <c r="A2156" s="130" t="s">
        <v>3909</v>
      </c>
      <c r="B2156" t="s">
        <v>438</v>
      </c>
      <c r="C2156" t="s">
        <v>2589</v>
      </c>
      <c r="D2156" t="s">
        <v>2590</v>
      </c>
      <c r="E2156">
        <v>4</v>
      </c>
      <c r="F2156">
        <v>4</v>
      </c>
      <c r="G2156">
        <v>1</v>
      </c>
      <c r="H2156">
        <v>1.70060994910303</v>
      </c>
      <c r="I2156" t="s">
        <v>957</v>
      </c>
      <c r="J2156" t="s">
        <v>3634</v>
      </c>
      <c r="K2156">
        <v>8.5714285714285701E-2</v>
      </c>
      <c r="L2156" t="s">
        <v>959</v>
      </c>
      <c r="M2156">
        <v>7.2992700729926998</v>
      </c>
      <c r="N2156" t="s">
        <v>960</v>
      </c>
      <c r="O2156">
        <v>0</v>
      </c>
      <c r="P2156">
        <v>0</v>
      </c>
      <c r="Q2156">
        <v>0</v>
      </c>
      <c r="R2156">
        <v>0</v>
      </c>
    </row>
    <row r="2157" spans="1:18" ht="16" x14ac:dyDescent="0.2">
      <c r="A2157" s="130" t="s">
        <v>3909</v>
      </c>
      <c r="B2157" t="s">
        <v>438</v>
      </c>
      <c r="C2157" t="s">
        <v>1127</v>
      </c>
      <c r="D2157" t="s">
        <v>1128</v>
      </c>
      <c r="E2157">
        <v>3</v>
      </c>
      <c r="F2157">
        <v>3</v>
      </c>
      <c r="G2157">
        <v>1</v>
      </c>
      <c r="H2157">
        <v>1.6753666753515499</v>
      </c>
      <c r="I2157" t="s">
        <v>957</v>
      </c>
      <c r="J2157" t="s">
        <v>4196</v>
      </c>
      <c r="K2157">
        <v>6.4285714285714293E-2</v>
      </c>
      <c r="L2157" t="s">
        <v>959</v>
      </c>
      <c r="M2157">
        <v>3.6496350364963499</v>
      </c>
      <c r="N2157" t="s">
        <v>960</v>
      </c>
      <c r="O2157">
        <v>0</v>
      </c>
      <c r="P2157">
        <v>0</v>
      </c>
      <c r="Q2157">
        <v>0</v>
      </c>
      <c r="R2157">
        <v>0</v>
      </c>
    </row>
    <row r="2158" spans="1:18" ht="16" x14ac:dyDescent="0.2">
      <c r="A2158" s="130" t="s">
        <v>3909</v>
      </c>
      <c r="B2158" t="s">
        <v>438</v>
      </c>
      <c r="C2158" t="s">
        <v>1402</v>
      </c>
      <c r="D2158" t="s">
        <v>1403</v>
      </c>
      <c r="E2158">
        <v>4</v>
      </c>
      <c r="F2158">
        <v>4</v>
      </c>
      <c r="G2158">
        <v>1</v>
      </c>
      <c r="H2158">
        <v>2.2968832864191802</v>
      </c>
      <c r="I2158" t="s">
        <v>957</v>
      </c>
      <c r="J2158" t="s">
        <v>4372</v>
      </c>
      <c r="K2158">
        <v>0.185714285714286</v>
      </c>
      <c r="L2158" t="s">
        <v>959</v>
      </c>
      <c r="M2158">
        <v>9.4890510948905096</v>
      </c>
      <c r="N2158" t="s">
        <v>987</v>
      </c>
      <c r="O2158">
        <v>0</v>
      </c>
      <c r="P2158">
        <v>0</v>
      </c>
      <c r="Q2158">
        <v>0</v>
      </c>
      <c r="R2158">
        <v>0</v>
      </c>
    </row>
    <row r="2159" spans="1:18" ht="16" x14ac:dyDescent="0.2">
      <c r="A2159" s="130" t="s">
        <v>3909</v>
      </c>
      <c r="B2159" t="s">
        <v>438</v>
      </c>
      <c r="C2159" t="s">
        <v>4360</v>
      </c>
      <c r="D2159" t="s">
        <v>4361</v>
      </c>
      <c r="E2159">
        <v>4</v>
      </c>
      <c r="F2159">
        <v>4</v>
      </c>
      <c r="G2159">
        <v>1</v>
      </c>
      <c r="H2159">
        <v>2.9154759474226499</v>
      </c>
      <c r="I2159" t="s">
        <v>957</v>
      </c>
      <c r="J2159" t="s">
        <v>4899</v>
      </c>
      <c r="K2159">
        <v>0.11764705882352899</v>
      </c>
      <c r="L2159" t="s">
        <v>1099</v>
      </c>
      <c r="M2159">
        <v>1.4598540145985399</v>
      </c>
      <c r="N2159" t="s">
        <v>973</v>
      </c>
      <c r="O2159">
        <v>0</v>
      </c>
      <c r="P2159">
        <v>0</v>
      </c>
      <c r="Q2159">
        <v>0</v>
      </c>
      <c r="R2159">
        <v>0</v>
      </c>
    </row>
    <row r="2160" spans="1:18" ht="16" x14ac:dyDescent="0.2">
      <c r="A2160" s="130" t="s">
        <v>3909</v>
      </c>
      <c r="B2160" t="s">
        <v>438</v>
      </c>
      <c r="C2160" t="s">
        <v>2513</v>
      </c>
      <c r="D2160" t="s">
        <v>2514</v>
      </c>
      <c r="E2160">
        <v>3</v>
      </c>
      <c r="F2160">
        <v>3</v>
      </c>
      <c r="G2160">
        <v>1</v>
      </c>
      <c r="H2160">
        <v>2.1368288971859801</v>
      </c>
      <c r="I2160" t="s">
        <v>957</v>
      </c>
      <c r="J2160" t="s">
        <v>4003</v>
      </c>
      <c r="K2160">
        <v>4.2857142857142899E-2</v>
      </c>
      <c r="L2160" t="s">
        <v>959</v>
      </c>
      <c r="M2160">
        <v>3.6496350364963499</v>
      </c>
      <c r="N2160" t="s">
        <v>960</v>
      </c>
      <c r="O2160">
        <v>0</v>
      </c>
      <c r="P2160">
        <v>0</v>
      </c>
      <c r="Q2160">
        <v>0</v>
      </c>
      <c r="R2160">
        <v>0</v>
      </c>
    </row>
    <row r="2161" spans="1:18" ht="16" x14ac:dyDescent="0.2">
      <c r="A2161" s="130" t="s">
        <v>3909</v>
      </c>
      <c r="B2161" t="s">
        <v>438</v>
      </c>
      <c r="C2161" t="s">
        <v>1822</v>
      </c>
      <c r="D2161" t="s">
        <v>1823</v>
      </c>
      <c r="E2161">
        <v>3</v>
      </c>
      <c r="F2161">
        <v>3</v>
      </c>
      <c r="G2161">
        <v>1</v>
      </c>
      <c r="H2161">
        <v>2.20287169340369</v>
      </c>
      <c r="I2161" t="s">
        <v>957</v>
      </c>
      <c r="J2161" t="s">
        <v>4364</v>
      </c>
      <c r="K2161">
        <v>0.107142857142857</v>
      </c>
      <c r="L2161" t="s">
        <v>959</v>
      </c>
      <c r="M2161">
        <v>8.0291970802919703</v>
      </c>
      <c r="N2161" t="s">
        <v>960</v>
      </c>
      <c r="O2161">
        <v>0</v>
      </c>
      <c r="P2161">
        <v>0</v>
      </c>
      <c r="Q2161">
        <v>0</v>
      </c>
      <c r="R2161">
        <v>0</v>
      </c>
    </row>
    <row r="2162" spans="1:18" ht="16" x14ac:dyDescent="0.2">
      <c r="A2162" s="130" t="s">
        <v>3909</v>
      </c>
      <c r="B2162" t="s">
        <v>438</v>
      </c>
      <c r="C2162" t="s">
        <v>2794</v>
      </c>
      <c r="D2162" t="s">
        <v>2795</v>
      </c>
      <c r="E2162">
        <v>3</v>
      </c>
      <c r="F2162">
        <v>3</v>
      </c>
      <c r="G2162">
        <v>1</v>
      </c>
      <c r="H2162">
        <v>2.6659673435141902</v>
      </c>
      <c r="I2162" t="s">
        <v>957</v>
      </c>
      <c r="J2162" t="s">
        <v>4480</v>
      </c>
      <c r="K2162">
        <v>0.114285714285714</v>
      </c>
      <c r="L2162" t="s">
        <v>959</v>
      </c>
      <c r="M2162">
        <v>2.9197080291970798</v>
      </c>
      <c r="N2162" t="s">
        <v>960</v>
      </c>
      <c r="O2162">
        <v>0</v>
      </c>
      <c r="P2162">
        <v>0</v>
      </c>
      <c r="Q2162">
        <v>0</v>
      </c>
      <c r="R2162">
        <v>0</v>
      </c>
    </row>
    <row r="2163" spans="1:18" ht="16" x14ac:dyDescent="0.2">
      <c r="A2163" s="130" t="s">
        <v>3909</v>
      </c>
      <c r="B2163" t="s">
        <v>438</v>
      </c>
      <c r="C2163" t="s">
        <v>1838</v>
      </c>
      <c r="D2163" t="s">
        <v>1839</v>
      </c>
      <c r="E2163">
        <v>7</v>
      </c>
      <c r="F2163">
        <v>7</v>
      </c>
      <c r="G2163">
        <v>1</v>
      </c>
      <c r="H2163">
        <v>2.9626090415767199</v>
      </c>
      <c r="I2163" t="s">
        <v>957</v>
      </c>
      <c r="J2163" t="s">
        <v>4541</v>
      </c>
      <c r="K2163">
        <v>0.23529411764705899</v>
      </c>
      <c r="L2163" t="s">
        <v>1099</v>
      </c>
      <c r="M2163">
        <v>3.6496350364963499</v>
      </c>
      <c r="N2163" t="s">
        <v>973</v>
      </c>
      <c r="O2163">
        <v>0</v>
      </c>
      <c r="P2163">
        <v>0</v>
      </c>
      <c r="Q2163">
        <v>0</v>
      </c>
      <c r="R2163">
        <v>0</v>
      </c>
    </row>
    <row r="2164" spans="1:18" ht="16" x14ac:dyDescent="0.2">
      <c r="A2164" s="130" t="s">
        <v>3909</v>
      </c>
      <c r="B2164" t="s">
        <v>438</v>
      </c>
      <c r="C2164" t="s">
        <v>2419</v>
      </c>
      <c r="D2164" t="s">
        <v>2420</v>
      </c>
      <c r="E2164">
        <v>3</v>
      </c>
      <c r="F2164">
        <v>3</v>
      </c>
      <c r="G2164">
        <v>1</v>
      </c>
      <c r="H2164">
        <v>2.4854824899957202</v>
      </c>
      <c r="I2164" t="s">
        <v>957</v>
      </c>
      <c r="J2164" t="s">
        <v>4481</v>
      </c>
      <c r="K2164">
        <v>0.17857142857142899</v>
      </c>
      <c r="L2164" t="s">
        <v>959</v>
      </c>
      <c r="M2164">
        <v>9.4890510948905096</v>
      </c>
      <c r="N2164" t="s">
        <v>960</v>
      </c>
      <c r="O2164">
        <v>0</v>
      </c>
      <c r="P2164">
        <v>0</v>
      </c>
      <c r="Q2164">
        <v>0</v>
      </c>
      <c r="R2164">
        <v>0</v>
      </c>
    </row>
    <row r="2165" spans="1:18" ht="16" x14ac:dyDescent="0.2">
      <c r="A2165" s="130" t="s">
        <v>3909</v>
      </c>
      <c r="B2165" t="s">
        <v>438</v>
      </c>
      <c r="C2165" t="s">
        <v>1076</v>
      </c>
      <c r="D2165" t="s">
        <v>1077</v>
      </c>
      <c r="E2165">
        <v>3</v>
      </c>
      <c r="F2165">
        <v>3</v>
      </c>
      <c r="G2165">
        <v>1</v>
      </c>
      <c r="H2165">
        <v>1.90410153062386</v>
      </c>
      <c r="I2165" t="s">
        <v>957</v>
      </c>
      <c r="J2165" t="s">
        <v>3964</v>
      </c>
      <c r="K2165">
        <v>0.17647058823529399</v>
      </c>
      <c r="L2165" t="s">
        <v>1099</v>
      </c>
      <c r="M2165">
        <v>3.6496350364963499</v>
      </c>
      <c r="N2165" t="s">
        <v>973</v>
      </c>
      <c r="O2165">
        <v>0</v>
      </c>
      <c r="P2165">
        <v>0</v>
      </c>
      <c r="Q2165">
        <v>0</v>
      </c>
      <c r="R2165">
        <v>0</v>
      </c>
    </row>
    <row r="2166" spans="1:18" ht="16" x14ac:dyDescent="0.2">
      <c r="A2166" s="130" t="s">
        <v>3909</v>
      </c>
      <c r="B2166" t="s">
        <v>438</v>
      </c>
      <c r="C2166" t="s">
        <v>1124</v>
      </c>
      <c r="D2166" t="s">
        <v>1125</v>
      </c>
      <c r="E2166">
        <v>9</v>
      </c>
      <c r="F2166">
        <v>9</v>
      </c>
      <c r="G2166">
        <v>1</v>
      </c>
      <c r="H2166">
        <v>2.6613196913470998</v>
      </c>
      <c r="I2166" t="s">
        <v>957</v>
      </c>
      <c r="J2166" t="s">
        <v>4102</v>
      </c>
      <c r="K2166">
        <v>5.7142857142857099E-2</v>
      </c>
      <c r="L2166" t="s">
        <v>959</v>
      </c>
      <c r="M2166">
        <v>8.7591240875912408</v>
      </c>
      <c r="N2166" t="s">
        <v>960</v>
      </c>
      <c r="O2166">
        <v>0</v>
      </c>
      <c r="P2166">
        <v>0</v>
      </c>
      <c r="Q2166">
        <v>0</v>
      </c>
      <c r="R2166">
        <v>0</v>
      </c>
    </row>
    <row r="2167" spans="1:18" ht="16" x14ac:dyDescent="0.2">
      <c r="A2167" s="130" t="s">
        <v>3909</v>
      </c>
      <c r="B2167" t="s">
        <v>438</v>
      </c>
      <c r="C2167" t="s">
        <v>3301</v>
      </c>
      <c r="D2167" t="s">
        <v>3302</v>
      </c>
      <c r="E2167">
        <v>3</v>
      </c>
      <c r="F2167">
        <v>3</v>
      </c>
      <c r="G2167">
        <v>1</v>
      </c>
      <c r="H2167">
        <v>1.6863305021082</v>
      </c>
      <c r="I2167" t="s">
        <v>957</v>
      </c>
      <c r="J2167" t="s">
        <v>4134</v>
      </c>
      <c r="K2167">
        <v>0.128571428571429</v>
      </c>
      <c r="L2167" t="s">
        <v>959</v>
      </c>
      <c r="M2167">
        <v>7.2992700729926998</v>
      </c>
      <c r="N2167" t="s">
        <v>960</v>
      </c>
      <c r="O2167">
        <v>0</v>
      </c>
      <c r="P2167">
        <v>0</v>
      </c>
      <c r="Q2167">
        <v>0</v>
      </c>
      <c r="R2167">
        <v>0</v>
      </c>
    </row>
    <row r="2168" spans="1:18" ht="16" x14ac:dyDescent="0.2">
      <c r="A2168" s="130" t="s">
        <v>3909</v>
      </c>
      <c r="B2168" t="s">
        <v>438</v>
      </c>
      <c r="C2168" t="s">
        <v>3083</v>
      </c>
      <c r="D2168" t="s">
        <v>3957</v>
      </c>
      <c r="E2168">
        <v>5</v>
      </c>
      <c r="F2168">
        <v>5</v>
      </c>
      <c r="G2168">
        <v>1</v>
      </c>
      <c r="H2168">
        <v>3.6438083327322102</v>
      </c>
      <c r="I2168" t="s">
        <v>957</v>
      </c>
      <c r="J2168" t="s">
        <v>4156</v>
      </c>
      <c r="K2168">
        <v>0.17647058823529399</v>
      </c>
      <c r="L2168" t="s">
        <v>1099</v>
      </c>
      <c r="M2168">
        <v>2.9197080291970798</v>
      </c>
      <c r="N2168" t="s">
        <v>973</v>
      </c>
      <c r="O2168">
        <v>0</v>
      </c>
      <c r="P2168">
        <v>0</v>
      </c>
      <c r="Q2168">
        <v>0</v>
      </c>
      <c r="R2168">
        <v>0</v>
      </c>
    </row>
    <row r="2169" spans="1:18" ht="16" x14ac:dyDescent="0.2">
      <c r="A2169" s="130" t="s">
        <v>3909</v>
      </c>
      <c r="B2169" t="s">
        <v>438</v>
      </c>
      <c r="C2169" t="s">
        <v>2904</v>
      </c>
      <c r="D2169" t="s">
        <v>2905</v>
      </c>
      <c r="E2169">
        <v>3</v>
      </c>
      <c r="F2169">
        <v>3</v>
      </c>
      <c r="G2169">
        <v>1</v>
      </c>
      <c r="H2169">
        <v>0.97121105075903502</v>
      </c>
      <c r="I2169" t="s">
        <v>957</v>
      </c>
      <c r="J2169" t="s">
        <v>4281</v>
      </c>
      <c r="K2169">
        <v>0.23529411764705899</v>
      </c>
      <c r="L2169" t="s">
        <v>1099</v>
      </c>
      <c r="M2169">
        <v>7.2992700729926998</v>
      </c>
      <c r="N2169" t="s">
        <v>973</v>
      </c>
      <c r="O2169">
        <v>0</v>
      </c>
      <c r="P2169">
        <v>0</v>
      </c>
      <c r="Q2169">
        <v>0</v>
      </c>
      <c r="R2169">
        <v>0</v>
      </c>
    </row>
    <row r="2170" spans="1:18" ht="16" x14ac:dyDescent="0.2">
      <c r="A2170" s="130" t="s">
        <v>3909</v>
      </c>
      <c r="B2170" t="s">
        <v>438</v>
      </c>
      <c r="C2170" t="s">
        <v>3035</v>
      </c>
      <c r="D2170" t="s">
        <v>3036</v>
      </c>
      <c r="E2170" t="s">
        <v>4885</v>
      </c>
      <c r="F2170">
        <v>7</v>
      </c>
      <c r="G2170">
        <v>2</v>
      </c>
      <c r="H2170">
        <v>3.5154861644638</v>
      </c>
      <c r="I2170" t="s">
        <v>957</v>
      </c>
      <c r="J2170" t="s">
        <v>4886</v>
      </c>
      <c r="K2170" t="s">
        <v>4887</v>
      </c>
      <c r="L2170" t="s">
        <v>2377</v>
      </c>
      <c r="M2170">
        <v>3.6496350364963499</v>
      </c>
      <c r="N2170" t="s">
        <v>987</v>
      </c>
      <c r="O2170">
        <v>0</v>
      </c>
      <c r="P2170">
        <v>0</v>
      </c>
      <c r="Q2170">
        <v>0</v>
      </c>
      <c r="R2170">
        <v>0</v>
      </c>
    </row>
    <row r="2171" spans="1:18" ht="16" x14ac:dyDescent="0.2">
      <c r="A2171" s="130" t="s">
        <v>3909</v>
      </c>
      <c r="B2171" t="s">
        <v>438</v>
      </c>
      <c r="C2171" t="s">
        <v>2818</v>
      </c>
      <c r="D2171" t="s">
        <v>2819</v>
      </c>
      <c r="E2171">
        <v>3</v>
      </c>
      <c r="F2171">
        <v>3</v>
      </c>
      <c r="G2171">
        <v>1</v>
      </c>
      <c r="H2171">
        <v>2.8084722912370799</v>
      </c>
      <c r="I2171" t="s">
        <v>957</v>
      </c>
      <c r="J2171" t="s">
        <v>4570</v>
      </c>
      <c r="K2171">
        <v>0.13571428571428601</v>
      </c>
      <c r="L2171" t="s">
        <v>959</v>
      </c>
      <c r="M2171">
        <v>5.10948905109489</v>
      </c>
      <c r="N2171" t="s">
        <v>960</v>
      </c>
      <c r="O2171">
        <v>0</v>
      </c>
      <c r="P2171">
        <v>0</v>
      </c>
      <c r="Q2171">
        <v>0</v>
      </c>
      <c r="R2171">
        <v>0</v>
      </c>
    </row>
    <row r="2172" spans="1:18" ht="16" x14ac:dyDescent="0.2">
      <c r="A2172" s="130" t="s">
        <v>3909</v>
      </c>
      <c r="B2172" t="s">
        <v>438</v>
      </c>
      <c r="C2172" t="s">
        <v>3715</v>
      </c>
      <c r="D2172" t="s">
        <v>3716</v>
      </c>
      <c r="E2172">
        <v>3</v>
      </c>
      <c r="F2172">
        <v>3</v>
      </c>
      <c r="G2172">
        <v>1</v>
      </c>
      <c r="H2172">
        <v>0.96751238546300899</v>
      </c>
      <c r="I2172" t="s">
        <v>957</v>
      </c>
      <c r="J2172" t="s">
        <v>4315</v>
      </c>
      <c r="K2172">
        <v>0.23529411764705899</v>
      </c>
      <c r="L2172" t="s">
        <v>1099</v>
      </c>
      <c r="M2172">
        <v>4.3795620437956204</v>
      </c>
      <c r="N2172" t="s">
        <v>973</v>
      </c>
      <c r="O2172">
        <v>0</v>
      </c>
      <c r="P2172">
        <v>0</v>
      </c>
      <c r="Q2172">
        <v>0</v>
      </c>
      <c r="R2172">
        <v>0</v>
      </c>
    </row>
    <row r="2173" spans="1:18" ht="16" x14ac:dyDescent="0.2">
      <c r="A2173" s="130" t="s">
        <v>3909</v>
      </c>
      <c r="B2173" t="s">
        <v>438</v>
      </c>
      <c r="C2173" t="s">
        <v>3972</v>
      </c>
      <c r="D2173" t="s">
        <v>3973</v>
      </c>
      <c r="E2173">
        <v>5</v>
      </c>
      <c r="F2173">
        <v>5</v>
      </c>
      <c r="G2173">
        <v>1</v>
      </c>
      <c r="H2173">
        <v>1.9925422615305</v>
      </c>
      <c r="I2173" t="s">
        <v>957</v>
      </c>
      <c r="J2173" t="s">
        <v>4367</v>
      </c>
      <c r="K2173">
        <v>0.17647058823529399</v>
      </c>
      <c r="L2173" t="s">
        <v>1099</v>
      </c>
      <c r="M2173">
        <v>3.6496350364963499</v>
      </c>
      <c r="N2173" t="s">
        <v>973</v>
      </c>
      <c r="O2173">
        <v>0</v>
      </c>
      <c r="P2173">
        <v>0</v>
      </c>
      <c r="Q2173">
        <v>0</v>
      </c>
      <c r="R2173">
        <v>0</v>
      </c>
    </row>
    <row r="2174" spans="1:18" ht="16" x14ac:dyDescent="0.2">
      <c r="A2174" s="130" t="s">
        <v>3909</v>
      </c>
      <c r="B2174" t="s">
        <v>438</v>
      </c>
      <c r="C2174" t="s">
        <v>3524</v>
      </c>
      <c r="D2174" t="s">
        <v>3525</v>
      </c>
      <c r="E2174">
        <v>3</v>
      </c>
      <c r="F2174">
        <v>3</v>
      </c>
      <c r="G2174">
        <v>1</v>
      </c>
      <c r="H2174">
        <v>2.1988560373167001</v>
      </c>
      <c r="I2174" t="s">
        <v>957</v>
      </c>
      <c r="J2174" t="s">
        <v>4424</v>
      </c>
      <c r="K2174">
        <v>0.11764705882352899</v>
      </c>
      <c r="L2174" t="s">
        <v>1099</v>
      </c>
      <c r="M2174">
        <v>5.8394160583941597</v>
      </c>
      <c r="N2174" t="s">
        <v>973</v>
      </c>
      <c r="O2174">
        <v>0</v>
      </c>
      <c r="P2174">
        <v>0</v>
      </c>
      <c r="Q2174">
        <v>0</v>
      </c>
      <c r="R2174">
        <v>0</v>
      </c>
    </row>
    <row r="2175" spans="1:18" ht="16" x14ac:dyDescent="0.2">
      <c r="A2175" s="130" t="s">
        <v>3909</v>
      </c>
      <c r="B2175" t="s">
        <v>438</v>
      </c>
      <c r="C2175" t="s">
        <v>3935</v>
      </c>
      <c r="D2175" t="s">
        <v>3936</v>
      </c>
      <c r="E2175">
        <v>4</v>
      </c>
      <c r="F2175">
        <v>4</v>
      </c>
      <c r="G2175">
        <v>1</v>
      </c>
      <c r="H2175">
        <v>2.79815695875463</v>
      </c>
      <c r="I2175" t="s">
        <v>957</v>
      </c>
      <c r="J2175" t="s">
        <v>3937</v>
      </c>
      <c r="K2175">
        <v>0.17647058823529399</v>
      </c>
      <c r="L2175" t="s">
        <v>1099</v>
      </c>
      <c r="M2175">
        <v>1.4598540145985399</v>
      </c>
      <c r="N2175" t="s">
        <v>973</v>
      </c>
      <c r="O2175">
        <v>0</v>
      </c>
      <c r="P2175">
        <v>0</v>
      </c>
      <c r="Q2175">
        <v>0</v>
      </c>
      <c r="R2175">
        <v>0</v>
      </c>
    </row>
    <row r="2176" spans="1:18" ht="16" x14ac:dyDescent="0.2">
      <c r="A2176" s="130" t="s">
        <v>3909</v>
      </c>
      <c r="B2176" t="s">
        <v>438</v>
      </c>
      <c r="C2176" t="s">
        <v>2074</v>
      </c>
      <c r="D2176" t="s">
        <v>2075</v>
      </c>
      <c r="E2176">
        <v>5</v>
      </c>
      <c r="F2176">
        <v>5</v>
      </c>
      <c r="G2176">
        <v>1</v>
      </c>
      <c r="H2176">
        <v>2.9683538906387001</v>
      </c>
      <c r="I2176" t="s">
        <v>957</v>
      </c>
      <c r="J2176" t="s">
        <v>4755</v>
      </c>
      <c r="K2176">
        <v>0.23529411764705899</v>
      </c>
      <c r="L2176" t="s">
        <v>1099</v>
      </c>
      <c r="M2176">
        <v>5.8394160583941597</v>
      </c>
      <c r="N2176" t="s">
        <v>973</v>
      </c>
      <c r="O2176">
        <v>0</v>
      </c>
      <c r="P2176">
        <v>0</v>
      </c>
      <c r="Q2176">
        <v>0</v>
      </c>
      <c r="R2176">
        <v>0</v>
      </c>
    </row>
    <row r="2177" spans="1:18" ht="16" x14ac:dyDescent="0.2">
      <c r="A2177" s="130" t="s">
        <v>3909</v>
      </c>
      <c r="B2177" t="s">
        <v>438</v>
      </c>
      <c r="C2177" t="s">
        <v>3437</v>
      </c>
      <c r="D2177" t="s">
        <v>3438</v>
      </c>
      <c r="E2177">
        <v>3</v>
      </c>
      <c r="F2177">
        <v>3</v>
      </c>
      <c r="G2177">
        <v>1</v>
      </c>
      <c r="H2177">
        <v>2.6807327922813</v>
      </c>
      <c r="I2177" t="s">
        <v>957</v>
      </c>
      <c r="J2177" t="s">
        <v>4830</v>
      </c>
      <c r="K2177">
        <v>0.17647058823529399</v>
      </c>
      <c r="L2177" t="s">
        <v>1099</v>
      </c>
      <c r="M2177">
        <v>3.6496350364963499</v>
      </c>
      <c r="N2177" t="s">
        <v>973</v>
      </c>
      <c r="O2177">
        <v>0</v>
      </c>
      <c r="P2177">
        <v>0</v>
      </c>
      <c r="Q2177">
        <v>0</v>
      </c>
      <c r="R2177">
        <v>0</v>
      </c>
    </row>
    <row r="2178" spans="1:18" ht="16" x14ac:dyDescent="0.2">
      <c r="A2178" s="130" t="s">
        <v>3909</v>
      </c>
      <c r="B2178" t="s">
        <v>438</v>
      </c>
      <c r="C2178" t="s">
        <v>1315</v>
      </c>
      <c r="D2178" t="s">
        <v>1316</v>
      </c>
      <c r="E2178">
        <v>5</v>
      </c>
      <c r="F2178">
        <v>5</v>
      </c>
      <c r="G2178">
        <v>1</v>
      </c>
      <c r="H2178">
        <v>3.1737128919886999</v>
      </c>
      <c r="I2178" t="s">
        <v>957</v>
      </c>
      <c r="J2178" t="s">
        <v>1317</v>
      </c>
      <c r="K2178">
        <v>0.107142857142857</v>
      </c>
      <c r="L2178" t="s">
        <v>959</v>
      </c>
      <c r="M2178">
        <v>4.3795620437956204</v>
      </c>
      <c r="N2178" t="s">
        <v>960</v>
      </c>
      <c r="O2178">
        <v>0</v>
      </c>
      <c r="P2178">
        <v>0</v>
      </c>
      <c r="Q2178">
        <v>0</v>
      </c>
      <c r="R2178">
        <v>0</v>
      </c>
    </row>
    <row r="2179" spans="1:18" ht="16" x14ac:dyDescent="0.2">
      <c r="A2179" s="130" t="s">
        <v>3909</v>
      </c>
      <c r="B2179" t="s">
        <v>438</v>
      </c>
      <c r="C2179" t="s">
        <v>1944</v>
      </c>
      <c r="D2179" t="s">
        <v>1945</v>
      </c>
      <c r="E2179">
        <v>4</v>
      </c>
      <c r="F2179">
        <v>4</v>
      </c>
      <c r="G2179">
        <v>1</v>
      </c>
      <c r="H2179">
        <v>3.4793421806187701</v>
      </c>
      <c r="I2179" t="s">
        <v>957</v>
      </c>
      <c r="J2179" t="s">
        <v>4222</v>
      </c>
      <c r="K2179">
        <v>0.11764705882352899</v>
      </c>
      <c r="L2179" t="s">
        <v>1099</v>
      </c>
      <c r="M2179">
        <v>5.10948905109489</v>
      </c>
      <c r="N2179" t="s">
        <v>973</v>
      </c>
      <c r="O2179">
        <v>0</v>
      </c>
      <c r="P2179">
        <v>0</v>
      </c>
      <c r="Q2179">
        <v>0</v>
      </c>
      <c r="R2179">
        <v>0</v>
      </c>
    </row>
    <row r="2180" spans="1:18" ht="16" x14ac:dyDescent="0.2">
      <c r="A2180" s="130" t="s">
        <v>3909</v>
      </c>
      <c r="B2180" t="s">
        <v>438</v>
      </c>
      <c r="C2180" t="s">
        <v>1748</v>
      </c>
      <c r="D2180" t="s">
        <v>1749</v>
      </c>
      <c r="E2180">
        <v>3</v>
      </c>
      <c r="F2180">
        <v>3</v>
      </c>
      <c r="G2180">
        <v>1</v>
      </c>
      <c r="H2180">
        <v>2.9154759474226499</v>
      </c>
      <c r="I2180" t="s">
        <v>957</v>
      </c>
      <c r="J2180" t="s">
        <v>4346</v>
      </c>
      <c r="K2180">
        <v>0.11764705882352899</v>
      </c>
      <c r="L2180" t="s">
        <v>1099</v>
      </c>
      <c r="M2180">
        <v>6.5693430656934302</v>
      </c>
      <c r="N2180" t="s">
        <v>973</v>
      </c>
      <c r="O2180">
        <v>0</v>
      </c>
      <c r="P2180">
        <v>0</v>
      </c>
      <c r="Q2180">
        <v>0</v>
      </c>
      <c r="R2180">
        <v>0</v>
      </c>
    </row>
    <row r="2181" spans="1:18" ht="16" x14ac:dyDescent="0.2">
      <c r="A2181" s="130" t="s">
        <v>3909</v>
      </c>
      <c r="B2181" t="s">
        <v>438</v>
      </c>
      <c r="C2181" t="s">
        <v>4190</v>
      </c>
      <c r="D2181" t="s">
        <v>4373</v>
      </c>
      <c r="E2181">
        <v>4</v>
      </c>
      <c r="F2181">
        <v>4</v>
      </c>
      <c r="G2181">
        <v>1</v>
      </c>
      <c r="H2181">
        <v>0.61666441700132801</v>
      </c>
      <c r="I2181" t="s">
        <v>957</v>
      </c>
      <c r="J2181" t="s">
        <v>4486</v>
      </c>
      <c r="K2181">
        <v>0.35294117647058798</v>
      </c>
      <c r="L2181" t="s">
        <v>1099</v>
      </c>
      <c r="M2181">
        <v>4.3795620437956204</v>
      </c>
      <c r="N2181" t="s">
        <v>973</v>
      </c>
      <c r="O2181">
        <v>0</v>
      </c>
      <c r="P2181">
        <v>0</v>
      </c>
      <c r="Q2181">
        <v>0</v>
      </c>
      <c r="R2181">
        <v>0</v>
      </c>
    </row>
    <row r="2182" spans="1:18" ht="16" x14ac:dyDescent="0.2">
      <c r="A2182" s="130" t="s">
        <v>3909</v>
      </c>
      <c r="B2182" t="s">
        <v>442</v>
      </c>
      <c r="C2182" t="s">
        <v>2390</v>
      </c>
      <c r="D2182" t="s">
        <v>2391</v>
      </c>
      <c r="E2182">
        <v>3</v>
      </c>
      <c r="F2182">
        <v>3</v>
      </c>
      <c r="G2182">
        <v>1</v>
      </c>
      <c r="H2182">
        <v>3.9728503649832998</v>
      </c>
      <c r="I2182" t="s">
        <v>957</v>
      </c>
      <c r="J2182" t="s">
        <v>3403</v>
      </c>
      <c r="K2182">
        <v>4.2857142857142899E-2</v>
      </c>
      <c r="L2182" t="s">
        <v>959</v>
      </c>
      <c r="M2182">
        <v>3.6496350364963499</v>
      </c>
      <c r="N2182" t="s">
        <v>960</v>
      </c>
      <c r="O2182">
        <v>0</v>
      </c>
      <c r="P2182">
        <v>0</v>
      </c>
      <c r="Q2182">
        <v>0</v>
      </c>
      <c r="R2182">
        <v>0</v>
      </c>
    </row>
    <row r="2183" spans="1:18" ht="16" x14ac:dyDescent="0.2">
      <c r="A2183" s="130" t="s">
        <v>3909</v>
      </c>
      <c r="B2183" t="s">
        <v>442</v>
      </c>
      <c r="C2183" t="s">
        <v>2316</v>
      </c>
      <c r="D2183" t="s">
        <v>2317</v>
      </c>
      <c r="E2183" t="s">
        <v>1052</v>
      </c>
      <c r="F2183">
        <v>2</v>
      </c>
      <c r="G2183">
        <v>2</v>
      </c>
      <c r="H2183">
        <v>2.30699492590383</v>
      </c>
      <c r="I2183" t="s">
        <v>957</v>
      </c>
      <c r="J2183" t="s">
        <v>3921</v>
      </c>
      <c r="K2183">
        <v>0.192857142857143</v>
      </c>
      <c r="L2183" t="s">
        <v>959</v>
      </c>
      <c r="M2183">
        <v>8.7591240875912408</v>
      </c>
      <c r="N2183" t="s">
        <v>960</v>
      </c>
      <c r="O2183">
        <v>0</v>
      </c>
      <c r="P2183">
        <v>0</v>
      </c>
      <c r="Q2183">
        <v>0</v>
      </c>
      <c r="R2183">
        <v>0</v>
      </c>
    </row>
    <row r="2184" spans="1:18" ht="16" x14ac:dyDescent="0.2">
      <c r="A2184" s="130" t="s">
        <v>3909</v>
      </c>
      <c r="B2184" t="s">
        <v>442</v>
      </c>
      <c r="C2184" t="s">
        <v>2458</v>
      </c>
      <c r="D2184" t="s">
        <v>2459</v>
      </c>
      <c r="E2184" t="s">
        <v>1052</v>
      </c>
      <c r="F2184">
        <v>2</v>
      </c>
      <c r="G2184">
        <v>2</v>
      </c>
      <c r="H2184">
        <v>3.35235192140994</v>
      </c>
      <c r="I2184" t="s">
        <v>957</v>
      </c>
      <c r="J2184" t="s">
        <v>4739</v>
      </c>
      <c r="K2184">
        <v>0.17142857142857101</v>
      </c>
      <c r="L2184" t="s">
        <v>959</v>
      </c>
      <c r="M2184">
        <v>2.1897810218978102</v>
      </c>
      <c r="N2184" t="s">
        <v>960</v>
      </c>
      <c r="O2184">
        <v>0</v>
      </c>
      <c r="P2184">
        <v>0</v>
      </c>
      <c r="Q2184">
        <v>0</v>
      </c>
      <c r="R2184">
        <v>0</v>
      </c>
    </row>
    <row r="2185" spans="1:18" ht="16" x14ac:dyDescent="0.2">
      <c r="A2185" s="130" t="s">
        <v>3909</v>
      </c>
      <c r="B2185" t="s">
        <v>442</v>
      </c>
      <c r="C2185" t="s">
        <v>1653</v>
      </c>
      <c r="D2185" t="s">
        <v>1654</v>
      </c>
      <c r="E2185" t="s">
        <v>1052</v>
      </c>
      <c r="F2185">
        <v>2</v>
      </c>
      <c r="G2185">
        <v>2</v>
      </c>
      <c r="H2185">
        <v>1.2543740040796001</v>
      </c>
      <c r="I2185" t="s">
        <v>957</v>
      </c>
      <c r="J2185" t="s">
        <v>4914</v>
      </c>
      <c r="K2185">
        <v>0.20714285714285699</v>
      </c>
      <c r="L2185" t="s">
        <v>959</v>
      </c>
      <c r="M2185">
        <v>5.8394160583941597</v>
      </c>
      <c r="N2185" t="s">
        <v>960</v>
      </c>
      <c r="O2185">
        <v>0</v>
      </c>
      <c r="P2185">
        <v>0</v>
      </c>
      <c r="Q2185">
        <v>0</v>
      </c>
      <c r="R2185">
        <v>0</v>
      </c>
    </row>
    <row r="2186" spans="1:18" ht="16" x14ac:dyDescent="0.2">
      <c r="A2186" s="130" t="s">
        <v>3909</v>
      </c>
      <c r="B2186" t="s">
        <v>442</v>
      </c>
      <c r="C2186" t="s">
        <v>1263</v>
      </c>
      <c r="D2186" t="s">
        <v>1264</v>
      </c>
      <c r="E2186" t="s">
        <v>1052</v>
      </c>
      <c r="F2186">
        <v>2</v>
      </c>
      <c r="G2186">
        <v>2</v>
      </c>
      <c r="H2186">
        <v>0.827944075464499</v>
      </c>
      <c r="I2186" t="s">
        <v>957</v>
      </c>
      <c r="J2186" t="s">
        <v>4799</v>
      </c>
      <c r="K2186">
        <v>0.17142857142857101</v>
      </c>
      <c r="L2186" t="s">
        <v>959</v>
      </c>
      <c r="M2186">
        <v>4.3795620437956204</v>
      </c>
      <c r="N2186" t="s">
        <v>960</v>
      </c>
      <c r="O2186">
        <v>0</v>
      </c>
      <c r="P2186">
        <v>0</v>
      </c>
      <c r="Q2186">
        <v>0</v>
      </c>
      <c r="R2186">
        <v>0</v>
      </c>
    </row>
    <row r="2187" spans="1:18" ht="16" x14ac:dyDescent="0.2">
      <c r="A2187" s="130" t="s">
        <v>3909</v>
      </c>
      <c r="B2187" t="s">
        <v>442</v>
      </c>
      <c r="C2187" t="s">
        <v>2424</v>
      </c>
      <c r="D2187" t="s">
        <v>2425</v>
      </c>
      <c r="E2187">
        <v>3</v>
      </c>
      <c r="F2187">
        <v>3</v>
      </c>
      <c r="G2187">
        <v>1</v>
      </c>
      <c r="H2187">
        <v>1.9413997032017001</v>
      </c>
      <c r="I2187" t="s">
        <v>957</v>
      </c>
      <c r="J2187" t="s">
        <v>3919</v>
      </c>
      <c r="K2187">
        <v>0.16428571428571401</v>
      </c>
      <c r="L2187" t="s">
        <v>959</v>
      </c>
      <c r="M2187">
        <v>8.0291970802919703</v>
      </c>
      <c r="N2187" t="s">
        <v>960</v>
      </c>
      <c r="O2187">
        <v>0</v>
      </c>
      <c r="P2187">
        <v>0</v>
      </c>
      <c r="Q2187">
        <v>0</v>
      </c>
      <c r="R2187">
        <v>0</v>
      </c>
    </row>
    <row r="2188" spans="1:18" ht="16" x14ac:dyDescent="0.2">
      <c r="A2188" s="130" t="s">
        <v>3909</v>
      </c>
      <c r="B2188" t="s">
        <v>442</v>
      </c>
      <c r="C2188" t="s">
        <v>1332</v>
      </c>
      <c r="D2188" t="s">
        <v>1333</v>
      </c>
      <c r="E2188">
        <v>7</v>
      </c>
      <c r="F2188">
        <v>7</v>
      </c>
      <c r="G2188">
        <v>1</v>
      </c>
      <c r="H2188">
        <v>3.3956103801675899</v>
      </c>
      <c r="I2188" t="s">
        <v>957</v>
      </c>
      <c r="J2188" t="s">
        <v>4355</v>
      </c>
      <c r="K2188">
        <v>0.114285714285714</v>
      </c>
      <c r="L2188" t="s">
        <v>959</v>
      </c>
      <c r="M2188">
        <v>9.4890510948905096</v>
      </c>
      <c r="N2188" t="s">
        <v>960</v>
      </c>
      <c r="O2188">
        <v>0</v>
      </c>
      <c r="P2188">
        <v>0</v>
      </c>
      <c r="Q2188">
        <v>0</v>
      </c>
      <c r="R2188">
        <v>0</v>
      </c>
    </row>
    <row r="2189" spans="1:18" ht="16" x14ac:dyDescent="0.2">
      <c r="A2189" s="130" t="s">
        <v>3909</v>
      </c>
      <c r="B2189" t="s">
        <v>442</v>
      </c>
      <c r="C2189" t="s">
        <v>2964</v>
      </c>
      <c r="D2189" t="s">
        <v>2965</v>
      </c>
      <c r="E2189" t="s">
        <v>1022</v>
      </c>
      <c r="F2189">
        <v>3</v>
      </c>
      <c r="G2189">
        <v>2</v>
      </c>
      <c r="H2189">
        <v>3.4294692299173501</v>
      </c>
      <c r="I2189" t="s">
        <v>957</v>
      </c>
      <c r="J2189" t="s">
        <v>4114</v>
      </c>
      <c r="K2189">
        <v>0.121428571428571</v>
      </c>
      <c r="L2189" t="s">
        <v>959</v>
      </c>
      <c r="M2189">
        <v>3.6496350364963499</v>
      </c>
      <c r="N2189" t="s">
        <v>960</v>
      </c>
      <c r="O2189">
        <v>0</v>
      </c>
      <c r="P2189" t="s">
        <v>5017</v>
      </c>
      <c r="Q2189">
        <v>0</v>
      </c>
      <c r="R2189" t="s">
        <v>5019</v>
      </c>
    </row>
    <row r="2190" spans="1:18" ht="16" x14ac:dyDescent="0.2">
      <c r="A2190" s="130" t="s">
        <v>3909</v>
      </c>
      <c r="B2190" t="s">
        <v>442</v>
      </c>
      <c r="C2190" t="s">
        <v>3044</v>
      </c>
      <c r="D2190" t="s">
        <v>3045</v>
      </c>
      <c r="E2190" t="s">
        <v>966</v>
      </c>
      <c r="F2190">
        <v>3</v>
      </c>
      <c r="G2190">
        <v>3</v>
      </c>
      <c r="H2190">
        <v>0.328354929407083</v>
      </c>
      <c r="I2190" t="s">
        <v>957</v>
      </c>
      <c r="J2190" t="s">
        <v>4371</v>
      </c>
      <c r="K2190">
        <v>0.16428571428571401</v>
      </c>
      <c r="L2190" t="s">
        <v>959</v>
      </c>
      <c r="M2190">
        <v>8.7591240875912408</v>
      </c>
      <c r="N2190" t="s">
        <v>960</v>
      </c>
      <c r="O2190">
        <v>0</v>
      </c>
      <c r="P2190">
        <v>0</v>
      </c>
      <c r="Q2190">
        <v>0</v>
      </c>
      <c r="R2190">
        <v>0</v>
      </c>
    </row>
    <row r="2191" spans="1:18" ht="16" x14ac:dyDescent="0.2">
      <c r="A2191" s="130" t="s">
        <v>3909</v>
      </c>
      <c r="B2191" t="s">
        <v>442</v>
      </c>
      <c r="C2191" t="s">
        <v>2536</v>
      </c>
      <c r="D2191" t="s">
        <v>2537</v>
      </c>
      <c r="E2191">
        <v>3</v>
      </c>
      <c r="F2191">
        <v>3</v>
      </c>
      <c r="G2191">
        <v>1</v>
      </c>
      <c r="H2191">
        <v>2.7132204179414101</v>
      </c>
      <c r="I2191" t="s">
        <v>957</v>
      </c>
      <c r="J2191" t="s">
        <v>4792</v>
      </c>
      <c r="K2191">
        <v>0.1</v>
      </c>
      <c r="L2191" t="s">
        <v>959</v>
      </c>
      <c r="M2191">
        <v>7.2992700729926998</v>
      </c>
      <c r="N2191" t="s">
        <v>960</v>
      </c>
      <c r="O2191">
        <v>0</v>
      </c>
      <c r="P2191">
        <v>0</v>
      </c>
      <c r="Q2191">
        <v>0</v>
      </c>
      <c r="R2191">
        <v>0</v>
      </c>
    </row>
    <row r="2192" spans="1:18" ht="16" x14ac:dyDescent="0.2">
      <c r="A2192" s="130" t="s">
        <v>3909</v>
      </c>
      <c r="B2192" t="s">
        <v>442</v>
      </c>
      <c r="C2192" t="s">
        <v>1244</v>
      </c>
      <c r="D2192" t="s">
        <v>1245</v>
      </c>
      <c r="E2192" t="s">
        <v>1039</v>
      </c>
      <c r="F2192">
        <v>3</v>
      </c>
      <c r="G2192">
        <v>2</v>
      </c>
      <c r="H2192">
        <v>3.3386958776161801</v>
      </c>
      <c r="I2192" t="s">
        <v>957</v>
      </c>
      <c r="J2192" t="s">
        <v>1543</v>
      </c>
      <c r="K2192">
        <v>0.121428571428571</v>
      </c>
      <c r="L2192" t="s">
        <v>959</v>
      </c>
      <c r="M2192">
        <v>5.8394160583941597</v>
      </c>
      <c r="N2192" t="s">
        <v>960</v>
      </c>
      <c r="O2192">
        <v>0</v>
      </c>
      <c r="P2192">
        <v>0</v>
      </c>
      <c r="Q2192">
        <v>0</v>
      </c>
      <c r="R2192">
        <v>0</v>
      </c>
    </row>
    <row r="2193" spans="1:18" ht="16" x14ac:dyDescent="0.2">
      <c r="A2193" s="130" t="s">
        <v>3909</v>
      </c>
      <c r="B2193" t="s">
        <v>442</v>
      </c>
      <c r="C2193" t="s">
        <v>3781</v>
      </c>
      <c r="D2193" t="s">
        <v>3782</v>
      </c>
      <c r="E2193" t="s">
        <v>1039</v>
      </c>
      <c r="F2193">
        <v>3</v>
      </c>
      <c r="G2193">
        <v>2</v>
      </c>
      <c r="H2193">
        <v>2.3686148720246001</v>
      </c>
      <c r="I2193" t="s">
        <v>957</v>
      </c>
      <c r="J2193" t="s">
        <v>4168</v>
      </c>
      <c r="K2193">
        <v>0.221428571428571</v>
      </c>
      <c r="L2193" t="s">
        <v>959</v>
      </c>
      <c r="M2193">
        <v>6.5693430656934302</v>
      </c>
      <c r="N2193" t="s">
        <v>960</v>
      </c>
      <c r="O2193">
        <v>0</v>
      </c>
      <c r="P2193">
        <v>0</v>
      </c>
      <c r="Q2193">
        <v>0</v>
      </c>
      <c r="R2193">
        <v>0</v>
      </c>
    </row>
    <row r="2194" spans="1:18" ht="16" x14ac:dyDescent="0.2">
      <c r="A2194" s="130" t="s">
        <v>3909</v>
      </c>
      <c r="B2194" t="s">
        <v>442</v>
      </c>
      <c r="C2194" t="s">
        <v>2814</v>
      </c>
      <c r="D2194" t="s">
        <v>2815</v>
      </c>
      <c r="E2194" t="s">
        <v>1052</v>
      </c>
      <c r="F2194">
        <v>2</v>
      </c>
      <c r="G2194">
        <v>2</v>
      </c>
      <c r="H2194">
        <v>1.27775231444444</v>
      </c>
      <c r="I2194" t="s">
        <v>957</v>
      </c>
      <c r="J2194" t="s">
        <v>4579</v>
      </c>
      <c r="K2194">
        <v>0.15</v>
      </c>
      <c r="L2194" t="s">
        <v>959</v>
      </c>
      <c r="M2194">
        <v>7.2992700729926998</v>
      </c>
      <c r="N2194" t="s">
        <v>960</v>
      </c>
      <c r="O2194">
        <v>0</v>
      </c>
      <c r="P2194">
        <v>0</v>
      </c>
      <c r="Q2194">
        <v>0</v>
      </c>
      <c r="R2194">
        <v>0</v>
      </c>
    </row>
    <row r="2195" spans="1:18" ht="16" x14ac:dyDescent="0.2">
      <c r="A2195" s="130" t="s">
        <v>3909</v>
      </c>
      <c r="B2195" t="s">
        <v>442</v>
      </c>
      <c r="C2195" t="s">
        <v>1447</v>
      </c>
      <c r="D2195" t="s">
        <v>1448</v>
      </c>
      <c r="E2195" t="s">
        <v>1052</v>
      </c>
      <c r="F2195">
        <v>2</v>
      </c>
      <c r="G2195">
        <v>2</v>
      </c>
      <c r="H2195">
        <v>3.97421596335233</v>
      </c>
      <c r="I2195" t="s">
        <v>957</v>
      </c>
      <c r="J2195" t="s">
        <v>4116</v>
      </c>
      <c r="K2195">
        <v>0.1</v>
      </c>
      <c r="L2195" t="s">
        <v>959</v>
      </c>
      <c r="M2195">
        <v>2.1897810218978102</v>
      </c>
      <c r="N2195" t="s">
        <v>960</v>
      </c>
      <c r="O2195">
        <v>0</v>
      </c>
      <c r="P2195">
        <v>0</v>
      </c>
      <c r="Q2195">
        <v>0</v>
      </c>
      <c r="R2195">
        <v>0</v>
      </c>
    </row>
    <row r="2196" spans="1:18" ht="16" x14ac:dyDescent="0.2">
      <c r="A2196" s="130" t="s">
        <v>3909</v>
      </c>
      <c r="B2196" t="s">
        <v>442</v>
      </c>
      <c r="C2196" t="s">
        <v>2603</v>
      </c>
      <c r="D2196" t="s">
        <v>2604</v>
      </c>
      <c r="E2196">
        <v>3</v>
      </c>
      <c r="F2196">
        <v>3</v>
      </c>
      <c r="G2196">
        <v>1</v>
      </c>
      <c r="H2196">
        <v>3.0191590249083</v>
      </c>
      <c r="I2196" t="s">
        <v>957</v>
      </c>
      <c r="J2196" t="s">
        <v>3966</v>
      </c>
      <c r="K2196">
        <v>4.2857142857142899E-2</v>
      </c>
      <c r="L2196" t="s">
        <v>959</v>
      </c>
      <c r="M2196">
        <v>2.9197080291970798</v>
      </c>
      <c r="N2196" t="s">
        <v>960</v>
      </c>
      <c r="O2196">
        <v>0</v>
      </c>
      <c r="P2196">
        <v>0</v>
      </c>
      <c r="Q2196">
        <v>0</v>
      </c>
      <c r="R2196">
        <v>0</v>
      </c>
    </row>
    <row r="2197" spans="1:18" ht="16" x14ac:dyDescent="0.2">
      <c r="A2197" s="130" t="s">
        <v>3909</v>
      </c>
      <c r="B2197" t="s">
        <v>446</v>
      </c>
      <c r="C2197" t="s">
        <v>2869</v>
      </c>
      <c r="D2197" t="s">
        <v>2870</v>
      </c>
      <c r="E2197" t="s">
        <v>1220</v>
      </c>
      <c r="F2197">
        <v>7</v>
      </c>
      <c r="G2197">
        <v>2</v>
      </c>
      <c r="H2197">
        <v>0.85316981363215605</v>
      </c>
      <c r="I2197" t="s">
        <v>957</v>
      </c>
      <c r="J2197" t="s">
        <v>4813</v>
      </c>
      <c r="K2197">
        <v>0.266666666666667</v>
      </c>
      <c r="L2197" t="s">
        <v>1004</v>
      </c>
      <c r="M2197">
        <v>1.4598540145985399</v>
      </c>
      <c r="N2197" t="s">
        <v>1005</v>
      </c>
      <c r="O2197">
        <v>0</v>
      </c>
      <c r="P2197">
        <v>0</v>
      </c>
      <c r="Q2197">
        <v>0</v>
      </c>
      <c r="R2197">
        <v>0</v>
      </c>
    </row>
    <row r="2198" spans="1:18" ht="16" x14ac:dyDescent="0.2">
      <c r="A2198" s="130" t="s">
        <v>3909</v>
      </c>
      <c r="B2198" t="s">
        <v>446</v>
      </c>
      <c r="C2198" t="s">
        <v>2780</v>
      </c>
      <c r="D2198" t="s">
        <v>3511</v>
      </c>
      <c r="E2198" t="s">
        <v>1212</v>
      </c>
      <c r="F2198">
        <v>10</v>
      </c>
      <c r="G2198">
        <v>2</v>
      </c>
      <c r="H2198">
        <v>0.93006234975989299</v>
      </c>
      <c r="I2198" t="s">
        <v>957</v>
      </c>
      <c r="J2198" t="s">
        <v>4241</v>
      </c>
      <c r="K2198">
        <v>0.33333333333333298</v>
      </c>
      <c r="L2198" t="s">
        <v>1004</v>
      </c>
      <c r="M2198">
        <v>2.9197080291970798</v>
      </c>
      <c r="N2198" t="s">
        <v>1005</v>
      </c>
      <c r="O2198">
        <v>0</v>
      </c>
      <c r="P2198">
        <v>0</v>
      </c>
      <c r="Q2198">
        <v>0</v>
      </c>
      <c r="R2198">
        <v>0</v>
      </c>
    </row>
    <row r="2199" spans="1:18" ht="16" x14ac:dyDescent="0.2">
      <c r="A2199" s="130" t="s">
        <v>3909</v>
      </c>
      <c r="B2199" t="s">
        <v>446</v>
      </c>
      <c r="C2199" t="s">
        <v>1251</v>
      </c>
      <c r="D2199" t="s">
        <v>1252</v>
      </c>
      <c r="E2199" t="s">
        <v>1590</v>
      </c>
      <c r="F2199">
        <v>7</v>
      </c>
      <c r="G2199">
        <v>2</v>
      </c>
      <c r="H2199">
        <v>2.0893195362896502</v>
      </c>
      <c r="I2199" t="s">
        <v>957</v>
      </c>
      <c r="J2199" t="s">
        <v>4150</v>
      </c>
      <c r="K2199">
        <v>0.4</v>
      </c>
      <c r="L2199" t="s">
        <v>1004</v>
      </c>
      <c r="M2199">
        <v>5.8394160583941597</v>
      </c>
      <c r="N2199" t="s">
        <v>1005</v>
      </c>
      <c r="O2199">
        <v>0</v>
      </c>
      <c r="P2199">
        <v>0</v>
      </c>
      <c r="Q2199">
        <v>0</v>
      </c>
      <c r="R2199">
        <v>0</v>
      </c>
    </row>
    <row r="2200" spans="1:18" ht="16" x14ac:dyDescent="0.2">
      <c r="A2200" s="130" t="s">
        <v>3909</v>
      </c>
      <c r="B2200" t="s">
        <v>446</v>
      </c>
      <c r="C2200" t="s">
        <v>1324</v>
      </c>
      <c r="E2200">
        <v>3</v>
      </c>
      <c r="F2200">
        <v>3</v>
      </c>
      <c r="G2200">
        <v>1</v>
      </c>
      <c r="H2200">
        <v>1.9813175369994001</v>
      </c>
      <c r="I2200" t="s">
        <v>957</v>
      </c>
      <c r="J2200" t="s">
        <v>4938</v>
      </c>
      <c r="K2200">
        <v>0.121428571428571</v>
      </c>
      <c r="L2200" t="s">
        <v>959</v>
      </c>
      <c r="M2200">
        <v>5.8394160583941597</v>
      </c>
      <c r="N2200" t="s">
        <v>982</v>
      </c>
      <c r="O2200">
        <v>0</v>
      </c>
      <c r="P2200">
        <v>0</v>
      </c>
      <c r="Q2200">
        <v>0</v>
      </c>
      <c r="R2200" t="s">
        <v>5019</v>
      </c>
    </row>
    <row r="2201" spans="1:18" ht="16" x14ac:dyDescent="0.2">
      <c r="A2201" s="130" t="s">
        <v>3909</v>
      </c>
      <c r="B2201" t="s">
        <v>446</v>
      </c>
      <c r="C2201" t="s">
        <v>3070</v>
      </c>
      <c r="D2201" t="s">
        <v>3071</v>
      </c>
      <c r="E2201" t="s">
        <v>4225</v>
      </c>
      <c r="F2201">
        <v>13</v>
      </c>
      <c r="G2201">
        <v>2</v>
      </c>
      <c r="H2201">
        <v>2.3673789614240799</v>
      </c>
      <c r="I2201" t="s">
        <v>957</v>
      </c>
      <c r="J2201" t="s">
        <v>4226</v>
      </c>
      <c r="K2201">
        <v>0.4</v>
      </c>
      <c r="L2201" t="s">
        <v>1004</v>
      </c>
      <c r="M2201">
        <v>5.8394160583941597</v>
      </c>
      <c r="N2201" t="s">
        <v>1005</v>
      </c>
      <c r="O2201">
        <v>0</v>
      </c>
      <c r="P2201">
        <v>0</v>
      </c>
      <c r="Q2201">
        <v>0</v>
      </c>
      <c r="R2201">
        <v>0</v>
      </c>
    </row>
    <row r="2202" spans="1:18" ht="16" x14ac:dyDescent="0.2">
      <c r="A2202" s="130" t="s">
        <v>3909</v>
      </c>
      <c r="B2202" t="s">
        <v>446</v>
      </c>
      <c r="C2202" t="s">
        <v>2720</v>
      </c>
      <c r="D2202" t="s">
        <v>2721</v>
      </c>
      <c r="E2202" t="s">
        <v>1438</v>
      </c>
      <c r="F2202">
        <v>8</v>
      </c>
      <c r="G2202">
        <v>2</v>
      </c>
      <c r="H2202">
        <v>0.430478623654933</v>
      </c>
      <c r="I2202" t="s">
        <v>957</v>
      </c>
      <c r="J2202" t="s">
        <v>2723</v>
      </c>
      <c r="K2202">
        <v>0.133333333333333</v>
      </c>
      <c r="L2202" t="s">
        <v>1004</v>
      </c>
      <c r="M2202">
        <v>1.4598540145985399</v>
      </c>
      <c r="N2202" t="s">
        <v>1005</v>
      </c>
      <c r="O2202">
        <v>0</v>
      </c>
      <c r="P2202">
        <v>0</v>
      </c>
      <c r="Q2202">
        <v>0</v>
      </c>
      <c r="R2202">
        <v>0</v>
      </c>
    </row>
    <row r="2203" spans="1:18" ht="16" x14ac:dyDescent="0.2">
      <c r="A2203" s="130" t="s">
        <v>3909</v>
      </c>
      <c r="B2203" t="s">
        <v>446</v>
      </c>
      <c r="C2203" t="s">
        <v>3413</v>
      </c>
      <c r="D2203" t="s">
        <v>4696</v>
      </c>
      <c r="E2203" t="s">
        <v>1085</v>
      </c>
      <c r="F2203">
        <v>5</v>
      </c>
      <c r="G2203">
        <v>2</v>
      </c>
      <c r="H2203">
        <v>2.2867040788089401</v>
      </c>
      <c r="I2203" t="s">
        <v>957</v>
      </c>
      <c r="J2203" t="s">
        <v>4697</v>
      </c>
      <c r="K2203">
        <v>0.33333333333333298</v>
      </c>
      <c r="L2203" t="s">
        <v>1004</v>
      </c>
      <c r="M2203">
        <v>1.4598540145985399</v>
      </c>
      <c r="N2203" t="s">
        <v>1005</v>
      </c>
      <c r="O2203">
        <v>0</v>
      </c>
      <c r="P2203">
        <v>0</v>
      </c>
      <c r="Q2203">
        <v>0</v>
      </c>
      <c r="R2203">
        <v>0</v>
      </c>
    </row>
    <row r="2204" spans="1:18" ht="16" x14ac:dyDescent="0.2">
      <c r="A2204" s="130" t="s">
        <v>3909</v>
      </c>
      <c r="B2204" t="s">
        <v>446</v>
      </c>
      <c r="C2204" t="s">
        <v>4229</v>
      </c>
      <c r="D2204" t="s">
        <v>4230</v>
      </c>
      <c r="E2204" t="s">
        <v>1220</v>
      </c>
      <c r="F2204">
        <v>7</v>
      </c>
      <c r="G2204">
        <v>2</v>
      </c>
      <c r="H2204">
        <v>1.5720358275036901</v>
      </c>
      <c r="I2204" t="s">
        <v>957</v>
      </c>
      <c r="J2204" t="s">
        <v>4231</v>
      </c>
      <c r="K2204">
        <v>0.2</v>
      </c>
      <c r="L2204" t="s">
        <v>1004</v>
      </c>
      <c r="M2204">
        <v>1.4598540145985399</v>
      </c>
      <c r="N2204" t="s">
        <v>1005</v>
      </c>
      <c r="O2204">
        <v>0</v>
      </c>
      <c r="P2204">
        <v>0</v>
      </c>
      <c r="Q2204">
        <v>0</v>
      </c>
      <c r="R2204">
        <v>0</v>
      </c>
    </row>
    <row r="2205" spans="1:18" ht="16" x14ac:dyDescent="0.2">
      <c r="A2205" s="130" t="s">
        <v>3909</v>
      </c>
      <c r="B2205" t="s">
        <v>446</v>
      </c>
      <c r="C2205" t="s">
        <v>1197</v>
      </c>
      <c r="D2205" t="s">
        <v>1198</v>
      </c>
      <c r="E2205" t="s">
        <v>1438</v>
      </c>
      <c r="F2205">
        <v>8</v>
      </c>
      <c r="G2205">
        <v>2</v>
      </c>
      <c r="H2205">
        <v>1.8795275775762901</v>
      </c>
      <c r="I2205" t="s">
        <v>957</v>
      </c>
      <c r="J2205" t="s">
        <v>4430</v>
      </c>
      <c r="K2205">
        <v>0.4</v>
      </c>
      <c r="L2205" t="s">
        <v>1004</v>
      </c>
      <c r="M2205">
        <v>5.8394160583941597</v>
      </c>
      <c r="N2205" t="s">
        <v>1005</v>
      </c>
      <c r="O2205">
        <v>0</v>
      </c>
      <c r="P2205">
        <v>0</v>
      </c>
      <c r="Q2205">
        <v>0</v>
      </c>
      <c r="R2205">
        <v>0</v>
      </c>
    </row>
    <row r="2206" spans="1:18" ht="16" x14ac:dyDescent="0.2">
      <c r="A2206" s="130" t="s">
        <v>3909</v>
      </c>
      <c r="B2206" t="s">
        <v>446</v>
      </c>
      <c r="C2206" t="s">
        <v>1398</v>
      </c>
      <c r="D2206" t="s">
        <v>4432</v>
      </c>
      <c r="E2206" t="s">
        <v>4642</v>
      </c>
      <c r="F2206">
        <v>14</v>
      </c>
      <c r="G2206">
        <v>2</v>
      </c>
      <c r="H2206">
        <v>1.01781380594329</v>
      </c>
      <c r="I2206" t="s">
        <v>957</v>
      </c>
      <c r="J2206" t="s">
        <v>4643</v>
      </c>
      <c r="K2206">
        <v>0.6</v>
      </c>
      <c r="L2206" t="s">
        <v>1004</v>
      </c>
      <c r="M2206">
        <v>7.2992700729926998</v>
      </c>
      <c r="N2206" t="s">
        <v>982</v>
      </c>
      <c r="O2206">
        <v>0</v>
      </c>
      <c r="P2206">
        <v>0</v>
      </c>
      <c r="Q2206">
        <v>0</v>
      </c>
      <c r="R2206">
        <v>0</v>
      </c>
    </row>
    <row r="2207" spans="1:18" ht="16" x14ac:dyDescent="0.2">
      <c r="A2207" s="130" t="s">
        <v>3909</v>
      </c>
      <c r="B2207" t="s">
        <v>446</v>
      </c>
      <c r="C2207" t="s">
        <v>3386</v>
      </c>
      <c r="D2207" t="s">
        <v>3387</v>
      </c>
      <c r="E2207" t="s">
        <v>1216</v>
      </c>
      <c r="F2207">
        <v>7</v>
      </c>
      <c r="G2207">
        <v>2</v>
      </c>
      <c r="H2207">
        <v>1.66021292263693</v>
      </c>
      <c r="I2207" t="s">
        <v>957</v>
      </c>
      <c r="J2207" t="s">
        <v>3978</v>
      </c>
      <c r="K2207">
        <v>0.266666666666667</v>
      </c>
      <c r="L2207" t="s">
        <v>1004</v>
      </c>
      <c r="M2207">
        <v>3.6496350364963499</v>
      </c>
      <c r="N2207" t="s">
        <v>1005</v>
      </c>
      <c r="O2207">
        <v>0</v>
      </c>
      <c r="P2207">
        <v>0</v>
      </c>
      <c r="Q2207">
        <v>0</v>
      </c>
      <c r="R2207">
        <v>0</v>
      </c>
    </row>
    <row r="2208" spans="1:18" ht="16" x14ac:dyDescent="0.2">
      <c r="A2208" s="130" t="s">
        <v>3909</v>
      </c>
      <c r="B2208" t="s">
        <v>446</v>
      </c>
      <c r="C2208" t="s">
        <v>1394</v>
      </c>
      <c r="D2208" t="s">
        <v>1395</v>
      </c>
      <c r="E2208" t="s">
        <v>1216</v>
      </c>
      <c r="F2208">
        <v>7</v>
      </c>
      <c r="G2208">
        <v>2</v>
      </c>
      <c r="H2208">
        <v>1.02224746321195</v>
      </c>
      <c r="I2208" t="s">
        <v>957</v>
      </c>
      <c r="J2208" t="s">
        <v>3990</v>
      </c>
      <c r="K2208">
        <v>0.4</v>
      </c>
      <c r="L2208" t="s">
        <v>1004</v>
      </c>
      <c r="M2208">
        <v>2.9197080291970798</v>
      </c>
      <c r="N2208" t="s">
        <v>1005</v>
      </c>
      <c r="O2208">
        <v>0</v>
      </c>
      <c r="P2208">
        <v>0</v>
      </c>
      <c r="Q2208">
        <v>0</v>
      </c>
      <c r="R2208">
        <v>0</v>
      </c>
    </row>
    <row r="2209" spans="1:18" ht="16" x14ac:dyDescent="0.2">
      <c r="A2209" s="130" t="s">
        <v>3909</v>
      </c>
      <c r="B2209" t="s">
        <v>446</v>
      </c>
      <c r="C2209" t="s">
        <v>2105</v>
      </c>
      <c r="D2209" t="s">
        <v>2106</v>
      </c>
      <c r="E2209" t="s">
        <v>1590</v>
      </c>
      <c r="F2209">
        <v>7</v>
      </c>
      <c r="G2209">
        <v>2</v>
      </c>
      <c r="H2209">
        <v>2.3400975060941702</v>
      </c>
      <c r="I2209" t="s">
        <v>957</v>
      </c>
      <c r="J2209" t="s">
        <v>4189</v>
      </c>
      <c r="K2209">
        <v>0.33333333333333298</v>
      </c>
      <c r="L2209" t="s">
        <v>1004</v>
      </c>
      <c r="M2209">
        <v>8.0291970802919703</v>
      </c>
      <c r="N2209" t="s">
        <v>1005</v>
      </c>
      <c r="O2209">
        <v>0</v>
      </c>
      <c r="P2209">
        <v>0</v>
      </c>
      <c r="Q2209">
        <v>0</v>
      </c>
      <c r="R2209">
        <v>0</v>
      </c>
    </row>
    <row r="2210" spans="1:18" ht="16" x14ac:dyDescent="0.2">
      <c r="A2210" s="130" t="s">
        <v>3909</v>
      </c>
      <c r="B2210" t="s">
        <v>446</v>
      </c>
      <c r="C2210" t="s">
        <v>2433</v>
      </c>
      <c r="D2210" t="s">
        <v>2434</v>
      </c>
      <c r="E2210" t="s">
        <v>2887</v>
      </c>
      <c r="F2210">
        <v>6</v>
      </c>
      <c r="G2210">
        <v>2</v>
      </c>
      <c r="H2210">
        <v>1.6289594138375001</v>
      </c>
      <c r="I2210" t="s">
        <v>957</v>
      </c>
      <c r="J2210" t="s">
        <v>3987</v>
      </c>
      <c r="K2210">
        <v>0.266666666666667</v>
      </c>
      <c r="L2210" t="s">
        <v>1004</v>
      </c>
      <c r="M2210">
        <v>7.2992700729926998</v>
      </c>
      <c r="N2210" t="s">
        <v>1005</v>
      </c>
      <c r="O2210">
        <v>0</v>
      </c>
      <c r="P2210">
        <v>0</v>
      </c>
      <c r="Q2210">
        <v>0</v>
      </c>
      <c r="R2210">
        <v>0</v>
      </c>
    </row>
    <row r="2211" spans="1:18" ht="16" x14ac:dyDescent="0.2">
      <c r="A2211" s="130" t="s">
        <v>3909</v>
      </c>
      <c r="B2211" t="s">
        <v>446</v>
      </c>
      <c r="C2211" t="s">
        <v>2407</v>
      </c>
      <c r="D2211" t="s">
        <v>2408</v>
      </c>
      <c r="E2211">
        <v>3</v>
      </c>
      <c r="F2211">
        <v>3</v>
      </c>
      <c r="G2211">
        <v>1</v>
      </c>
      <c r="H2211">
        <v>2.18832046802549</v>
      </c>
      <c r="I2211" t="s">
        <v>957</v>
      </c>
      <c r="J2211" t="s">
        <v>4778</v>
      </c>
      <c r="K2211">
        <v>0.107142857142857</v>
      </c>
      <c r="L2211" t="s">
        <v>959</v>
      </c>
      <c r="M2211">
        <v>4.3795620437956204</v>
      </c>
      <c r="N2211" t="s">
        <v>960</v>
      </c>
      <c r="O2211">
        <v>0</v>
      </c>
      <c r="P2211">
        <v>0</v>
      </c>
      <c r="Q2211">
        <v>0</v>
      </c>
      <c r="R2211">
        <v>0</v>
      </c>
    </row>
    <row r="2212" spans="1:18" ht="16" x14ac:dyDescent="0.2">
      <c r="A2212" s="130" t="s">
        <v>3909</v>
      </c>
      <c r="B2212" t="s">
        <v>446</v>
      </c>
      <c r="C2212" t="s">
        <v>2283</v>
      </c>
      <c r="D2212" t="s">
        <v>2284</v>
      </c>
      <c r="E2212" t="s">
        <v>1457</v>
      </c>
      <c r="F2212">
        <v>9</v>
      </c>
      <c r="G2212">
        <v>2</v>
      </c>
      <c r="H2212">
        <v>1.32148101442022</v>
      </c>
      <c r="I2212" t="s">
        <v>957</v>
      </c>
      <c r="J2212" t="s">
        <v>4460</v>
      </c>
      <c r="K2212">
        <v>0.266666666666667</v>
      </c>
      <c r="L2212" t="s">
        <v>1004</v>
      </c>
      <c r="M2212">
        <v>2.9197080291970798</v>
      </c>
      <c r="N2212" t="s">
        <v>1005</v>
      </c>
      <c r="O2212">
        <v>0</v>
      </c>
      <c r="P2212">
        <v>0</v>
      </c>
      <c r="Q2212">
        <v>0</v>
      </c>
      <c r="R2212" t="s">
        <v>5019</v>
      </c>
    </row>
    <row r="2213" spans="1:18" ht="16" x14ac:dyDescent="0.2">
      <c r="A2213" s="130" t="s">
        <v>3909</v>
      </c>
      <c r="B2213" t="s">
        <v>450</v>
      </c>
      <c r="C2213" t="s">
        <v>1436</v>
      </c>
      <c r="D2213" t="s">
        <v>1437</v>
      </c>
      <c r="E2213">
        <v>3</v>
      </c>
      <c r="F2213">
        <v>3</v>
      </c>
      <c r="G2213">
        <v>1</v>
      </c>
      <c r="H2213">
        <v>4.1085797450834596</v>
      </c>
      <c r="I2213" t="s">
        <v>957</v>
      </c>
      <c r="J2213" t="s">
        <v>3938</v>
      </c>
      <c r="K2213">
        <v>0.17142857142857101</v>
      </c>
      <c r="L2213" t="s">
        <v>959</v>
      </c>
      <c r="M2213">
        <v>4.3795620437956204</v>
      </c>
      <c r="N2213" t="s">
        <v>960</v>
      </c>
      <c r="O2213">
        <v>0</v>
      </c>
      <c r="P2213">
        <v>0</v>
      </c>
      <c r="Q2213">
        <v>0</v>
      </c>
      <c r="R2213">
        <v>0</v>
      </c>
    </row>
    <row r="2214" spans="1:18" ht="16" x14ac:dyDescent="0.2">
      <c r="A2214" s="130" t="s">
        <v>3909</v>
      </c>
      <c r="B2214" t="s">
        <v>450</v>
      </c>
      <c r="C2214" t="s">
        <v>2427</v>
      </c>
      <c r="D2214" t="s">
        <v>2428</v>
      </c>
      <c r="E2214">
        <v>3</v>
      </c>
      <c r="F2214">
        <v>3</v>
      </c>
      <c r="G2214">
        <v>1</v>
      </c>
      <c r="H2214">
        <v>2.3864098029198599</v>
      </c>
      <c r="I2214" t="s">
        <v>957</v>
      </c>
      <c r="J2214" t="s">
        <v>5009</v>
      </c>
      <c r="K2214">
        <v>0.128571428571429</v>
      </c>
      <c r="L2214" t="s">
        <v>959</v>
      </c>
      <c r="M2214">
        <v>5.10948905109489</v>
      </c>
      <c r="N2214" t="s">
        <v>960</v>
      </c>
      <c r="O2214">
        <v>0</v>
      </c>
      <c r="P2214">
        <v>0</v>
      </c>
      <c r="Q2214">
        <v>0</v>
      </c>
      <c r="R2214">
        <v>0</v>
      </c>
    </row>
    <row r="2215" spans="1:18" ht="16" x14ac:dyDescent="0.2">
      <c r="A2215" s="130" t="s">
        <v>3909</v>
      </c>
      <c r="B2215" t="s">
        <v>450</v>
      </c>
      <c r="C2215" t="s">
        <v>1315</v>
      </c>
      <c r="D2215" t="s">
        <v>1316</v>
      </c>
      <c r="E2215">
        <v>3</v>
      </c>
      <c r="F2215">
        <v>3</v>
      </c>
      <c r="G2215">
        <v>1</v>
      </c>
      <c r="H2215">
        <v>1.80867508898281</v>
      </c>
      <c r="I2215" t="s">
        <v>957</v>
      </c>
      <c r="J2215" t="s">
        <v>4920</v>
      </c>
      <c r="K2215">
        <v>0.107142857142857</v>
      </c>
      <c r="L2215" t="s">
        <v>959</v>
      </c>
      <c r="M2215">
        <v>4.3795620437956204</v>
      </c>
      <c r="N2215" t="s">
        <v>960</v>
      </c>
      <c r="O2215">
        <v>0</v>
      </c>
      <c r="P2215">
        <v>0</v>
      </c>
      <c r="Q2215">
        <v>0</v>
      </c>
      <c r="R2215">
        <v>0</v>
      </c>
    </row>
    <row r="2216" spans="1:18" ht="16" x14ac:dyDescent="0.2">
      <c r="A2216" s="130" t="s">
        <v>3909</v>
      </c>
      <c r="B2216" t="s">
        <v>454</v>
      </c>
      <c r="C2216" t="s">
        <v>3645</v>
      </c>
      <c r="D2216" t="s">
        <v>3646</v>
      </c>
      <c r="E2216">
        <v>3</v>
      </c>
      <c r="F2216">
        <v>3</v>
      </c>
      <c r="G2216">
        <v>1</v>
      </c>
      <c r="H2216">
        <v>2.9818485448819501</v>
      </c>
      <c r="I2216" t="s">
        <v>957</v>
      </c>
      <c r="J2216" t="s">
        <v>4979</v>
      </c>
      <c r="K2216">
        <v>0.14285714285714299</v>
      </c>
      <c r="L2216" t="s">
        <v>959</v>
      </c>
      <c r="M2216">
        <v>5.8394160583941597</v>
      </c>
      <c r="N2216" t="s">
        <v>960</v>
      </c>
      <c r="O2216">
        <v>0</v>
      </c>
      <c r="P2216">
        <v>0</v>
      </c>
      <c r="Q2216">
        <v>0</v>
      </c>
      <c r="R2216">
        <v>0</v>
      </c>
    </row>
    <row r="2217" spans="1:18" ht="16" x14ac:dyDescent="0.2">
      <c r="A2217" s="130" t="s">
        <v>3909</v>
      </c>
      <c r="B2217" t="s">
        <v>454</v>
      </c>
      <c r="C2217" t="s">
        <v>1885</v>
      </c>
      <c r="D2217" t="s">
        <v>1886</v>
      </c>
      <c r="E2217">
        <v>3</v>
      </c>
      <c r="F2217">
        <v>3</v>
      </c>
      <c r="G2217">
        <v>1</v>
      </c>
      <c r="H2217">
        <v>1.8130781886712699</v>
      </c>
      <c r="I2217" t="s">
        <v>957</v>
      </c>
      <c r="J2217" t="s">
        <v>4703</v>
      </c>
      <c r="K2217">
        <v>3.5714285714285698E-2</v>
      </c>
      <c r="L2217" t="s">
        <v>959</v>
      </c>
      <c r="M2217">
        <v>3.6496350364963499</v>
      </c>
      <c r="N2217" t="s">
        <v>960</v>
      </c>
      <c r="O2217">
        <v>0</v>
      </c>
      <c r="P2217" t="s">
        <v>5018</v>
      </c>
      <c r="Q2217">
        <v>0</v>
      </c>
      <c r="R2217">
        <v>0</v>
      </c>
    </row>
    <row r="2218" spans="1:18" ht="16" x14ac:dyDescent="0.2">
      <c r="A2218" s="130" t="s">
        <v>3909</v>
      </c>
      <c r="B2218" t="s">
        <v>454</v>
      </c>
      <c r="C2218" t="s">
        <v>3092</v>
      </c>
      <c r="D2218" t="s">
        <v>3093</v>
      </c>
      <c r="E2218" t="s">
        <v>1442</v>
      </c>
      <c r="F2218">
        <v>5</v>
      </c>
      <c r="G2218">
        <v>2</v>
      </c>
      <c r="H2218">
        <v>4.0337744370232302</v>
      </c>
      <c r="I2218" t="s">
        <v>957</v>
      </c>
      <c r="J2218" t="s">
        <v>4350</v>
      </c>
      <c r="K2218">
        <v>9.2857142857142902E-2</v>
      </c>
      <c r="L2218" t="s">
        <v>959</v>
      </c>
      <c r="M2218">
        <v>5.10948905109489</v>
      </c>
      <c r="N2218" t="s">
        <v>960</v>
      </c>
      <c r="O2218">
        <v>0</v>
      </c>
      <c r="P2218">
        <v>0</v>
      </c>
      <c r="Q2218">
        <v>0</v>
      </c>
      <c r="R2218">
        <v>0</v>
      </c>
    </row>
    <row r="2219" spans="1:18" ht="16" x14ac:dyDescent="0.2">
      <c r="A2219" s="130" t="s">
        <v>3909</v>
      </c>
      <c r="B2219" t="s">
        <v>454</v>
      </c>
      <c r="C2219" t="s">
        <v>2370</v>
      </c>
      <c r="D2219" t="s">
        <v>2371</v>
      </c>
      <c r="E2219">
        <v>4</v>
      </c>
      <c r="F2219">
        <v>4</v>
      </c>
      <c r="G2219">
        <v>1</v>
      </c>
      <c r="H2219">
        <v>3.2816506165694701</v>
      </c>
      <c r="I2219" t="s">
        <v>957</v>
      </c>
      <c r="J2219" t="s">
        <v>4560</v>
      </c>
      <c r="K2219">
        <v>9.2857142857142902E-2</v>
      </c>
      <c r="L2219" t="s">
        <v>959</v>
      </c>
      <c r="M2219">
        <v>3.6496350364963499</v>
      </c>
      <c r="N2219" t="s">
        <v>960</v>
      </c>
      <c r="O2219">
        <v>0</v>
      </c>
      <c r="P2219">
        <v>0</v>
      </c>
      <c r="Q2219">
        <v>0</v>
      </c>
      <c r="R2219">
        <v>0</v>
      </c>
    </row>
    <row r="2220" spans="1:18" ht="16" x14ac:dyDescent="0.2">
      <c r="A2220" s="130" t="s">
        <v>3909</v>
      </c>
      <c r="B2220" t="s">
        <v>454</v>
      </c>
      <c r="C2220" t="s">
        <v>2419</v>
      </c>
      <c r="D2220" t="s">
        <v>2420</v>
      </c>
      <c r="E2220">
        <v>3</v>
      </c>
      <c r="F2220">
        <v>3</v>
      </c>
      <c r="G2220">
        <v>1</v>
      </c>
      <c r="H2220">
        <v>2.4854824899957202</v>
      </c>
      <c r="I2220" t="s">
        <v>957</v>
      </c>
      <c r="J2220" t="s">
        <v>4610</v>
      </c>
      <c r="K2220">
        <v>0.17857142857142899</v>
      </c>
      <c r="L2220" t="s">
        <v>959</v>
      </c>
      <c r="M2220">
        <v>9.4890510948905096</v>
      </c>
      <c r="N2220" t="s">
        <v>960</v>
      </c>
      <c r="O2220">
        <v>0</v>
      </c>
      <c r="P2220">
        <v>0</v>
      </c>
      <c r="Q2220">
        <v>0</v>
      </c>
      <c r="R2220">
        <v>0</v>
      </c>
    </row>
    <row r="2221" spans="1:18" ht="16" x14ac:dyDescent="0.2">
      <c r="A2221" s="130" t="s">
        <v>3909</v>
      </c>
      <c r="B2221" t="s">
        <v>454</v>
      </c>
      <c r="C2221" t="s">
        <v>1480</v>
      </c>
      <c r="D2221" t="s">
        <v>2208</v>
      </c>
      <c r="E2221">
        <v>4</v>
      </c>
      <c r="F2221">
        <v>4</v>
      </c>
      <c r="G2221">
        <v>1</v>
      </c>
      <c r="H2221">
        <v>1.9189710475216499</v>
      </c>
      <c r="I2221" t="s">
        <v>957</v>
      </c>
      <c r="J2221" t="s">
        <v>4988</v>
      </c>
      <c r="K2221">
        <v>0.13571428571428601</v>
      </c>
      <c r="L2221" t="s">
        <v>959</v>
      </c>
      <c r="M2221">
        <v>8.0291970802919703</v>
      </c>
      <c r="N2221" t="s">
        <v>960</v>
      </c>
      <c r="O2221">
        <v>0</v>
      </c>
      <c r="P2221">
        <v>0</v>
      </c>
      <c r="Q2221">
        <v>0</v>
      </c>
      <c r="R2221" t="s">
        <v>5019</v>
      </c>
    </row>
    <row r="2222" spans="1:18" ht="16" x14ac:dyDescent="0.2">
      <c r="A2222" s="130" t="s">
        <v>3909</v>
      </c>
      <c r="B2222" t="s">
        <v>454</v>
      </c>
      <c r="C2222" t="s">
        <v>3830</v>
      </c>
      <c r="D2222" t="s">
        <v>3831</v>
      </c>
      <c r="E2222">
        <v>3</v>
      </c>
      <c r="F2222">
        <v>3</v>
      </c>
      <c r="G2222">
        <v>1</v>
      </c>
      <c r="H2222">
        <v>1.7370290434683</v>
      </c>
      <c r="I2222" t="s">
        <v>957</v>
      </c>
      <c r="J2222" t="s">
        <v>3979</v>
      </c>
      <c r="K2222">
        <v>0.17142857142857101</v>
      </c>
      <c r="L2222" t="s">
        <v>959</v>
      </c>
      <c r="M2222">
        <v>8.7591240875912408</v>
      </c>
      <c r="N2222" t="s">
        <v>960</v>
      </c>
      <c r="O2222">
        <v>0</v>
      </c>
      <c r="P2222">
        <v>0</v>
      </c>
      <c r="Q2222">
        <v>0</v>
      </c>
      <c r="R2222">
        <v>0</v>
      </c>
    </row>
    <row r="2223" spans="1:18" ht="16" x14ac:dyDescent="0.2">
      <c r="A2223" s="130" t="s">
        <v>3909</v>
      </c>
      <c r="B2223" t="s">
        <v>454</v>
      </c>
      <c r="C2223" s="128" t="s">
        <v>1906</v>
      </c>
      <c r="D2223" t="s">
        <v>1907</v>
      </c>
      <c r="E2223">
        <v>3</v>
      </c>
      <c r="F2223">
        <v>3</v>
      </c>
      <c r="G2223">
        <v>1</v>
      </c>
      <c r="H2223">
        <v>3.9229826005957</v>
      </c>
      <c r="I2223" t="s">
        <v>957</v>
      </c>
      <c r="J2223" t="s">
        <v>4317</v>
      </c>
      <c r="K2223">
        <v>9.2857142857142902E-2</v>
      </c>
      <c r="L2223" t="s">
        <v>959</v>
      </c>
      <c r="M2223">
        <v>3.6496350364963499</v>
      </c>
      <c r="N2223" s="128" t="s">
        <v>960</v>
      </c>
      <c r="O2223">
        <v>0</v>
      </c>
      <c r="P2223">
        <v>0</v>
      </c>
      <c r="Q2223">
        <v>0</v>
      </c>
      <c r="R2223">
        <v>0</v>
      </c>
    </row>
    <row r="2224" spans="1:18" ht="16" x14ac:dyDescent="0.2">
      <c r="A2224" s="130" t="s">
        <v>3909</v>
      </c>
      <c r="B2224" t="s">
        <v>454</v>
      </c>
      <c r="C2224" t="s">
        <v>2599</v>
      </c>
      <c r="D2224" t="s">
        <v>2600</v>
      </c>
      <c r="E2224">
        <v>3</v>
      </c>
      <c r="F2224">
        <v>3</v>
      </c>
      <c r="G2224">
        <v>1</v>
      </c>
      <c r="H2224">
        <v>2.2782314643774302</v>
      </c>
      <c r="I2224" t="s">
        <v>957</v>
      </c>
      <c r="J2224" t="s">
        <v>4375</v>
      </c>
      <c r="K2224">
        <v>8.5714285714285701E-2</v>
      </c>
      <c r="L2224" t="s">
        <v>959</v>
      </c>
      <c r="M2224">
        <v>2.9197080291970798</v>
      </c>
      <c r="N2224" t="s">
        <v>960</v>
      </c>
      <c r="O2224">
        <v>0</v>
      </c>
      <c r="P2224">
        <v>0</v>
      </c>
      <c r="Q2224">
        <v>0</v>
      </c>
      <c r="R2224">
        <v>0</v>
      </c>
    </row>
    <row r="2225" spans="1:18" ht="16" x14ac:dyDescent="0.2">
      <c r="A2225" s="130" t="s">
        <v>3909</v>
      </c>
      <c r="B2225" t="s">
        <v>458</v>
      </c>
      <c r="C2225" t="s">
        <v>2030</v>
      </c>
      <c r="D2225" t="s">
        <v>2031</v>
      </c>
      <c r="E2225" t="s">
        <v>1052</v>
      </c>
      <c r="F2225">
        <v>2</v>
      </c>
      <c r="G2225">
        <v>2</v>
      </c>
      <c r="H2225">
        <v>1.91819752863957</v>
      </c>
      <c r="I2225" t="s">
        <v>957</v>
      </c>
      <c r="J2225" t="s">
        <v>4305</v>
      </c>
      <c r="K2225">
        <v>0.128571428571429</v>
      </c>
      <c r="L2225" t="s">
        <v>959</v>
      </c>
      <c r="M2225">
        <v>5.8394160583941597</v>
      </c>
      <c r="N2225" t="s">
        <v>960</v>
      </c>
      <c r="O2225">
        <v>0</v>
      </c>
      <c r="P2225">
        <v>0</v>
      </c>
      <c r="Q2225">
        <v>0</v>
      </c>
      <c r="R2225">
        <v>0</v>
      </c>
    </row>
    <row r="2226" spans="1:18" ht="16" x14ac:dyDescent="0.2">
      <c r="A2226" s="130" t="s">
        <v>3909</v>
      </c>
      <c r="B2226" t="s">
        <v>458</v>
      </c>
      <c r="C2226" t="s">
        <v>3044</v>
      </c>
      <c r="D2226" t="s">
        <v>3045</v>
      </c>
      <c r="E2226" t="s">
        <v>1400</v>
      </c>
      <c r="F2226">
        <v>4</v>
      </c>
      <c r="G2226">
        <v>4</v>
      </c>
      <c r="H2226">
        <v>1.12299088648559</v>
      </c>
      <c r="I2226" t="s">
        <v>957</v>
      </c>
      <c r="J2226" t="s">
        <v>4501</v>
      </c>
      <c r="K2226">
        <v>0.16428571428571401</v>
      </c>
      <c r="L2226" t="s">
        <v>959</v>
      </c>
      <c r="M2226">
        <v>8.7591240875912408</v>
      </c>
      <c r="N2226" t="s">
        <v>960</v>
      </c>
      <c r="O2226">
        <v>0</v>
      </c>
      <c r="P2226">
        <v>0</v>
      </c>
      <c r="Q2226">
        <v>0</v>
      </c>
      <c r="R2226">
        <v>0</v>
      </c>
    </row>
    <row r="2227" spans="1:18" ht="16" x14ac:dyDescent="0.2">
      <c r="A2227" s="130" t="s">
        <v>3909</v>
      </c>
      <c r="B2227" t="s">
        <v>458</v>
      </c>
      <c r="C2227" t="s">
        <v>2821</v>
      </c>
      <c r="D2227" t="s">
        <v>2822</v>
      </c>
      <c r="E2227" t="s">
        <v>1102</v>
      </c>
      <c r="F2227">
        <v>4</v>
      </c>
      <c r="G2227">
        <v>2</v>
      </c>
      <c r="H2227">
        <v>3.8805610116451699</v>
      </c>
      <c r="I2227" t="s">
        <v>957</v>
      </c>
      <c r="J2227" t="s">
        <v>4766</v>
      </c>
      <c r="K2227">
        <v>0.157142857142857</v>
      </c>
      <c r="L2227" t="s">
        <v>959</v>
      </c>
      <c r="M2227">
        <v>6.5693430656934302</v>
      </c>
      <c r="N2227" t="s">
        <v>960</v>
      </c>
      <c r="O2227">
        <v>0</v>
      </c>
      <c r="P2227">
        <v>0</v>
      </c>
      <c r="Q2227">
        <v>0</v>
      </c>
      <c r="R2227">
        <v>0</v>
      </c>
    </row>
    <row r="2228" spans="1:18" ht="16" x14ac:dyDescent="0.2">
      <c r="A2228" s="130" t="s">
        <v>3909</v>
      </c>
      <c r="B2228" t="s">
        <v>458</v>
      </c>
      <c r="C2228" t="s">
        <v>2464</v>
      </c>
      <c r="D2228" t="s">
        <v>2465</v>
      </c>
      <c r="E2228" t="s">
        <v>1102</v>
      </c>
      <c r="F2228">
        <v>4</v>
      </c>
      <c r="G2228">
        <v>2</v>
      </c>
      <c r="H2228">
        <v>1.7018255038575001</v>
      </c>
      <c r="I2228" t="s">
        <v>957</v>
      </c>
      <c r="J2228" t="s">
        <v>4076</v>
      </c>
      <c r="K2228">
        <v>0.16428571428571401</v>
      </c>
      <c r="L2228" t="s">
        <v>959</v>
      </c>
      <c r="M2228">
        <v>6.5693430656934302</v>
      </c>
      <c r="N2228" t="s">
        <v>960</v>
      </c>
      <c r="O2228">
        <v>0</v>
      </c>
      <c r="P2228">
        <v>0</v>
      </c>
      <c r="Q2228">
        <v>0</v>
      </c>
      <c r="R2228">
        <v>0</v>
      </c>
    </row>
    <row r="2229" spans="1:18" ht="16" x14ac:dyDescent="0.2">
      <c r="A2229" s="130" t="s">
        <v>3909</v>
      </c>
      <c r="B2229" t="s">
        <v>458</v>
      </c>
      <c r="C2229" t="s">
        <v>1476</v>
      </c>
      <c r="D2229" t="s">
        <v>1477</v>
      </c>
      <c r="E2229" t="s">
        <v>1052</v>
      </c>
      <c r="F2229">
        <v>2</v>
      </c>
      <c r="G2229">
        <v>2</v>
      </c>
      <c r="H2229">
        <v>0.759686138965319</v>
      </c>
      <c r="I2229" t="s">
        <v>957</v>
      </c>
      <c r="J2229" t="s">
        <v>4807</v>
      </c>
      <c r="K2229">
        <v>7.1428571428571397E-2</v>
      </c>
      <c r="L2229" t="s">
        <v>959</v>
      </c>
      <c r="M2229">
        <v>2.1897810218978102</v>
      </c>
      <c r="N2229" t="s">
        <v>960</v>
      </c>
      <c r="O2229">
        <v>0</v>
      </c>
      <c r="P2229">
        <v>0</v>
      </c>
      <c r="Q2229">
        <v>0</v>
      </c>
      <c r="R2229">
        <v>0</v>
      </c>
    </row>
    <row r="2230" spans="1:18" ht="16" x14ac:dyDescent="0.2">
      <c r="A2230" s="130" t="s">
        <v>3909</v>
      </c>
      <c r="B2230" t="s">
        <v>458</v>
      </c>
      <c r="C2230" t="s">
        <v>1941</v>
      </c>
      <c r="D2230" t="s">
        <v>1942</v>
      </c>
      <c r="E2230" t="s">
        <v>1052</v>
      </c>
      <c r="F2230">
        <v>2</v>
      </c>
      <c r="G2230">
        <v>2</v>
      </c>
      <c r="H2230">
        <v>1.3898264892062999</v>
      </c>
      <c r="I2230" t="s">
        <v>957</v>
      </c>
      <c r="J2230" t="s">
        <v>4900</v>
      </c>
      <c r="K2230">
        <v>0.121428571428571</v>
      </c>
      <c r="L2230" t="s">
        <v>959</v>
      </c>
      <c r="M2230">
        <v>8.0291970802919703</v>
      </c>
      <c r="N2230" t="s">
        <v>960</v>
      </c>
      <c r="O2230">
        <v>0</v>
      </c>
      <c r="P2230">
        <v>0</v>
      </c>
      <c r="Q2230">
        <v>0</v>
      </c>
      <c r="R2230">
        <v>0</v>
      </c>
    </row>
    <row r="2231" spans="1:18" ht="16" x14ac:dyDescent="0.2">
      <c r="A2231" s="130" t="s">
        <v>3909</v>
      </c>
      <c r="B2231" t="s">
        <v>462</v>
      </c>
      <c r="C2231" t="s">
        <v>3370</v>
      </c>
      <c r="D2231" t="s">
        <v>3371</v>
      </c>
      <c r="E2231" t="s">
        <v>1052</v>
      </c>
      <c r="F2231">
        <v>2</v>
      </c>
      <c r="G2231">
        <v>2</v>
      </c>
      <c r="H2231">
        <v>2.30998694656035</v>
      </c>
      <c r="I2231" t="s">
        <v>957</v>
      </c>
      <c r="J2231" t="s">
        <v>4941</v>
      </c>
      <c r="K2231">
        <v>7.1428571428571397E-2</v>
      </c>
      <c r="L2231" t="s">
        <v>959</v>
      </c>
      <c r="M2231">
        <v>2.1897810218978102</v>
      </c>
      <c r="N2231" t="s">
        <v>960</v>
      </c>
      <c r="O2231">
        <v>0</v>
      </c>
      <c r="P2231">
        <v>0</v>
      </c>
      <c r="Q2231">
        <v>0</v>
      </c>
      <c r="R2231">
        <v>0</v>
      </c>
    </row>
    <row r="2232" spans="1:18" ht="16" x14ac:dyDescent="0.2">
      <c r="A2232" s="130" t="s">
        <v>3909</v>
      </c>
      <c r="B2232" t="s">
        <v>462</v>
      </c>
      <c r="C2232" t="s">
        <v>450</v>
      </c>
      <c r="D2232" t="s">
        <v>1456</v>
      </c>
      <c r="E2232">
        <v>2</v>
      </c>
      <c r="F2232">
        <v>2</v>
      </c>
      <c r="G2232">
        <v>1</v>
      </c>
      <c r="H2232">
        <v>1.4801624874252299</v>
      </c>
      <c r="I2232" t="s">
        <v>957</v>
      </c>
      <c r="J2232" t="s">
        <v>4529</v>
      </c>
      <c r="K2232">
        <v>4.2857142857142899E-2</v>
      </c>
      <c r="L2232" t="s">
        <v>959</v>
      </c>
      <c r="M2232">
        <v>4.3795620437956204</v>
      </c>
      <c r="N2232" t="s">
        <v>960</v>
      </c>
      <c r="O2232">
        <v>0</v>
      </c>
      <c r="P2232">
        <v>0</v>
      </c>
      <c r="Q2232">
        <v>0</v>
      </c>
      <c r="R2232">
        <v>0</v>
      </c>
    </row>
    <row r="2233" spans="1:18" ht="16" x14ac:dyDescent="0.2">
      <c r="A2233" s="130" t="s">
        <v>3909</v>
      </c>
      <c r="B2233" t="s">
        <v>462</v>
      </c>
      <c r="C2233" t="s">
        <v>2319</v>
      </c>
      <c r="D2233" t="s">
        <v>2320</v>
      </c>
      <c r="E2233">
        <v>3</v>
      </c>
      <c r="F2233">
        <v>3</v>
      </c>
      <c r="G2233">
        <v>1</v>
      </c>
      <c r="H2233">
        <v>3.0420277541913401</v>
      </c>
      <c r="I2233" t="s">
        <v>957</v>
      </c>
      <c r="J2233" t="s">
        <v>4805</v>
      </c>
      <c r="K2233">
        <v>0.157142857142857</v>
      </c>
      <c r="L2233" t="s">
        <v>959</v>
      </c>
      <c r="M2233">
        <v>2.9197080291970798</v>
      </c>
      <c r="N2233" t="s">
        <v>960</v>
      </c>
      <c r="O2233">
        <v>0</v>
      </c>
      <c r="P2233">
        <v>0</v>
      </c>
      <c r="Q2233">
        <v>0</v>
      </c>
      <c r="R2233">
        <v>0</v>
      </c>
    </row>
    <row r="2234" spans="1:18" ht="16" x14ac:dyDescent="0.2">
      <c r="A2234" s="130" t="s">
        <v>3909</v>
      </c>
      <c r="B2234" t="s">
        <v>462</v>
      </c>
      <c r="C2234" t="s">
        <v>1972</v>
      </c>
      <c r="D2234" t="s">
        <v>1973</v>
      </c>
      <c r="E2234">
        <v>3</v>
      </c>
      <c r="F2234">
        <v>3</v>
      </c>
      <c r="G2234">
        <v>1</v>
      </c>
      <c r="H2234">
        <v>3.2574981866963602</v>
      </c>
      <c r="I2234" t="s">
        <v>957</v>
      </c>
      <c r="J2234" t="s">
        <v>4853</v>
      </c>
      <c r="K2234">
        <v>8.5714285714285701E-2</v>
      </c>
      <c r="L2234" t="s">
        <v>959</v>
      </c>
      <c r="M2234">
        <v>2.9197080291970798</v>
      </c>
      <c r="N2234" t="s">
        <v>960</v>
      </c>
      <c r="O2234">
        <v>0</v>
      </c>
      <c r="P2234">
        <v>0</v>
      </c>
      <c r="Q2234">
        <v>0</v>
      </c>
      <c r="R2234">
        <v>0</v>
      </c>
    </row>
    <row r="2235" spans="1:18" ht="16" x14ac:dyDescent="0.2">
      <c r="A2235" s="130" t="s">
        <v>3909</v>
      </c>
      <c r="B2235" t="s">
        <v>466</v>
      </c>
      <c r="C2235" t="s">
        <v>1376</v>
      </c>
      <c r="D2235" t="s">
        <v>1377</v>
      </c>
      <c r="E2235" t="s">
        <v>1230</v>
      </c>
      <c r="F2235">
        <v>4</v>
      </c>
      <c r="G2235">
        <v>2</v>
      </c>
      <c r="H2235">
        <v>1.5868372593834299</v>
      </c>
      <c r="I2235" t="s">
        <v>957</v>
      </c>
      <c r="J2235" t="s">
        <v>4858</v>
      </c>
      <c r="K2235">
        <v>0.17142857142857101</v>
      </c>
      <c r="L2235" t="s">
        <v>959</v>
      </c>
      <c r="M2235">
        <v>9.4890510948905096</v>
      </c>
      <c r="N2235" t="s">
        <v>960</v>
      </c>
      <c r="O2235">
        <v>0</v>
      </c>
      <c r="P2235">
        <v>0</v>
      </c>
      <c r="Q2235">
        <v>0</v>
      </c>
      <c r="R2235">
        <v>0</v>
      </c>
    </row>
    <row r="2236" spans="1:18" ht="16" x14ac:dyDescent="0.2">
      <c r="A2236" s="130" t="s">
        <v>3909</v>
      </c>
      <c r="B2236" t="s">
        <v>466</v>
      </c>
      <c r="C2236" t="s">
        <v>983</v>
      </c>
      <c r="D2236" t="s">
        <v>984</v>
      </c>
      <c r="E2236" t="s">
        <v>1008</v>
      </c>
      <c r="F2236">
        <v>7</v>
      </c>
      <c r="G2236">
        <v>2</v>
      </c>
      <c r="H2236">
        <v>4.77124569613866</v>
      </c>
      <c r="I2236" t="s">
        <v>957</v>
      </c>
      <c r="J2236" t="s">
        <v>4677</v>
      </c>
      <c r="K2236">
        <v>0.34482758620689702</v>
      </c>
      <c r="L2236" t="s">
        <v>972</v>
      </c>
      <c r="M2236">
        <v>8.7591240875912408</v>
      </c>
      <c r="N2236" t="s">
        <v>973</v>
      </c>
      <c r="O2236">
        <v>0</v>
      </c>
      <c r="P2236">
        <v>0</v>
      </c>
      <c r="Q2236">
        <v>0</v>
      </c>
      <c r="R2236">
        <v>0</v>
      </c>
    </row>
    <row r="2237" spans="1:18" ht="16" x14ac:dyDescent="0.2">
      <c r="A2237" s="130" t="s">
        <v>3909</v>
      </c>
      <c r="B2237" t="s">
        <v>466</v>
      </c>
      <c r="C2237" t="s">
        <v>2777</v>
      </c>
      <c r="D2237" t="s">
        <v>2778</v>
      </c>
      <c r="E2237" t="s">
        <v>1052</v>
      </c>
      <c r="F2237">
        <v>2</v>
      </c>
      <c r="G2237">
        <v>2</v>
      </c>
      <c r="H2237">
        <v>3.56606410161561</v>
      </c>
      <c r="I2237" t="s">
        <v>957</v>
      </c>
      <c r="J2237" t="s">
        <v>4502</v>
      </c>
      <c r="K2237">
        <v>0.15</v>
      </c>
      <c r="L2237" t="s">
        <v>959</v>
      </c>
      <c r="M2237">
        <v>2.1897810218978102</v>
      </c>
      <c r="N2237" t="s">
        <v>960</v>
      </c>
      <c r="O2237">
        <v>0</v>
      </c>
      <c r="P2237">
        <v>0</v>
      </c>
      <c r="Q2237">
        <v>0</v>
      </c>
      <c r="R2237" t="s">
        <v>5019</v>
      </c>
    </row>
    <row r="2238" spans="1:18" ht="16" x14ac:dyDescent="0.2">
      <c r="A2238" s="130" t="s">
        <v>3909</v>
      </c>
      <c r="B2238" t="s">
        <v>466</v>
      </c>
      <c r="C2238" t="s">
        <v>2316</v>
      </c>
      <c r="D2238" t="s">
        <v>2317</v>
      </c>
      <c r="E2238" t="s">
        <v>1400</v>
      </c>
      <c r="F2238">
        <v>4</v>
      </c>
      <c r="G2238">
        <v>4</v>
      </c>
      <c r="H2238">
        <v>3.20665868530922</v>
      </c>
      <c r="I2238" t="s">
        <v>957</v>
      </c>
      <c r="J2238" t="s">
        <v>4512</v>
      </c>
      <c r="K2238">
        <v>0.192857142857143</v>
      </c>
      <c r="L2238" t="s">
        <v>959</v>
      </c>
      <c r="M2238">
        <v>8.7591240875912408</v>
      </c>
      <c r="N2238" t="s">
        <v>960</v>
      </c>
      <c r="O2238">
        <v>0</v>
      </c>
      <c r="P2238">
        <v>0</v>
      </c>
      <c r="Q2238">
        <v>0</v>
      </c>
      <c r="R2238">
        <v>0</v>
      </c>
    </row>
    <row r="2239" spans="1:18" ht="16" x14ac:dyDescent="0.2">
      <c r="A2239" s="130" t="s">
        <v>3909</v>
      </c>
      <c r="B2239" t="s">
        <v>466</v>
      </c>
      <c r="C2239" t="s">
        <v>3765</v>
      </c>
      <c r="D2239" t="s">
        <v>3766</v>
      </c>
      <c r="E2239" t="s">
        <v>1052</v>
      </c>
      <c r="F2239">
        <v>2</v>
      </c>
      <c r="G2239">
        <v>2</v>
      </c>
      <c r="H2239">
        <v>2.5090509734887401</v>
      </c>
      <c r="I2239" t="s">
        <v>957</v>
      </c>
      <c r="J2239" t="s">
        <v>4100</v>
      </c>
      <c r="K2239">
        <v>0.2</v>
      </c>
      <c r="L2239" t="s">
        <v>959</v>
      </c>
      <c r="M2239">
        <v>6.5693430656934302</v>
      </c>
      <c r="N2239" t="s">
        <v>960</v>
      </c>
      <c r="O2239">
        <v>0</v>
      </c>
      <c r="P2239">
        <v>0</v>
      </c>
      <c r="Q2239">
        <v>0</v>
      </c>
      <c r="R2239">
        <v>0</v>
      </c>
    </row>
    <row r="2240" spans="1:18" ht="16" x14ac:dyDescent="0.2">
      <c r="A2240" s="130" t="s">
        <v>3909</v>
      </c>
      <c r="B2240" t="s">
        <v>466</v>
      </c>
      <c r="C2240" t="s">
        <v>1324</v>
      </c>
      <c r="E2240" t="s">
        <v>1039</v>
      </c>
      <c r="F2240">
        <v>3</v>
      </c>
      <c r="G2240">
        <v>2</v>
      </c>
      <c r="H2240">
        <v>1.9813175369994001</v>
      </c>
      <c r="I2240" t="s">
        <v>957</v>
      </c>
      <c r="J2240" t="s">
        <v>4592</v>
      </c>
      <c r="K2240">
        <v>0.121428571428571</v>
      </c>
      <c r="L2240" t="s">
        <v>959</v>
      </c>
      <c r="M2240">
        <v>5.8394160583941597</v>
      </c>
      <c r="N2240" t="s">
        <v>960</v>
      </c>
      <c r="O2240">
        <v>0</v>
      </c>
      <c r="P2240">
        <v>0</v>
      </c>
      <c r="Q2240">
        <v>0</v>
      </c>
      <c r="R2240" t="s">
        <v>5019</v>
      </c>
    </row>
    <row r="2241" spans="1:18" ht="16" x14ac:dyDescent="0.2">
      <c r="A2241" s="130" t="s">
        <v>3909</v>
      </c>
      <c r="B2241" t="s">
        <v>466</v>
      </c>
      <c r="C2241" t="s">
        <v>4773</v>
      </c>
      <c r="D2241" t="s">
        <v>4774</v>
      </c>
      <c r="E2241" t="s">
        <v>1052</v>
      </c>
      <c r="F2241">
        <v>2</v>
      </c>
      <c r="G2241">
        <v>2</v>
      </c>
      <c r="H2241">
        <v>3.2504118770160702</v>
      </c>
      <c r="I2241" t="s">
        <v>957</v>
      </c>
      <c r="J2241" t="s">
        <v>4857</v>
      </c>
      <c r="K2241">
        <v>0.107142857142857</v>
      </c>
      <c r="L2241" t="s">
        <v>959</v>
      </c>
      <c r="M2241">
        <v>2.1897810218978102</v>
      </c>
      <c r="N2241" t="s">
        <v>960</v>
      </c>
      <c r="O2241">
        <v>0</v>
      </c>
      <c r="P2241">
        <v>0</v>
      </c>
      <c r="Q2241">
        <v>0</v>
      </c>
      <c r="R2241">
        <v>0</v>
      </c>
    </row>
    <row r="2242" spans="1:18" ht="16" x14ac:dyDescent="0.2">
      <c r="A2242" s="130" t="s">
        <v>3909</v>
      </c>
      <c r="B2242" t="s">
        <v>466</v>
      </c>
      <c r="C2242" t="s">
        <v>1054</v>
      </c>
      <c r="D2242" t="s">
        <v>3928</v>
      </c>
      <c r="E2242" t="s">
        <v>4822</v>
      </c>
      <c r="F2242">
        <v>47</v>
      </c>
      <c r="G2242">
        <v>2</v>
      </c>
      <c r="H2242">
        <v>2.70797473330274</v>
      </c>
      <c r="I2242" t="s">
        <v>957</v>
      </c>
      <c r="J2242" t="s">
        <v>4823</v>
      </c>
      <c r="K2242">
        <v>0.37931034482758602</v>
      </c>
      <c r="L2242" t="s">
        <v>972</v>
      </c>
      <c r="M2242">
        <v>5.10948905109489</v>
      </c>
      <c r="N2242" t="s">
        <v>973</v>
      </c>
      <c r="O2242">
        <v>0</v>
      </c>
      <c r="P2242">
        <v>0</v>
      </c>
      <c r="Q2242">
        <v>0</v>
      </c>
      <c r="R2242">
        <v>0</v>
      </c>
    </row>
    <row r="2243" spans="1:18" ht="16" x14ac:dyDescent="0.2">
      <c r="A2243" s="130" t="s">
        <v>3909</v>
      </c>
      <c r="B2243" t="s">
        <v>466</v>
      </c>
      <c r="C2243" t="s">
        <v>3755</v>
      </c>
      <c r="D2243" t="s">
        <v>3756</v>
      </c>
      <c r="E2243" t="s">
        <v>4953</v>
      </c>
      <c r="F2243">
        <v>20</v>
      </c>
      <c r="G2243">
        <v>2</v>
      </c>
      <c r="H2243">
        <v>0.83090320781909199</v>
      </c>
      <c r="I2243" t="s">
        <v>957</v>
      </c>
      <c r="J2243" t="s">
        <v>4308</v>
      </c>
      <c r="K2243">
        <v>0.37931034482758602</v>
      </c>
      <c r="L2243" t="s">
        <v>972</v>
      </c>
      <c r="M2243">
        <v>5.10948905109489</v>
      </c>
      <c r="N2243" t="s">
        <v>973</v>
      </c>
      <c r="O2243">
        <v>0</v>
      </c>
      <c r="P2243">
        <v>0</v>
      </c>
      <c r="Q2243">
        <v>0</v>
      </c>
      <c r="R2243">
        <v>0</v>
      </c>
    </row>
    <row r="2244" spans="1:18" ht="16" x14ac:dyDescent="0.2">
      <c r="A2244" s="130" t="s">
        <v>3909</v>
      </c>
      <c r="B2244" t="s">
        <v>466</v>
      </c>
      <c r="C2244" t="s">
        <v>2468</v>
      </c>
      <c r="D2244" t="s">
        <v>2469</v>
      </c>
      <c r="E2244" t="s">
        <v>1052</v>
      </c>
      <c r="F2244">
        <v>2</v>
      </c>
      <c r="G2244">
        <v>2</v>
      </c>
      <c r="H2244">
        <v>2.9934194552387998</v>
      </c>
      <c r="I2244" t="s">
        <v>957</v>
      </c>
      <c r="J2244" t="s">
        <v>4458</v>
      </c>
      <c r="K2244">
        <v>0.114285714285714</v>
      </c>
      <c r="L2244" t="s">
        <v>959</v>
      </c>
      <c r="M2244">
        <v>1.4598540145985399</v>
      </c>
      <c r="N2244" t="s">
        <v>960</v>
      </c>
      <c r="O2244">
        <v>0</v>
      </c>
      <c r="P2244">
        <v>0</v>
      </c>
      <c r="Q2244">
        <v>0</v>
      </c>
      <c r="R2244">
        <v>0</v>
      </c>
    </row>
    <row r="2245" spans="1:18" ht="16" x14ac:dyDescent="0.2">
      <c r="A2245" s="130" t="s">
        <v>3909</v>
      </c>
      <c r="B2245" t="s">
        <v>466</v>
      </c>
      <c r="C2245" t="s">
        <v>1332</v>
      </c>
      <c r="D2245" t="s">
        <v>1333</v>
      </c>
      <c r="E2245" t="s">
        <v>1022</v>
      </c>
      <c r="F2245">
        <v>3</v>
      </c>
      <c r="G2245">
        <v>2</v>
      </c>
      <c r="H2245">
        <v>1.8162567149733599</v>
      </c>
      <c r="I2245" t="s">
        <v>957</v>
      </c>
      <c r="J2245" t="s">
        <v>4137</v>
      </c>
      <c r="K2245">
        <v>0.114285714285714</v>
      </c>
      <c r="L2245" t="s">
        <v>959</v>
      </c>
      <c r="M2245">
        <v>9.4890510948905096</v>
      </c>
      <c r="N2245" t="s">
        <v>960</v>
      </c>
      <c r="O2245">
        <v>0</v>
      </c>
      <c r="P2245">
        <v>0</v>
      </c>
      <c r="Q2245">
        <v>0</v>
      </c>
      <c r="R2245">
        <v>0</v>
      </c>
    </row>
    <row r="2246" spans="1:18" ht="16" x14ac:dyDescent="0.2">
      <c r="A2246" s="130" t="s">
        <v>3909</v>
      </c>
      <c r="B2246" t="s">
        <v>466</v>
      </c>
      <c r="C2246" t="s">
        <v>3925</v>
      </c>
      <c r="D2246" t="s">
        <v>3926</v>
      </c>
      <c r="E2246" t="s">
        <v>1052</v>
      </c>
      <c r="F2246">
        <v>2</v>
      </c>
      <c r="G2246">
        <v>2</v>
      </c>
      <c r="H2246">
        <v>2.4339452138987498</v>
      </c>
      <c r="I2246" t="s">
        <v>957</v>
      </c>
      <c r="J2246" t="s">
        <v>4719</v>
      </c>
      <c r="K2246">
        <v>0.157142857142857</v>
      </c>
      <c r="L2246" t="s">
        <v>959</v>
      </c>
      <c r="M2246">
        <v>8.0291970802919703</v>
      </c>
      <c r="N2246" t="s">
        <v>960</v>
      </c>
      <c r="O2246">
        <v>0</v>
      </c>
      <c r="P2246">
        <v>0</v>
      </c>
      <c r="Q2246">
        <v>0</v>
      </c>
      <c r="R2246">
        <v>0</v>
      </c>
    </row>
    <row r="2247" spans="1:18" ht="16" x14ac:dyDescent="0.2">
      <c r="A2247" s="130" t="s">
        <v>3909</v>
      </c>
      <c r="B2247" t="s">
        <v>466</v>
      </c>
      <c r="C2247" t="s">
        <v>3313</v>
      </c>
      <c r="D2247" t="s">
        <v>3314</v>
      </c>
      <c r="E2247" t="s">
        <v>1052</v>
      </c>
      <c r="F2247">
        <v>2</v>
      </c>
      <c r="G2247">
        <v>2</v>
      </c>
      <c r="H2247">
        <v>3.3579458048488</v>
      </c>
      <c r="I2247" t="s">
        <v>957</v>
      </c>
      <c r="J2247" t="s">
        <v>4336</v>
      </c>
      <c r="K2247">
        <v>0.15</v>
      </c>
      <c r="L2247" t="s">
        <v>959</v>
      </c>
      <c r="M2247">
        <v>1.4598540145985399</v>
      </c>
      <c r="N2247" t="s">
        <v>960</v>
      </c>
      <c r="O2247">
        <v>0</v>
      </c>
      <c r="P2247">
        <v>0</v>
      </c>
      <c r="Q2247">
        <v>0</v>
      </c>
      <c r="R2247">
        <v>0</v>
      </c>
    </row>
    <row r="2248" spans="1:18" ht="16" x14ac:dyDescent="0.2">
      <c r="A2248" s="130" t="s">
        <v>3909</v>
      </c>
      <c r="B2248" t="s">
        <v>466</v>
      </c>
      <c r="C2248" t="s">
        <v>4262</v>
      </c>
      <c r="D2248" t="s">
        <v>4263</v>
      </c>
      <c r="E2248" t="s">
        <v>4284</v>
      </c>
      <c r="F2248">
        <v>26</v>
      </c>
      <c r="G2248">
        <v>2</v>
      </c>
      <c r="H2248">
        <v>1.1530837062909201</v>
      </c>
      <c r="I2248" t="s">
        <v>957</v>
      </c>
      <c r="J2248" t="s">
        <v>4285</v>
      </c>
      <c r="K2248">
        <v>0.55172413793103403</v>
      </c>
      <c r="L2248" t="s">
        <v>972</v>
      </c>
      <c r="M2248">
        <v>5.8394160583941597</v>
      </c>
      <c r="N2248" t="s">
        <v>973</v>
      </c>
      <c r="O2248">
        <v>0</v>
      </c>
      <c r="P2248">
        <v>0</v>
      </c>
      <c r="Q2248">
        <v>0</v>
      </c>
      <c r="R2248">
        <v>0</v>
      </c>
    </row>
    <row r="2249" spans="1:18" ht="16" x14ac:dyDescent="0.2">
      <c r="A2249" s="130" t="s">
        <v>3909</v>
      </c>
      <c r="B2249" t="s">
        <v>470</v>
      </c>
      <c r="C2249" t="s">
        <v>2342</v>
      </c>
      <c r="D2249" t="s">
        <v>2343</v>
      </c>
      <c r="E2249" t="s">
        <v>1039</v>
      </c>
      <c r="F2249">
        <v>3</v>
      </c>
      <c r="G2249">
        <v>2</v>
      </c>
      <c r="H2249">
        <v>3.2849370869707499</v>
      </c>
      <c r="I2249" t="s">
        <v>957</v>
      </c>
      <c r="J2249" t="s">
        <v>4801</v>
      </c>
      <c r="K2249">
        <v>8.5714285714285701E-2</v>
      </c>
      <c r="L2249" t="s">
        <v>959</v>
      </c>
      <c r="M2249">
        <v>1.4598540145985399</v>
      </c>
      <c r="N2249" t="s">
        <v>960</v>
      </c>
      <c r="O2249">
        <v>0</v>
      </c>
      <c r="P2249">
        <v>0</v>
      </c>
      <c r="Q2249">
        <v>0</v>
      </c>
      <c r="R2249">
        <v>0</v>
      </c>
    </row>
    <row r="2250" spans="1:18" ht="16" x14ac:dyDescent="0.2">
      <c r="A2250" s="130" t="s">
        <v>3909</v>
      </c>
      <c r="B2250" t="s">
        <v>470</v>
      </c>
      <c r="C2250" t="s">
        <v>2088</v>
      </c>
      <c r="D2250" t="s">
        <v>2089</v>
      </c>
      <c r="E2250">
        <v>3</v>
      </c>
      <c r="F2250">
        <v>3</v>
      </c>
      <c r="G2250">
        <v>1</v>
      </c>
      <c r="H2250">
        <v>2.9356778445799798</v>
      </c>
      <c r="I2250" t="s">
        <v>957</v>
      </c>
      <c r="J2250" t="s">
        <v>4143</v>
      </c>
      <c r="K2250">
        <v>7.8571428571428598E-2</v>
      </c>
      <c r="L2250" t="s">
        <v>959</v>
      </c>
      <c r="M2250">
        <v>5.8394160583941597</v>
      </c>
      <c r="N2250" t="s">
        <v>960</v>
      </c>
      <c r="O2250">
        <v>0</v>
      </c>
      <c r="P2250">
        <v>0</v>
      </c>
      <c r="Q2250">
        <v>0</v>
      </c>
      <c r="R2250">
        <v>0</v>
      </c>
    </row>
    <row r="2251" spans="1:18" ht="16" x14ac:dyDescent="0.2">
      <c r="A2251" s="130" t="s">
        <v>3909</v>
      </c>
      <c r="B2251" t="s">
        <v>470</v>
      </c>
      <c r="C2251" t="s">
        <v>3305</v>
      </c>
      <c r="D2251" t="s">
        <v>3306</v>
      </c>
      <c r="E2251">
        <v>3</v>
      </c>
      <c r="F2251">
        <v>3</v>
      </c>
      <c r="G2251">
        <v>1</v>
      </c>
      <c r="H2251">
        <v>1.67794826961122</v>
      </c>
      <c r="I2251" t="s">
        <v>957</v>
      </c>
      <c r="J2251" t="s">
        <v>3307</v>
      </c>
      <c r="K2251">
        <v>0.16428571428571401</v>
      </c>
      <c r="L2251" t="s">
        <v>959</v>
      </c>
      <c r="M2251">
        <v>8.7591240875912408</v>
      </c>
      <c r="N2251" t="s">
        <v>960</v>
      </c>
      <c r="O2251">
        <v>0</v>
      </c>
      <c r="P2251">
        <v>0</v>
      </c>
      <c r="Q2251">
        <v>0</v>
      </c>
      <c r="R2251">
        <v>0</v>
      </c>
    </row>
    <row r="2252" spans="1:18" ht="16" x14ac:dyDescent="0.2">
      <c r="A2252" s="130" t="s">
        <v>3909</v>
      </c>
      <c r="B2252" t="s">
        <v>470</v>
      </c>
      <c r="C2252" t="s">
        <v>1607</v>
      </c>
      <c r="D2252" t="s">
        <v>1608</v>
      </c>
      <c r="E2252" t="s">
        <v>1052</v>
      </c>
      <c r="F2252">
        <v>2</v>
      </c>
      <c r="G2252">
        <v>2</v>
      </c>
      <c r="H2252">
        <v>2.5135202788755699</v>
      </c>
      <c r="I2252" t="s">
        <v>957</v>
      </c>
      <c r="J2252" t="s">
        <v>4692</v>
      </c>
      <c r="K2252">
        <v>7.8571428571428598E-2</v>
      </c>
      <c r="L2252" t="s">
        <v>959</v>
      </c>
      <c r="M2252">
        <v>2.1897810218978102</v>
      </c>
      <c r="N2252" t="s">
        <v>960</v>
      </c>
      <c r="O2252">
        <v>0</v>
      </c>
      <c r="P2252">
        <v>0</v>
      </c>
      <c r="Q2252">
        <v>0</v>
      </c>
      <c r="R2252">
        <v>0</v>
      </c>
    </row>
    <row r="2253" spans="1:18" ht="16" x14ac:dyDescent="0.2">
      <c r="A2253" s="130" t="s">
        <v>3909</v>
      </c>
      <c r="B2253" t="s">
        <v>470</v>
      </c>
      <c r="C2253" t="s">
        <v>2821</v>
      </c>
      <c r="D2253" t="s">
        <v>2822</v>
      </c>
      <c r="E2253" t="s">
        <v>1102</v>
      </c>
      <c r="F2253">
        <v>4</v>
      </c>
      <c r="G2253">
        <v>2</v>
      </c>
      <c r="H2253">
        <v>3.0236547945626402</v>
      </c>
      <c r="I2253" t="s">
        <v>957</v>
      </c>
      <c r="J2253" t="s">
        <v>4752</v>
      </c>
      <c r="K2253">
        <v>0.157142857142857</v>
      </c>
      <c r="L2253" t="s">
        <v>959</v>
      </c>
      <c r="M2253">
        <v>6.5693430656934302</v>
      </c>
      <c r="N2253" t="s">
        <v>960</v>
      </c>
      <c r="O2253">
        <v>0</v>
      </c>
      <c r="P2253">
        <v>0</v>
      </c>
      <c r="Q2253">
        <v>0</v>
      </c>
      <c r="R2253">
        <v>0</v>
      </c>
    </row>
    <row r="2254" spans="1:18" ht="16" x14ac:dyDescent="0.2">
      <c r="A2254" s="130" t="s">
        <v>3909</v>
      </c>
      <c r="B2254" t="s">
        <v>470</v>
      </c>
      <c r="C2254" t="s">
        <v>3830</v>
      </c>
      <c r="D2254" t="s">
        <v>3831</v>
      </c>
      <c r="E2254" t="s">
        <v>1442</v>
      </c>
      <c r="F2254">
        <v>5</v>
      </c>
      <c r="G2254">
        <v>2</v>
      </c>
      <c r="H2254">
        <v>2.81306473411238</v>
      </c>
      <c r="I2254" t="s">
        <v>957</v>
      </c>
      <c r="J2254" t="s">
        <v>4027</v>
      </c>
      <c r="K2254">
        <v>0.17142857142857101</v>
      </c>
      <c r="L2254" t="s">
        <v>959</v>
      </c>
      <c r="M2254">
        <v>8.7591240875912408</v>
      </c>
      <c r="N2254" t="s">
        <v>960</v>
      </c>
      <c r="O2254">
        <v>0</v>
      </c>
      <c r="P2254">
        <v>0</v>
      </c>
      <c r="Q2254">
        <v>0</v>
      </c>
      <c r="R2254">
        <v>0</v>
      </c>
    </row>
    <row r="2255" spans="1:18" ht="16" x14ac:dyDescent="0.2">
      <c r="A2255" s="130" t="s">
        <v>3909</v>
      </c>
      <c r="B2255" t="s">
        <v>470</v>
      </c>
      <c r="C2255" t="s">
        <v>2464</v>
      </c>
      <c r="D2255" t="s">
        <v>2465</v>
      </c>
      <c r="E2255">
        <v>3</v>
      </c>
      <c r="F2255">
        <v>3</v>
      </c>
      <c r="G2255">
        <v>1</v>
      </c>
      <c r="H2255">
        <v>1.2165799426761299</v>
      </c>
      <c r="I2255" t="s">
        <v>957</v>
      </c>
      <c r="J2255" t="s">
        <v>4548</v>
      </c>
      <c r="K2255">
        <v>0.16428571428571401</v>
      </c>
      <c r="L2255" t="s">
        <v>959</v>
      </c>
      <c r="M2255">
        <v>6.5693430656934302</v>
      </c>
      <c r="N2255" t="s">
        <v>960</v>
      </c>
      <c r="O2255">
        <v>0</v>
      </c>
      <c r="P2255">
        <v>0</v>
      </c>
      <c r="Q2255">
        <v>0</v>
      </c>
      <c r="R2255">
        <v>0</v>
      </c>
    </row>
    <row r="2256" spans="1:18" ht="16" x14ac:dyDescent="0.2">
      <c r="A2256" s="130" t="s">
        <v>3909</v>
      </c>
      <c r="B2256" t="s">
        <v>470</v>
      </c>
      <c r="C2256" t="s">
        <v>2749</v>
      </c>
      <c r="D2256" t="s">
        <v>2750</v>
      </c>
      <c r="E2256" t="s">
        <v>1039</v>
      </c>
      <c r="F2256">
        <v>3</v>
      </c>
      <c r="G2256">
        <v>2</v>
      </c>
      <c r="H2256">
        <v>2.3864098029198701</v>
      </c>
      <c r="I2256" t="s">
        <v>957</v>
      </c>
      <c r="J2256" t="s">
        <v>4604</v>
      </c>
      <c r="K2256">
        <v>0.128571428571429</v>
      </c>
      <c r="L2256" t="s">
        <v>959</v>
      </c>
      <c r="M2256">
        <v>6.5693430656934302</v>
      </c>
      <c r="N2256" t="s">
        <v>960</v>
      </c>
      <c r="O2256">
        <v>0</v>
      </c>
      <c r="P2256">
        <v>0</v>
      </c>
      <c r="Q2256">
        <v>0</v>
      </c>
      <c r="R2256">
        <v>0</v>
      </c>
    </row>
    <row r="2257" spans="1:18" ht="16" x14ac:dyDescent="0.2">
      <c r="A2257" s="130" t="s">
        <v>3909</v>
      </c>
      <c r="B2257" t="s">
        <v>470</v>
      </c>
      <c r="C2257" t="s">
        <v>2378</v>
      </c>
      <c r="D2257" t="s">
        <v>2379</v>
      </c>
      <c r="E2257" t="s">
        <v>1052</v>
      </c>
      <c r="F2257">
        <v>2</v>
      </c>
      <c r="G2257">
        <v>2</v>
      </c>
      <c r="H2257">
        <v>3.04266681511778</v>
      </c>
      <c r="I2257" t="s">
        <v>957</v>
      </c>
      <c r="J2257" t="s">
        <v>4136</v>
      </c>
      <c r="K2257">
        <v>7.8571428571428598E-2</v>
      </c>
      <c r="L2257" t="s">
        <v>959</v>
      </c>
      <c r="M2257">
        <v>2.1897810218978102</v>
      </c>
      <c r="N2257" t="s">
        <v>960</v>
      </c>
      <c r="O2257">
        <v>0</v>
      </c>
      <c r="P2257" t="s">
        <v>5018</v>
      </c>
      <c r="Q2257">
        <v>0</v>
      </c>
      <c r="R2257">
        <v>0</v>
      </c>
    </row>
    <row r="2258" spans="1:18" ht="16" x14ac:dyDescent="0.2">
      <c r="A2258" s="130" t="s">
        <v>3909</v>
      </c>
      <c r="B2258" t="s">
        <v>470</v>
      </c>
      <c r="C2258" t="s">
        <v>2091</v>
      </c>
      <c r="D2258" t="s">
        <v>2092</v>
      </c>
      <c r="E2258">
        <v>4</v>
      </c>
      <c r="F2258">
        <v>4</v>
      </c>
      <c r="G2258">
        <v>1</v>
      </c>
      <c r="H2258">
        <v>3.8002282059560799</v>
      </c>
      <c r="I2258" t="s">
        <v>957</v>
      </c>
      <c r="J2258" t="s">
        <v>4022</v>
      </c>
      <c r="K2258">
        <v>0.14285714285714299</v>
      </c>
      <c r="L2258" t="s">
        <v>959</v>
      </c>
      <c r="M2258">
        <v>6.5693430656934302</v>
      </c>
      <c r="N2258" t="s">
        <v>960</v>
      </c>
      <c r="O2258">
        <v>0</v>
      </c>
      <c r="P2258">
        <v>0</v>
      </c>
      <c r="Q2258">
        <v>0</v>
      </c>
      <c r="R2258">
        <v>0</v>
      </c>
    </row>
    <row r="2259" spans="1:18" ht="16" x14ac:dyDescent="0.2">
      <c r="A2259" s="130" t="s">
        <v>3909</v>
      </c>
      <c r="B2259" t="s">
        <v>474</v>
      </c>
      <c r="C2259" t="s">
        <v>1581</v>
      </c>
      <c r="D2259" t="s">
        <v>1582</v>
      </c>
      <c r="E2259">
        <v>3</v>
      </c>
      <c r="F2259">
        <v>3</v>
      </c>
      <c r="G2259">
        <v>1</v>
      </c>
      <c r="H2259">
        <v>3.6634855726209699</v>
      </c>
      <c r="I2259" t="s">
        <v>957</v>
      </c>
      <c r="J2259" t="s">
        <v>4221</v>
      </c>
      <c r="K2259">
        <v>0.107142857142857</v>
      </c>
      <c r="L2259" t="s">
        <v>959</v>
      </c>
      <c r="M2259">
        <v>5.10948905109489</v>
      </c>
      <c r="N2259" t="s">
        <v>2505</v>
      </c>
      <c r="O2259">
        <v>0</v>
      </c>
      <c r="P2259">
        <v>0</v>
      </c>
      <c r="Q2259">
        <v>0</v>
      </c>
      <c r="R2259">
        <v>0</v>
      </c>
    </row>
    <row r="2260" spans="1:18" ht="16" x14ac:dyDescent="0.2">
      <c r="A2260" s="130" t="s">
        <v>3909</v>
      </c>
      <c r="B2260" t="s">
        <v>474</v>
      </c>
      <c r="C2260" t="s">
        <v>3697</v>
      </c>
      <c r="D2260" t="s">
        <v>3698</v>
      </c>
      <c r="E2260" t="s">
        <v>1052</v>
      </c>
      <c r="F2260">
        <v>2</v>
      </c>
      <c r="G2260">
        <v>2</v>
      </c>
      <c r="H2260">
        <v>1.7768379004835499</v>
      </c>
      <c r="I2260" t="s">
        <v>957</v>
      </c>
      <c r="J2260" t="s">
        <v>4615</v>
      </c>
      <c r="K2260">
        <v>0.192857142857143</v>
      </c>
      <c r="L2260" t="s">
        <v>959</v>
      </c>
      <c r="M2260">
        <v>5.10948905109489</v>
      </c>
      <c r="N2260" t="s">
        <v>960</v>
      </c>
      <c r="O2260">
        <v>0</v>
      </c>
      <c r="P2260">
        <v>0</v>
      </c>
      <c r="Q2260">
        <v>0</v>
      </c>
      <c r="R2260">
        <v>0</v>
      </c>
    </row>
    <row r="2261" spans="1:18" ht="16" x14ac:dyDescent="0.2">
      <c r="A2261" s="130" t="s">
        <v>3909</v>
      </c>
      <c r="B2261" t="s">
        <v>474</v>
      </c>
      <c r="C2261" t="s">
        <v>1391</v>
      </c>
      <c r="D2261" t="s">
        <v>1392</v>
      </c>
      <c r="E2261">
        <v>3</v>
      </c>
      <c r="F2261">
        <v>3</v>
      </c>
      <c r="G2261">
        <v>1</v>
      </c>
      <c r="H2261">
        <v>1.19075003798451</v>
      </c>
      <c r="I2261" t="s">
        <v>957</v>
      </c>
      <c r="J2261" t="s">
        <v>4730</v>
      </c>
      <c r="K2261">
        <v>0.14285714285714299</v>
      </c>
      <c r="L2261" t="s">
        <v>959</v>
      </c>
      <c r="M2261">
        <v>5.10948905109489</v>
      </c>
      <c r="N2261" t="s">
        <v>2505</v>
      </c>
      <c r="O2261">
        <v>0</v>
      </c>
      <c r="P2261">
        <v>0</v>
      </c>
      <c r="Q2261">
        <v>0</v>
      </c>
      <c r="R2261">
        <v>0</v>
      </c>
    </row>
    <row r="2262" spans="1:18" ht="16" x14ac:dyDescent="0.2">
      <c r="A2262" s="130" t="s">
        <v>3909</v>
      </c>
      <c r="B2262" t="s">
        <v>474</v>
      </c>
      <c r="C2262" t="s">
        <v>3653</v>
      </c>
      <c r="D2262" t="s">
        <v>3654</v>
      </c>
      <c r="E2262" t="s">
        <v>1052</v>
      </c>
      <c r="F2262">
        <v>2</v>
      </c>
      <c r="G2262">
        <v>2</v>
      </c>
      <c r="H2262">
        <v>1.67825811380076</v>
      </c>
      <c r="I2262" t="s">
        <v>957</v>
      </c>
      <c r="J2262" t="s">
        <v>3655</v>
      </c>
      <c r="K2262">
        <v>0.114285714285714</v>
      </c>
      <c r="L2262" t="s">
        <v>959</v>
      </c>
      <c r="M2262">
        <v>2.9197080291970798</v>
      </c>
      <c r="N2262" t="s">
        <v>960</v>
      </c>
      <c r="O2262">
        <v>0</v>
      </c>
      <c r="P2262">
        <v>0</v>
      </c>
      <c r="Q2262">
        <v>0</v>
      </c>
      <c r="R2262">
        <v>0</v>
      </c>
    </row>
    <row r="2263" spans="1:18" ht="16" x14ac:dyDescent="0.2">
      <c r="A2263" s="130" t="s">
        <v>3909</v>
      </c>
      <c r="B2263" t="s">
        <v>474</v>
      </c>
      <c r="C2263" t="s">
        <v>2245</v>
      </c>
      <c r="D2263" t="s">
        <v>2246</v>
      </c>
      <c r="E2263">
        <v>3</v>
      </c>
      <c r="F2263">
        <v>3</v>
      </c>
      <c r="G2263">
        <v>1</v>
      </c>
      <c r="H2263">
        <v>2.9060072922344098</v>
      </c>
      <c r="I2263" t="s">
        <v>957</v>
      </c>
      <c r="J2263" t="s">
        <v>4654</v>
      </c>
      <c r="K2263">
        <v>0.16428571428571401</v>
      </c>
      <c r="L2263" t="s">
        <v>959</v>
      </c>
      <c r="M2263">
        <v>5.8394160583941597</v>
      </c>
      <c r="N2263" t="s">
        <v>2505</v>
      </c>
      <c r="O2263">
        <v>0</v>
      </c>
      <c r="P2263">
        <v>0</v>
      </c>
      <c r="Q2263">
        <v>0</v>
      </c>
      <c r="R2263">
        <v>0</v>
      </c>
    </row>
    <row r="2264" spans="1:18" ht="16" x14ac:dyDescent="0.2">
      <c r="A2264" s="130" t="s">
        <v>3909</v>
      </c>
      <c r="B2264" t="s">
        <v>474</v>
      </c>
      <c r="C2264" t="s">
        <v>2832</v>
      </c>
      <c r="D2264" t="s">
        <v>2833</v>
      </c>
      <c r="E2264">
        <v>4</v>
      </c>
      <c r="F2264">
        <v>4</v>
      </c>
      <c r="G2264">
        <v>1</v>
      </c>
      <c r="H2264">
        <v>3.9984081938044298</v>
      </c>
      <c r="I2264" t="s">
        <v>957</v>
      </c>
      <c r="J2264" t="s">
        <v>3977</v>
      </c>
      <c r="K2264">
        <v>0.15</v>
      </c>
      <c r="L2264" t="s">
        <v>959</v>
      </c>
      <c r="M2264">
        <v>4.3795620437956204</v>
      </c>
      <c r="N2264" t="s">
        <v>2505</v>
      </c>
      <c r="O2264">
        <v>0</v>
      </c>
      <c r="P2264">
        <v>0</v>
      </c>
      <c r="Q2264">
        <v>0</v>
      </c>
      <c r="R2264">
        <v>0</v>
      </c>
    </row>
    <row r="2265" spans="1:18" ht="16" x14ac:dyDescent="0.2">
      <c r="A2265" s="130" t="s">
        <v>3909</v>
      </c>
      <c r="B2265" t="s">
        <v>474</v>
      </c>
      <c r="C2265" t="s">
        <v>450</v>
      </c>
      <c r="D2265" t="s">
        <v>1456</v>
      </c>
      <c r="E2265">
        <v>2</v>
      </c>
      <c r="F2265">
        <v>2</v>
      </c>
      <c r="G2265">
        <v>1</v>
      </c>
      <c r="H2265">
        <v>1.4801624874252299</v>
      </c>
      <c r="I2265" t="s">
        <v>957</v>
      </c>
      <c r="J2265" t="s">
        <v>4529</v>
      </c>
      <c r="K2265">
        <v>4.2857142857142899E-2</v>
      </c>
      <c r="L2265" t="s">
        <v>959</v>
      </c>
      <c r="M2265">
        <v>4.3795620437956204</v>
      </c>
      <c r="N2265" t="s">
        <v>960</v>
      </c>
      <c r="O2265">
        <v>0</v>
      </c>
      <c r="P2265">
        <v>0</v>
      </c>
      <c r="Q2265">
        <v>0</v>
      </c>
      <c r="R2265">
        <v>0</v>
      </c>
    </row>
    <row r="2266" spans="1:18" ht="16" x14ac:dyDescent="0.2">
      <c r="A2266" s="130" t="s">
        <v>3909</v>
      </c>
      <c r="B2266" t="s">
        <v>474</v>
      </c>
      <c r="C2266" t="s">
        <v>1512</v>
      </c>
      <c r="D2266" t="s">
        <v>1513</v>
      </c>
      <c r="E2266" t="s">
        <v>1039</v>
      </c>
      <c r="F2266">
        <v>3</v>
      </c>
      <c r="G2266">
        <v>2</v>
      </c>
      <c r="H2266">
        <v>1.6006956442640401</v>
      </c>
      <c r="I2266" t="s">
        <v>957</v>
      </c>
      <c r="J2266" t="s">
        <v>4681</v>
      </c>
      <c r="K2266">
        <v>0.185714285714286</v>
      </c>
      <c r="L2266" t="s">
        <v>959</v>
      </c>
      <c r="M2266">
        <v>9.4890510948905096</v>
      </c>
      <c r="N2266" t="s">
        <v>2505</v>
      </c>
      <c r="O2266">
        <v>0</v>
      </c>
      <c r="P2266">
        <v>0</v>
      </c>
      <c r="Q2266">
        <v>0</v>
      </c>
      <c r="R2266">
        <v>0</v>
      </c>
    </row>
    <row r="2267" spans="1:18" ht="16" x14ac:dyDescent="0.2">
      <c r="A2267" s="130" t="s">
        <v>3909</v>
      </c>
      <c r="B2267" t="s">
        <v>474</v>
      </c>
      <c r="C2267" t="s">
        <v>3771</v>
      </c>
      <c r="D2267" t="s">
        <v>3772</v>
      </c>
      <c r="E2267" t="s">
        <v>1052</v>
      </c>
      <c r="F2267">
        <v>2</v>
      </c>
      <c r="G2267">
        <v>2</v>
      </c>
      <c r="H2267">
        <v>2.0049850667181999</v>
      </c>
      <c r="I2267" t="s">
        <v>957</v>
      </c>
      <c r="J2267" t="s">
        <v>4972</v>
      </c>
      <c r="K2267">
        <v>0.192857142857143</v>
      </c>
      <c r="L2267" t="s">
        <v>959</v>
      </c>
      <c r="M2267">
        <v>5.10948905109489</v>
      </c>
      <c r="N2267" t="s">
        <v>2505</v>
      </c>
      <c r="O2267">
        <v>0</v>
      </c>
      <c r="P2267">
        <v>0</v>
      </c>
      <c r="Q2267">
        <v>0</v>
      </c>
      <c r="R2267">
        <v>0</v>
      </c>
    </row>
    <row r="2268" spans="1:18" ht="16" x14ac:dyDescent="0.2">
      <c r="A2268" s="130" t="s">
        <v>3909</v>
      </c>
      <c r="B2268" t="s">
        <v>474</v>
      </c>
      <c r="C2268" t="s">
        <v>4262</v>
      </c>
      <c r="D2268" t="s">
        <v>4263</v>
      </c>
      <c r="E2268" t="s">
        <v>4770</v>
      </c>
      <c r="F2268">
        <v>31</v>
      </c>
      <c r="G2268">
        <v>2</v>
      </c>
      <c r="H2268">
        <v>2.6415616755782101</v>
      </c>
      <c r="I2268" t="s">
        <v>957</v>
      </c>
      <c r="J2268" t="s">
        <v>4771</v>
      </c>
      <c r="K2268">
        <v>0.55172413793103403</v>
      </c>
      <c r="L2268" t="s">
        <v>972</v>
      </c>
      <c r="M2268">
        <v>5.8394160583941597</v>
      </c>
      <c r="N2268" t="s">
        <v>973</v>
      </c>
      <c r="O2268">
        <v>0</v>
      </c>
      <c r="P2268">
        <v>0</v>
      </c>
      <c r="Q2268">
        <v>0</v>
      </c>
      <c r="R2268">
        <v>0</v>
      </c>
    </row>
    <row r="2269" spans="1:18" ht="16" x14ac:dyDescent="0.2">
      <c r="A2269" s="130" t="s">
        <v>3909</v>
      </c>
      <c r="B2269" t="s">
        <v>474</v>
      </c>
      <c r="C2269" t="s">
        <v>2877</v>
      </c>
      <c r="D2269" t="s">
        <v>2878</v>
      </c>
      <c r="E2269">
        <v>6</v>
      </c>
      <c r="F2269">
        <v>6</v>
      </c>
      <c r="G2269">
        <v>1</v>
      </c>
      <c r="H2269">
        <v>3.7577899870017601</v>
      </c>
      <c r="I2269" t="s">
        <v>957</v>
      </c>
      <c r="J2269" t="s">
        <v>4142</v>
      </c>
      <c r="K2269">
        <v>0.128571428571429</v>
      </c>
      <c r="L2269" t="s">
        <v>959</v>
      </c>
      <c r="M2269">
        <v>9.4890510948905096</v>
      </c>
      <c r="N2269" t="s">
        <v>960</v>
      </c>
      <c r="O2269">
        <v>0</v>
      </c>
      <c r="P2269" t="s">
        <v>5018</v>
      </c>
      <c r="Q2269">
        <v>0</v>
      </c>
      <c r="R2269">
        <v>0</v>
      </c>
    </row>
    <row r="2270" spans="1:18" ht="16" x14ac:dyDescent="0.2">
      <c r="A2270" s="130" t="s">
        <v>3909</v>
      </c>
      <c r="B2270" t="s">
        <v>478</v>
      </c>
      <c r="C2270" t="s">
        <v>2242</v>
      </c>
      <c r="D2270" t="s">
        <v>2243</v>
      </c>
      <c r="E2270">
        <v>3</v>
      </c>
      <c r="F2270">
        <v>3</v>
      </c>
      <c r="G2270">
        <v>1</v>
      </c>
      <c r="H2270">
        <v>3.0813915027212899</v>
      </c>
      <c r="I2270" t="s">
        <v>957</v>
      </c>
      <c r="J2270" t="s">
        <v>4736</v>
      </c>
      <c r="K2270">
        <v>9.2857142857142902E-2</v>
      </c>
      <c r="L2270" t="s">
        <v>959</v>
      </c>
      <c r="M2270">
        <v>7.2992700729926998</v>
      </c>
      <c r="N2270" t="s">
        <v>960</v>
      </c>
      <c r="O2270">
        <v>0</v>
      </c>
      <c r="P2270">
        <v>0</v>
      </c>
      <c r="Q2270">
        <v>0</v>
      </c>
      <c r="R2270">
        <v>0</v>
      </c>
    </row>
    <row r="2271" spans="1:18" ht="16" x14ac:dyDescent="0.2">
      <c r="A2271" s="130" t="s">
        <v>3909</v>
      </c>
      <c r="B2271" t="s">
        <v>478</v>
      </c>
      <c r="C2271" t="s">
        <v>1235</v>
      </c>
      <c r="D2271" t="s">
        <v>1236</v>
      </c>
      <c r="E2271">
        <v>4</v>
      </c>
      <c r="F2271">
        <v>4</v>
      </c>
      <c r="G2271">
        <v>1</v>
      </c>
      <c r="H2271">
        <v>3.1998944678229702</v>
      </c>
      <c r="I2271" t="s">
        <v>957</v>
      </c>
      <c r="J2271" t="s">
        <v>4583</v>
      </c>
      <c r="K2271">
        <v>0.13571428571428601</v>
      </c>
      <c r="L2271" t="s">
        <v>959</v>
      </c>
      <c r="M2271">
        <v>2.9197080291970798</v>
      </c>
      <c r="N2271" t="s">
        <v>960</v>
      </c>
      <c r="O2271">
        <v>0</v>
      </c>
      <c r="P2271">
        <v>0</v>
      </c>
      <c r="Q2271">
        <v>0</v>
      </c>
      <c r="R2271">
        <v>0</v>
      </c>
    </row>
    <row r="2272" spans="1:18" ht="16" x14ac:dyDescent="0.2">
      <c r="A2272" s="130" t="s">
        <v>3909</v>
      </c>
      <c r="B2272" t="s">
        <v>478</v>
      </c>
      <c r="C2272" t="s">
        <v>2947</v>
      </c>
      <c r="D2272" t="s">
        <v>2948</v>
      </c>
      <c r="E2272">
        <v>3</v>
      </c>
      <c r="F2272">
        <v>3</v>
      </c>
      <c r="G2272">
        <v>1</v>
      </c>
      <c r="H2272">
        <v>2.7000826698782401</v>
      </c>
      <c r="I2272" t="s">
        <v>957</v>
      </c>
      <c r="J2272" t="s">
        <v>4847</v>
      </c>
      <c r="K2272">
        <v>0.17142857142857101</v>
      </c>
      <c r="L2272" t="s">
        <v>959</v>
      </c>
      <c r="M2272">
        <v>5.8394160583941597</v>
      </c>
      <c r="N2272" t="s">
        <v>960</v>
      </c>
      <c r="O2272">
        <v>0</v>
      </c>
      <c r="P2272" t="s">
        <v>5018</v>
      </c>
      <c r="Q2272">
        <v>0</v>
      </c>
      <c r="R2272">
        <v>0</v>
      </c>
    </row>
    <row r="2273" spans="1:18" ht="16" x14ac:dyDescent="0.2">
      <c r="A2273" s="130" t="s">
        <v>3909</v>
      </c>
      <c r="B2273" t="s">
        <v>478</v>
      </c>
      <c r="C2273" t="s">
        <v>3416</v>
      </c>
      <c r="D2273" t="s">
        <v>3417</v>
      </c>
      <c r="E2273" t="s">
        <v>1102</v>
      </c>
      <c r="F2273">
        <v>4</v>
      </c>
      <c r="G2273">
        <v>2</v>
      </c>
      <c r="H2273">
        <v>3.4155491323670399</v>
      </c>
      <c r="I2273" t="s">
        <v>957</v>
      </c>
      <c r="J2273" t="s">
        <v>4329</v>
      </c>
      <c r="K2273">
        <v>0.107142857142857</v>
      </c>
      <c r="L2273" t="s">
        <v>959</v>
      </c>
      <c r="M2273">
        <v>2.9197080291970798</v>
      </c>
      <c r="N2273" t="s">
        <v>960</v>
      </c>
      <c r="O2273">
        <v>0</v>
      </c>
      <c r="P2273">
        <v>0</v>
      </c>
      <c r="Q2273">
        <v>0</v>
      </c>
      <c r="R2273">
        <v>0</v>
      </c>
    </row>
    <row r="2274" spans="1:18" ht="16" x14ac:dyDescent="0.2">
      <c r="A2274" s="130" t="s">
        <v>3909</v>
      </c>
      <c r="B2274" t="s">
        <v>478</v>
      </c>
      <c r="C2274" t="s">
        <v>1822</v>
      </c>
      <c r="D2274" t="s">
        <v>1823</v>
      </c>
      <c r="E2274">
        <v>3</v>
      </c>
      <c r="F2274">
        <v>3</v>
      </c>
      <c r="G2274">
        <v>1</v>
      </c>
      <c r="H2274">
        <v>3.04780878128456</v>
      </c>
      <c r="I2274" t="s">
        <v>957</v>
      </c>
      <c r="J2274" t="s">
        <v>4808</v>
      </c>
      <c r="K2274">
        <v>0.107142857142857</v>
      </c>
      <c r="L2274" t="s">
        <v>959</v>
      </c>
      <c r="M2274">
        <v>8.0291970802919703</v>
      </c>
      <c r="N2274" t="s">
        <v>960</v>
      </c>
      <c r="O2274">
        <v>0</v>
      </c>
      <c r="P2274">
        <v>0</v>
      </c>
      <c r="Q2274">
        <v>0</v>
      </c>
      <c r="R2274">
        <v>0</v>
      </c>
    </row>
    <row r="2275" spans="1:18" ht="16" x14ac:dyDescent="0.2">
      <c r="A2275" s="130" t="s">
        <v>3909</v>
      </c>
      <c r="B2275" t="s">
        <v>478</v>
      </c>
      <c r="C2275" t="s">
        <v>3035</v>
      </c>
      <c r="D2275" t="s">
        <v>3036</v>
      </c>
      <c r="E2275">
        <v>3</v>
      </c>
      <c r="F2275">
        <v>3</v>
      </c>
      <c r="G2275">
        <v>1</v>
      </c>
      <c r="H2275">
        <v>3.42030002538328</v>
      </c>
      <c r="I2275" t="s">
        <v>957</v>
      </c>
      <c r="J2275" t="s">
        <v>4547</v>
      </c>
      <c r="K2275">
        <v>0.20714285714285699</v>
      </c>
      <c r="L2275" t="s">
        <v>959</v>
      </c>
      <c r="M2275">
        <v>3.6496350364963499</v>
      </c>
      <c r="N2275" t="s">
        <v>960</v>
      </c>
      <c r="O2275">
        <v>0</v>
      </c>
      <c r="P2275">
        <v>0</v>
      </c>
      <c r="Q2275">
        <v>0</v>
      </c>
      <c r="R2275">
        <v>0</v>
      </c>
    </row>
    <row r="2276" spans="1:18" ht="16" x14ac:dyDescent="0.2">
      <c r="A2276" s="130" t="s">
        <v>3909</v>
      </c>
      <c r="B2276" t="s">
        <v>482</v>
      </c>
      <c r="C2276" t="s">
        <v>2267</v>
      </c>
      <c r="D2276" t="s">
        <v>2268</v>
      </c>
      <c r="E2276" t="s">
        <v>1052</v>
      </c>
      <c r="F2276">
        <v>2</v>
      </c>
      <c r="G2276">
        <v>2</v>
      </c>
      <c r="H2276">
        <v>1.9895017161000501</v>
      </c>
      <c r="I2276" t="s">
        <v>957</v>
      </c>
      <c r="J2276" t="s">
        <v>4837</v>
      </c>
      <c r="K2276">
        <v>0.114285714285714</v>
      </c>
      <c r="L2276" t="s">
        <v>959</v>
      </c>
      <c r="M2276">
        <v>4.3795620437956204</v>
      </c>
      <c r="N2276" t="s">
        <v>960</v>
      </c>
      <c r="O2276">
        <v>0</v>
      </c>
      <c r="P2276" t="s">
        <v>5017</v>
      </c>
      <c r="Q2276">
        <v>0</v>
      </c>
      <c r="R2276">
        <v>0</v>
      </c>
    </row>
    <row r="2277" spans="1:18" ht="16" x14ac:dyDescent="0.2">
      <c r="A2277" s="130" t="s">
        <v>3909</v>
      </c>
      <c r="B2277" t="s">
        <v>482</v>
      </c>
      <c r="C2277" t="s">
        <v>1257</v>
      </c>
      <c r="D2277" t="s">
        <v>1258</v>
      </c>
      <c r="E2277" t="s">
        <v>1052</v>
      </c>
      <c r="F2277">
        <v>2</v>
      </c>
      <c r="G2277">
        <v>2</v>
      </c>
      <c r="H2277">
        <v>3.8955471823796599</v>
      </c>
      <c r="I2277" t="s">
        <v>957</v>
      </c>
      <c r="J2277" t="s">
        <v>1259</v>
      </c>
      <c r="K2277">
        <v>8.5714285714285701E-2</v>
      </c>
      <c r="L2277" t="s">
        <v>959</v>
      </c>
      <c r="M2277">
        <v>2.1897810218978102</v>
      </c>
      <c r="N2277" t="s">
        <v>960</v>
      </c>
      <c r="O2277">
        <v>0</v>
      </c>
      <c r="P2277">
        <v>0</v>
      </c>
      <c r="Q2277">
        <v>0</v>
      </c>
      <c r="R2277">
        <v>0</v>
      </c>
    </row>
    <row r="2278" spans="1:18" ht="16" x14ac:dyDescent="0.2">
      <c r="A2278" s="130" t="s">
        <v>3909</v>
      </c>
      <c r="B2278" t="s">
        <v>482</v>
      </c>
      <c r="C2278" t="s">
        <v>3100</v>
      </c>
      <c r="D2278" t="s">
        <v>3101</v>
      </c>
      <c r="E2278">
        <v>3</v>
      </c>
      <c r="F2278">
        <v>3</v>
      </c>
      <c r="G2278">
        <v>1</v>
      </c>
      <c r="H2278">
        <v>4.0890484007455701</v>
      </c>
      <c r="I2278" t="s">
        <v>957</v>
      </c>
      <c r="J2278" t="s">
        <v>4670</v>
      </c>
      <c r="K2278">
        <v>0.128571428571429</v>
      </c>
      <c r="L2278" t="s">
        <v>959</v>
      </c>
      <c r="M2278">
        <v>3.6496350364963499</v>
      </c>
      <c r="N2278" t="s">
        <v>960</v>
      </c>
      <c r="O2278">
        <v>0</v>
      </c>
      <c r="P2278">
        <v>0</v>
      </c>
      <c r="Q2278">
        <v>0</v>
      </c>
      <c r="R2278">
        <v>0</v>
      </c>
    </row>
    <row r="2279" spans="1:18" ht="16" x14ac:dyDescent="0.2">
      <c r="A2279" s="130" t="s">
        <v>3909</v>
      </c>
      <c r="B2279" t="s">
        <v>482</v>
      </c>
      <c r="C2279" t="s">
        <v>2091</v>
      </c>
      <c r="D2279" t="s">
        <v>2092</v>
      </c>
      <c r="E2279">
        <v>4</v>
      </c>
      <c r="F2279">
        <v>4</v>
      </c>
      <c r="G2279">
        <v>1</v>
      </c>
      <c r="H2279">
        <v>3.8002282059560799</v>
      </c>
      <c r="I2279" t="s">
        <v>957</v>
      </c>
      <c r="J2279" t="s">
        <v>4765</v>
      </c>
      <c r="K2279">
        <v>0.14285714285714299</v>
      </c>
      <c r="L2279" t="s">
        <v>959</v>
      </c>
      <c r="M2279">
        <v>6.5693430656934302</v>
      </c>
      <c r="N2279" t="s">
        <v>960</v>
      </c>
      <c r="O2279">
        <v>0</v>
      </c>
      <c r="P2279">
        <v>0</v>
      </c>
      <c r="Q2279">
        <v>0</v>
      </c>
      <c r="R2279">
        <v>0</v>
      </c>
    </row>
    <row r="2280" spans="1:18" ht="16" x14ac:dyDescent="0.2">
      <c r="A2280" s="130" t="s">
        <v>3909</v>
      </c>
      <c r="B2280" t="s">
        <v>486</v>
      </c>
      <c r="C2280" t="s">
        <v>2777</v>
      </c>
      <c r="D2280" t="s">
        <v>2778</v>
      </c>
      <c r="E2280" t="s">
        <v>1052</v>
      </c>
      <c r="F2280">
        <v>2</v>
      </c>
      <c r="G2280">
        <v>2</v>
      </c>
      <c r="H2280">
        <v>2.5715442326391398</v>
      </c>
      <c r="I2280" t="s">
        <v>957</v>
      </c>
      <c r="J2280" t="s">
        <v>4518</v>
      </c>
      <c r="K2280">
        <v>0.15</v>
      </c>
      <c r="L2280" t="s">
        <v>959</v>
      </c>
      <c r="M2280">
        <v>2.1897810218978102</v>
      </c>
      <c r="N2280" t="s">
        <v>960</v>
      </c>
      <c r="O2280">
        <v>0</v>
      </c>
      <c r="P2280">
        <v>0</v>
      </c>
      <c r="Q2280">
        <v>0</v>
      </c>
      <c r="R2280" t="s">
        <v>5019</v>
      </c>
    </row>
    <row r="2281" spans="1:18" ht="16" x14ac:dyDescent="0.2">
      <c r="A2281" s="130" t="s">
        <v>3909</v>
      </c>
      <c r="B2281" t="s">
        <v>486</v>
      </c>
      <c r="C2281" t="s">
        <v>3765</v>
      </c>
      <c r="D2281" t="s">
        <v>3766</v>
      </c>
      <c r="E2281" t="s">
        <v>1052</v>
      </c>
      <c r="F2281">
        <v>2</v>
      </c>
      <c r="G2281">
        <v>2</v>
      </c>
      <c r="H2281">
        <v>2.5090509734887401</v>
      </c>
      <c r="I2281" t="s">
        <v>957</v>
      </c>
      <c r="J2281" t="s">
        <v>4511</v>
      </c>
      <c r="K2281">
        <v>0.2</v>
      </c>
      <c r="L2281" t="s">
        <v>959</v>
      </c>
      <c r="M2281">
        <v>6.5693430656934302</v>
      </c>
      <c r="N2281" t="s">
        <v>960</v>
      </c>
      <c r="O2281">
        <v>0</v>
      </c>
      <c r="P2281">
        <v>0</v>
      </c>
      <c r="Q2281">
        <v>0</v>
      </c>
      <c r="R2281">
        <v>0</v>
      </c>
    </row>
    <row r="2282" spans="1:18" ht="16" x14ac:dyDescent="0.2">
      <c r="A2282" s="130" t="s">
        <v>3909</v>
      </c>
      <c r="B2282" t="s">
        <v>486</v>
      </c>
      <c r="C2282" t="s">
        <v>3433</v>
      </c>
      <c r="D2282" t="s">
        <v>3434</v>
      </c>
      <c r="E2282">
        <v>3</v>
      </c>
      <c r="F2282">
        <v>3</v>
      </c>
      <c r="G2282">
        <v>1</v>
      </c>
      <c r="H2282">
        <v>3.5188623556090999</v>
      </c>
      <c r="I2282" t="s">
        <v>957</v>
      </c>
      <c r="J2282" t="s">
        <v>4425</v>
      </c>
      <c r="K2282">
        <v>9.2857142857142902E-2</v>
      </c>
      <c r="L2282" t="s">
        <v>959</v>
      </c>
      <c r="M2282">
        <v>2.9197080291970798</v>
      </c>
      <c r="N2282" t="s">
        <v>960</v>
      </c>
      <c r="O2282">
        <v>0</v>
      </c>
      <c r="P2282">
        <v>0</v>
      </c>
      <c r="Q2282">
        <v>0</v>
      </c>
      <c r="R2282">
        <v>0</v>
      </c>
    </row>
    <row r="2283" spans="1:18" ht="16" x14ac:dyDescent="0.2">
      <c r="A2283" s="130" t="s">
        <v>3909</v>
      </c>
      <c r="B2283" t="s">
        <v>486</v>
      </c>
      <c r="C2283" t="s">
        <v>3653</v>
      </c>
      <c r="D2283" t="s">
        <v>3654</v>
      </c>
      <c r="E2283" t="s">
        <v>1052</v>
      </c>
      <c r="F2283">
        <v>2</v>
      </c>
      <c r="G2283">
        <v>2</v>
      </c>
      <c r="H2283">
        <v>2.28906262662252</v>
      </c>
      <c r="I2283" t="s">
        <v>957</v>
      </c>
      <c r="J2283" t="s">
        <v>3655</v>
      </c>
      <c r="K2283">
        <v>0.114285714285714</v>
      </c>
      <c r="L2283" t="s">
        <v>959</v>
      </c>
      <c r="M2283">
        <v>2.9197080291970798</v>
      </c>
      <c r="N2283" t="s">
        <v>960</v>
      </c>
      <c r="O2283">
        <v>0</v>
      </c>
      <c r="P2283">
        <v>0</v>
      </c>
      <c r="Q2283">
        <v>0</v>
      </c>
      <c r="R2283">
        <v>0</v>
      </c>
    </row>
    <row r="2284" spans="1:18" ht="16" x14ac:dyDescent="0.2">
      <c r="A2284" s="130" t="s">
        <v>3909</v>
      </c>
      <c r="B2284" t="s">
        <v>486</v>
      </c>
      <c r="C2284" t="s">
        <v>2491</v>
      </c>
      <c r="D2284" t="s">
        <v>2492</v>
      </c>
      <c r="E2284" t="s">
        <v>1974</v>
      </c>
      <c r="F2284">
        <v>5</v>
      </c>
      <c r="G2284">
        <v>2</v>
      </c>
      <c r="H2284">
        <v>2.8112722500408398</v>
      </c>
      <c r="I2284" t="s">
        <v>957</v>
      </c>
      <c r="J2284" t="s">
        <v>4891</v>
      </c>
      <c r="K2284">
        <v>0.121428571428571</v>
      </c>
      <c r="L2284" t="s">
        <v>959</v>
      </c>
      <c r="M2284">
        <v>8.0291970802919703</v>
      </c>
      <c r="N2284" t="s">
        <v>960</v>
      </c>
      <c r="O2284">
        <v>0</v>
      </c>
      <c r="P2284">
        <v>0</v>
      </c>
      <c r="Q2284">
        <v>0</v>
      </c>
      <c r="R2284">
        <v>0</v>
      </c>
    </row>
    <row r="2285" spans="1:18" ht="16" x14ac:dyDescent="0.2">
      <c r="A2285" s="130" t="s">
        <v>3909</v>
      </c>
      <c r="B2285" t="s">
        <v>486</v>
      </c>
      <c r="C2285" t="s">
        <v>3914</v>
      </c>
      <c r="D2285" t="s">
        <v>3915</v>
      </c>
      <c r="E2285" t="s">
        <v>1022</v>
      </c>
      <c r="F2285">
        <v>3</v>
      </c>
      <c r="G2285">
        <v>2</v>
      </c>
      <c r="H2285">
        <v>2.1804844855519701</v>
      </c>
      <c r="I2285" t="s">
        <v>957</v>
      </c>
      <c r="J2285" t="s">
        <v>4589</v>
      </c>
      <c r="K2285">
        <v>0.121428571428571</v>
      </c>
      <c r="L2285" t="s">
        <v>959</v>
      </c>
      <c r="M2285">
        <v>5.8394160583941597</v>
      </c>
      <c r="N2285" t="s">
        <v>960</v>
      </c>
      <c r="O2285">
        <v>0</v>
      </c>
      <c r="P2285">
        <v>0</v>
      </c>
      <c r="Q2285">
        <v>0</v>
      </c>
      <c r="R2285">
        <v>0</v>
      </c>
    </row>
    <row r="2286" spans="1:18" ht="16" x14ac:dyDescent="0.2">
      <c r="A2286" s="130" t="s">
        <v>3909</v>
      </c>
      <c r="B2286" t="s">
        <v>486</v>
      </c>
      <c r="C2286" t="s">
        <v>1041</v>
      </c>
      <c r="E2286">
        <v>4</v>
      </c>
      <c r="F2286">
        <v>4</v>
      </c>
      <c r="G2286">
        <v>1</v>
      </c>
      <c r="H2286">
        <v>3.4969433093755402</v>
      </c>
      <c r="I2286" t="s">
        <v>957</v>
      </c>
      <c r="J2286" t="s">
        <v>4183</v>
      </c>
      <c r="K2286">
        <v>0.17142857142857101</v>
      </c>
      <c r="L2286" t="s">
        <v>959</v>
      </c>
      <c r="M2286">
        <v>6.5693430656934302</v>
      </c>
      <c r="N2286" t="s">
        <v>960</v>
      </c>
      <c r="O2286">
        <v>0</v>
      </c>
      <c r="P2286">
        <v>0</v>
      </c>
      <c r="Q2286">
        <v>0</v>
      </c>
      <c r="R2286">
        <v>0</v>
      </c>
    </row>
    <row r="2287" spans="1:18" ht="16" x14ac:dyDescent="0.2">
      <c r="A2287" s="130" t="s">
        <v>3909</v>
      </c>
      <c r="B2287" t="s">
        <v>486</v>
      </c>
      <c r="C2287" t="s">
        <v>3745</v>
      </c>
      <c r="D2287" t="s">
        <v>3746</v>
      </c>
      <c r="E2287" t="s">
        <v>1052</v>
      </c>
      <c r="F2287">
        <v>2</v>
      </c>
      <c r="G2287">
        <v>2</v>
      </c>
      <c r="H2287">
        <v>3.93051857924491</v>
      </c>
      <c r="I2287" t="s">
        <v>957</v>
      </c>
      <c r="J2287" t="s">
        <v>4378</v>
      </c>
      <c r="K2287">
        <v>0.1</v>
      </c>
      <c r="L2287" t="s">
        <v>959</v>
      </c>
      <c r="M2287">
        <v>1.4598540145985399</v>
      </c>
      <c r="N2287" t="s">
        <v>960</v>
      </c>
      <c r="O2287">
        <v>0</v>
      </c>
      <c r="P2287">
        <v>0</v>
      </c>
      <c r="Q2287">
        <v>0</v>
      </c>
      <c r="R2287">
        <v>0</v>
      </c>
    </row>
    <row r="2288" spans="1:18" ht="16" x14ac:dyDescent="0.2">
      <c r="A2288" s="130" t="s">
        <v>3909</v>
      </c>
      <c r="B2288" t="s">
        <v>486</v>
      </c>
      <c r="C2288" t="s">
        <v>3925</v>
      </c>
      <c r="D2288" t="s">
        <v>3926</v>
      </c>
      <c r="E2288" t="s">
        <v>1052</v>
      </c>
      <c r="F2288">
        <v>2</v>
      </c>
      <c r="G2288">
        <v>2</v>
      </c>
      <c r="H2288">
        <v>2.4339452138987498</v>
      </c>
      <c r="I2288" t="s">
        <v>957</v>
      </c>
      <c r="J2288" t="s">
        <v>3927</v>
      </c>
      <c r="K2288">
        <v>0.157142857142857</v>
      </c>
      <c r="L2288" t="s">
        <v>959</v>
      </c>
      <c r="M2288">
        <v>8.0291970802919703</v>
      </c>
      <c r="N2288" t="s">
        <v>960</v>
      </c>
      <c r="O2288">
        <v>0</v>
      </c>
      <c r="P2288">
        <v>0</v>
      </c>
      <c r="Q2288">
        <v>0</v>
      </c>
      <c r="R2288">
        <v>0</v>
      </c>
    </row>
    <row r="2289" spans="1:18" ht="16" x14ac:dyDescent="0.2">
      <c r="A2289" s="130" t="s">
        <v>3909</v>
      </c>
      <c r="B2289" t="s">
        <v>490</v>
      </c>
      <c r="C2289" t="s">
        <v>3370</v>
      </c>
      <c r="D2289" t="s">
        <v>3371</v>
      </c>
      <c r="E2289">
        <v>2</v>
      </c>
      <c r="F2289">
        <v>2</v>
      </c>
      <c r="G2289">
        <v>1</v>
      </c>
      <c r="H2289">
        <v>2.30998694656035</v>
      </c>
      <c r="I2289" t="s">
        <v>957</v>
      </c>
      <c r="J2289" t="s">
        <v>4869</v>
      </c>
      <c r="K2289">
        <v>7.1428571428571397E-2</v>
      </c>
      <c r="L2289" t="s">
        <v>959</v>
      </c>
      <c r="M2289">
        <v>2.1897810218978102</v>
      </c>
      <c r="N2289" t="s">
        <v>960</v>
      </c>
      <c r="O2289">
        <v>0</v>
      </c>
      <c r="P2289">
        <v>0</v>
      </c>
      <c r="Q2289">
        <v>0</v>
      </c>
      <c r="R2289">
        <v>0</v>
      </c>
    </row>
    <row r="2290" spans="1:18" ht="16" x14ac:dyDescent="0.2">
      <c r="A2290" s="130" t="s">
        <v>3909</v>
      </c>
      <c r="B2290" t="s">
        <v>490</v>
      </c>
      <c r="C2290" t="s">
        <v>3305</v>
      </c>
      <c r="D2290" t="s">
        <v>3306</v>
      </c>
      <c r="E2290" t="s">
        <v>1022</v>
      </c>
      <c r="F2290">
        <v>3</v>
      </c>
      <c r="G2290">
        <v>2</v>
      </c>
      <c r="H2290">
        <v>3.7629727466429101</v>
      </c>
      <c r="I2290" t="s">
        <v>957</v>
      </c>
      <c r="J2290" t="s">
        <v>4112</v>
      </c>
      <c r="K2290">
        <v>0.16428571428571401</v>
      </c>
      <c r="L2290" t="s">
        <v>959</v>
      </c>
      <c r="M2290">
        <v>8.7591240875912408</v>
      </c>
      <c r="N2290" t="s">
        <v>960</v>
      </c>
      <c r="O2290">
        <v>0</v>
      </c>
      <c r="P2290">
        <v>0</v>
      </c>
      <c r="Q2290">
        <v>0</v>
      </c>
      <c r="R2290">
        <v>0</v>
      </c>
    </row>
    <row r="2291" spans="1:18" ht="16" x14ac:dyDescent="0.2">
      <c r="A2291" s="130" t="s">
        <v>3909</v>
      </c>
      <c r="B2291" t="s">
        <v>490</v>
      </c>
      <c r="C2291" t="s">
        <v>1653</v>
      </c>
      <c r="D2291" t="s">
        <v>1654</v>
      </c>
      <c r="E2291" t="s">
        <v>1052</v>
      </c>
      <c r="F2291">
        <v>2</v>
      </c>
      <c r="G2291">
        <v>2</v>
      </c>
      <c r="H2291">
        <v>1.2543740040796001</v>
      </c>
      <c r="I2291" t="s">
        <v>957</v>
      </c>
      <c r="J2291" t="s">
        <v>4296</v>
      </c>
      <c r="K2291">
        <v>0.20714285714285699</v>
      </c>
      <c r="L2291" t="s">
        <v>959</v>
      </c>
      <c r="M2291">
        <v>5.8394160583941597</v>
      </c>
      <c r="N2291" t="s">
        <v>960</v>
      </c>
      <c r="O2291">
        <v>0</v>
      </c>
      <c r="P2291">
        <v>0</v>
      </c>
      <c r="Q2291">
        <v>0</v>
      </c>
      <c r="R2291">
        <v>0</v>
      </c>
    </row>
    <row r="2292" spans="1:18" ht="16" x14ac:dyDescent="0.2">
      <c r="A2292" s="130" t="s">
        <v>3909</v>
      </c>
      <c r="B2292" t="s">
        <v>490</v>
      </c>
      <c r="C2292" t="s">
        <v>2233</v>
      </c>
      <c r="D2292" t="s">
        <v>2234</v>
      </c>
      <c r="E2292">
        <v>3</v>
      </c>
      <c r="F2292">
        <v>3</v>
      </c>
      <c r="G2292">
        <v>1</v>
      </c>
      <c r="H2292">
        <v>2.8074593543295498</v>
      </c>
      <c r="I2292" t="s">
        <v>957</v>
      </c>
      <c r="J2292" t="s">
        <v>3836</v>
      </c>
      <c r="K2292">
        <v>0.16428571428571401</v>
      </c>
      <c r="L2292" t="s">
        <v>959</v>
      </c>
      <c r="M2292">
        <v>8.0291970802919703</v>
      </c>
      <c r="N2292" t="s">
        <v>960</v>
      </c>
      <c r="O2292">
        <v>0</v>
      </c>
      <c r="P2292">
        <v>0</v>
      </c>
      <c r="Q2292">
        <v>0</v>
      </c>
      <c r="R2292">
        <v>0</v>
      </c>
    </row>
    <row r="2293" spans="1:18" ht="16" x14ac:dyDescent="0.2">
      <c r="A2293" s="130" t="s">
        <v>3909</v>
      </c>
      <c r="B2293" t="s">
        <v>490</v>
      </c>
      <c r="C2293" t="s">
        <v>3546</v>
      </c>
      <c r="D2293" t="s">
        <v>3547</v>
      </c>
      <c r="E2293">
        <v>3</v>
      </c>
      <c r="F2293">
        <v>3</v>
      </c>
      <c r="G2293">
        <v>1</v>
      </c>
      <c r="H2293">
        <v>3.3787955539405501</v>
      </c>
      <c r="I2293" t="s">
        <v>957</v>
      </c>
      <c r="J2293" t="s">
        <v>3548</v>
      </c>
      <c r="K2293">
        <v>0.14285714285714299</v>
      </c>
      <c r="L2293" t="s">
        <v>959</v>
      </c>
      <c r="M2293">
        <v>1.4598540145985399</v>
      </c>
      <c r="N2293" t="s">
        <v>960</v>
      </c>
      <c r="O2293">
        <v>0</v>
      </c>
      <c r="P2293">
        <v>0</v>
      </c>
      <c r="Q2293">
        <v>0</v>
      </c>
      <c r="R2293">
        <v>0</v>
      </c>
    </row>
    <row r="2294" spans="1:18" ht="16" x14ac:dyDescent="0.2">
      <c r="A2294" s="130" t="s">
        <v>3909</v>
      </c>
      <c r="B2294" t="s">
        <v>490</v>
      </c>
      <c r="C2294" t="s">
        <v>2485</v>
      </c>
      <c r="D2294" t="s">
        <v>2486</v>
      </c>
      <c r="E2294">
        <v>4</v>
      </c>
      <c r="F2294">
        <v>4</v>
      </c>
      <c r="G2294">
        <v>1</v>
      </c>
      <c r="H2294">
        <v>3.5278426335056299</v>
      </c>
      <c r="I2294" t="s">
        <v>957</v>
      </c>
      <c r="J2294" t="s">
        <v>3353</v>
      </c>
      <c r="K2294">
        <v>7.8571428571428598E-2</v>
      </c>
      <c r="L2294" t="s">
        <v>959</v>
      </c>
      <c r="M2294">
        <v>3.6496350364963499</v>
      </c>
      <c r="N2294" t="s">
        <v>960</v>
      </c>
      <c r="O2294">
        <v>0</v>
      </c>
      <c r="P2294">
        <v>0</v>
      </c>
      <c r="Q2294">
        <v>0</v>
      </c>
      <c r="R2294">
        <v>0</v>
      </c>
    </row>
    <row r="2295" spans="1:18" ht="16" x14ac:dyDescent="0.2">
      <c r="A2295" s="130" t="s">
        <v>3909</v>
      </c>
      <c r="B2295" t="s">
        <v>490</v>
      </c>
      <c r="C2295" t="s">
        <v>2536</v>
      </c>
      <c r="D2295" t="s">
        <v>2537</v>
      </c>
      <c r="E2295">
        <v>3</v>
      </c>
      <c r="F2295">
        <v>3</v>
      </c>
      <c r="G2295">
        <v>1</v>
      </c>
      <c r="H2295">
        <v>2.7132204179414101</v>
      </c>
      <c r="I2295" t="s">
        <v>957</v>
      </c>
      <c r="J2295" t="s">
        <v>4243</v>
      </c>
      <c r="K2295">
        <v>0.1</v>
      </c>
      <c r="L2295" t="s">
        <v>959</v>
      </c>
      <c r="M2295">
        <v>7.2992700729926998</v>
      </c>
      <c r="N2295" t="s">
        <v>960</v>
      </c>
      <c r="O2295">
        <v>0</v>
      </c>
      <c r="P2295">
        <v>0</v>
      </c>
      <c r="Q2295">
        <v>0</v>
      </c>
      <c r="R2295">
        <v>0</v>
      </c>
    </row>
    <row r="2296" spans="1:18" ht="16" x14ac:dyDescent="0.2">
      <c r="A2296" s="130" t="s">
        <v>3909</v>
      </c>
      <c r="B2296" t="s">
        <v>490</v>
      </c>
      <c r="C2296" t="s">
        <v>3477</v>
      </c>
      <c r="D2296" t="s">
        <v>3478</v>
      </c>
      <c r="E2296" t="s">
        <v>1052</v>
      </c>
      <c r="F2296">
        <v>2</v>
      </c>
      <c r="G2296">
        <v>2</v>
      </c>
      <c r="H2296">
        <v>1.7872710280962301</v>
      </c>
      <c r="I2296" t="s">
        <v>957</v>
      </c>
      <c r="J2296" t="s">
        <v>3480</v>
      </c>
      <c r="K2296">
        <v>0.185714285714286</v>
      </c>
      <c r="L2296" t="s">
        <v>959</v>
      </c>
      <c r="M2296">
        <v>6.5693430656934302</v>
      </c>
      <c r="N2296" t="s">
        <v>960</v>
      </c>
      <c r="O2296">
        <v>0</v>
      </c>
      <c r="P2296">
        <v>0</v>
      </c>
      <c r="Q2296">
        <v>0</v>
      </c>
      <c r="R2296">
        <v>0</v>
      </c>
    </row>
    <row r="2297" spans="1:18" ht="16" x14ac:dyDescent="0.2">
      <c r="A2297" s="130" t="s">
        <v>3909</v>
      </c>
      <c r="B2297" t="s">
        <v>490</v>
      </c>
      <c r="C2297" t="s">
        <v>2433</v>
      </c>
      <c r="D2297" t="s">
        <v>2434</v>
      </c>
      <c r="E2297">
        <v>3</v>
      </c>
      <c r="F2297">
        <v>3</v>
      </c>
      <c r="G2297">
        <v>1</v>
      </c>
      <c r="H2297">
        <v>2.0143323553886101</v>
      </c>
      <c r="I2297" t="s">
        <v>957</v>
      </c>
      <c r="J2297" t="s">
        <v>3868</v>
      </c>
      <c r="K2297">
        <v>0.114285714285714</v>
      </c>
      <c r="L2297" t="s">
        <v>959</v>
      </c>
      <c r="M2297">
        <v>7.2992700729926998</v>
      </c>
      <c r="N2297" t="s">
        <v>960</v>
      </c>
      <c r="O2297">
        <v>0</v>
      </c>
      <c r="P2297">
        <v>0</v>
      </c>
      <c r="Q2297">
        <v>0</v>
      </c>
      <c r="R2297">
        <v>0</v>
      </c>
    </row>
    <row r="2298" spans="1:18" ht="16" x14ac:dyDescent="0.2">
      <c r="A2298" s="130" t="s">
        <v>3909</v>
      </c>
      <c r="B2298" t="s">
        <v>490</v>
      </c>
      <c r="C2298" t="s">
        <v>1902</v>
      </c>
      <c r="D2298" t="s">
        <v>4427</v>
      </c>
      <c r="E2298">
        <v>5</v>
      </c>
      <c r="F2298">
        <v>5</v>
      </c>
      <c r="G2298">
        <v>1</v>
      </c>
      <c r="H2298">
        <v>0.157097446433035</v>
      </c>
      <c r="I2298" t="s">
        <v>957</v>
      </c>
      <c r="J2298" t="s">
        <v>1905</v>
      </c>
      <c r="K2298">
        <v>0.107142857142857</v>
      </c>
      <c r="L2298" t="s">
        <v>959</v>
      </c>
      <c r="M2298">
        <v>2.9197080291970798</v>
      </c>
      <c r="N2298" t="s">
        <v>960</v>
      </c>
      <c r="O2298">
        <v>0</v>
      </c>
      <c r="P2298">
        <v>0</v>
      </c>
      <c r="Q2298">
        <v>0</v>
      </c>
      <c r="R2298">
        <v>0</v>
      </c>
    </row>
    <row r="2299" spans="1:18" ht="16" x14ac:dyDescent="0.2">
      <c r="A2299" s="130" t="s">
        <v>3909</v>
      </c>
      <c r="B2299" t="s">
        <v>490</v>
      </c>
      <c r="C2299" t="s">
        <v>3524</v>
      </c>
      <c r="D2299" t="s">
        <v>3525</v>
      </c>
      <c r="E2299">
        <v>4</v>
      </c>
      <c r="F2299">
        <v>4</v>
      </c>
      <c r="G2299">
        <v>1</v>
      </c>
      <c r="H2299">
        <v>6.45616266067843E-2</v>
      </c>
      <c r="I2299" t="s">
        <v>957</v>
      </c>
      <c r="J2299" t="s">
        <v>4641</v>
      </c>
      <c r="K2299">
        <v>4.2857142857142899E-2</v>
      </c>
      <c r="L2299" t="s">
        <v>959</v>
      </c>
      <c r="M2299">
        <v>5.8394160583941597</v>
      </c>
      <c r="N2299" t="s">
        <v>960</v>
      </c>
      <c r="O2299">
        <v>0</v>
      </c>
      <c r="P2299">
        <v>0</v>
      </c>
      <c r="Q2299">
        <v>0</v>
      </c>
      <c r="R2299">
        <v>0</v>
      </c>
    </row>
    <row r="2300" spans="1:18" ht="16" x14ac:dyDescent="0.2">
      <c r="A2300" s="130" t="s">
        <v>3909</v>
      </c>
      <c r="B2300" t="s">
        <v>494</v>
      </c>
      <c r="C2300" t="s">
        <v>3914</v>
      </c>
      <c r="D2300" t="s">
        <v>3915</v>
      </c>
      <c r="E2300" t="s">
        <v>1102</v>
      </c>
      <c r="F2300">
        <v>4</v>
      </c>
      <c r="G2300">
        <v>2</v>
      </c>
      <c r="H2300">
        <v>3.0033088197225299</v>
      </c>
      <c r="I2300" t="s">
        <v>957</v>
      </c>
      <c r="J2300" t="s">
        <v>4303</v>
      </c>
      <c r="K2300">
        <v>0.121428571428571</v>
      </c>
      <c r="L2300" t="s">
        <v>959</v>
      </c>
      <c r="M2300">
        <v>5.8394160583941597</v>
      </c>
      <c r="N2300" t="s">
        <v>960</v>
      </c>
      <c r="O2300">
        <v>0</v>
      </c>
      <c r="P2300">
        <v>0</v>
      </c>
      <c r="Q2300">
        <v>0</v>
      </c>
      <c r="R2300">
        <v>0</v>
      </c>
    </row>
    <row r="2301" spans="1:18" ht="16" x14ac:dyDescent="0.2">
      <c r="A2301" s="130" t="s">
        <v>3909</v>
      </c>
      <c r="B2301" t="s">
        <v>498</v>
      </c>
      <c r="C2301" t="s">
        <v>1376</v>
      </c>
      <c r="D2301" t="s">
        <v>1377</v>
      </c>
      <c r="E2301" t="s">
        <v>1039</v>
      </c>
      <c r="F2301">
        <v>3</v>
      </c>
      <c r="G2301">
        <v>2</v>
      </c>
      <c r="H2301">
        <v>1.10071643593993</v>
      </c>
      <c r="I2301" t="s">
        <v>957</v>
      </c>
      <c r="J2301" t="s">
        <v>4628</v>
      </c>
      <c r="K2301">
        <v>0.17142857142857101</v>
      </c>
      <c r="L2301" t="s">
        <v>959</v>
      </c>
      <c r="M2301">
        <v>9.4890510948905096</v>
      </c>
      <c r="N2301" t="s">
        <v>960</v>
      </c>
      <c r="O2301">
        <v>0</v>
      </c>
      <c r="P2301">
        <v>0</v>
      </c>
      <c r="Q2301">
        <v>0</v>
      </c>
      <c r="R2301">
        <v>0</v>
      </c>
    </row>
    <row r="2302" spans="1:18" ht="16" x14ac:dyDescent="0.2">
      <c r="A2302" s="130" t="s">
        <v>3909</v>
      </c>
      <c r="B2302" t="s">
        <v>498</v>
      </c>
      <c r="C2302" t="s">
        <v>983</v>
      </c>
      <c r="D2302" t="s">
        <v>984</v>
      </c>
      <c r="E2302" t="s">
        <v>2857</v>
      </c>
      <c r="F2302">
        <v>6</v>
      </c>
      <c r="G2302">
        <v>2</v>
      </c>
      <c r="H2302">
        <v>1.9565172394230299</v>
      </c>
      <c r="I2302" t="s">
        <v>957</v>
      </c>
      <c r="J2302" t="s">
        <v>4158</v>
      </c>
      <c r="K2302">
        <v>0.34482758620689702</v>
      </c>
      <c r="L2302" t="s">
        <v>972</v>
      </c>
      <c r="M2302">
        <v>8.7591240875912408</v>
      </c>
      <c r="N2302" t="s">
        <v>973</v>
      </c>
      <c r="O2302">
        <v>0</v>
      </c>
      <c r="P2302">
        <v>0</v>
      </c>
      <c r="Q2302">
        <v>0</v>
      </c>
      <c r="R2302">
        <v>0</v>
      </c>
    </row>
    <row r="2303" spans="1:18" ht="16" x14ac:dyDescent="0.2">
      <c r="A2303" s="130" t="s">
        <v>3909</v>
      </c>
      <c r="B2303" t="s">
        <v>498</v>
      </c>
      <c r="C2303" t="s">
        <v>2303</v>
      </c>
      <c r="D2303" t="s">
        <v>2304</v>
      </c>
      <c r="E2303" t="s">
        <v>1052</v>
      </c>
      <c r="F2303">
        <v>2</v>
      </c>
      <c r="G2303">
        <v>2</v>
      </c>
      <c r="H2303">
        <v>3.0577012291024799</v>
      </c>
      <c r="I2303" t="s">
        <v>957</v>
      </c>
      <c r="J2303" t="s">
        <v>4791</v>
      </c>
      <c r="K2303">
        <v>0.15</v>
      </c>
      <c r="L2303" t="s">
        <v>959</v>
      </c>
      <c r="M2303">
        <v>3.6496350364963499</v>
      </c>
      <c r="N2303" t="s">
        <v>960</v>
      </c>
      <c r="O2303">
        <v>0</v>
      </c>
      <c r="P2303">
        <v>0</v>
      </c>
      <c r="Q2303">
        <v>0</v>
      </c>
      <c r="R2303">
        <v>0</v>
      </c>
    </row>
    <row r="2304" spans="1:18" ht="16" x14ac:dyDescent="0.2">
      <c r="A2304" s="130" t="s">
        <v>3909</v>
      </c>
      <c r="B2304" t="s">
        <v>498</v>
      </c>
      <c r="C2304" t="s">
        <v>2142</v>
      </c>
      <c r="D2304" t="s">
        <v>2143</v>
      </c>
      <c r="E2304">
        <v>3</v>
      </c>
      <c r="F2304">
        <v>3</v>
      </c>
      <c r="G2304">
        <v>1</v>
      </c>
      <c r="H2304">
        <v>3.6147086278645499</v>
      </c>
      <c r="I2304" t="s">
        <v>957</v>
      </c>
      <c r="J2304" t="s">
        <v>4826</v>
      </c>
      <c r="K2304">
        <v>0.121428571428571</v>
      </c>
      <c r="L2304" t="s">
        <v>959</v>
      </c>
      <c r="M2304">
        <v>2.1897810218978102</v>
      </c>
      <c r="N2304" t="s">
        <v>960</v>
      </c>
      <c r="O2304">
        <v>0</v>
      </c>
      <c r="P2304">
        <v>0</v>
      </c>
      <c r="Q2304">
        <v>0</v>
      </c>
      <c r="R2304">
        <v>0</v>
      </c>
    </row>
    <row r="2305" spans="1:18" ht="16" x14ac:dyDescent="0.2">
      <c r="A2305" s="130" t="s">
        <v>3909</v>
      </c>
      <c r="B2305" t="s">
        <v>498</v>
      </c>
      <c r="C2305" t="s">
        <v>1875</v>
      </c>
      <c r="D2305" t="s">
        <v>1876</v>
      </c>
      <c r="E2305">
        <v>3</v>
      </c>
      <c r="F2305">
        <v>3</v>
      </c>
      <c r="G2305">
        <v>1</v>
      </c>
      <c r="H2305">
        <v>0.16464370666057199</v>
      </c>
      <c r="I2305" t="s">
        <v>957</v>
      </c>
      <c r="J2305" t="s">
        <v>3959</v>
      </c>
      <c r="K2305">
        <v>7.8571428571428598E-2</v>
      </c>
      <c r="L2305" t="s">
        <v>959</v>
      </c>
      <c r="M2305">
        <v>5.8394160583941597</v>
      </c>
      <c r="N2305" t="s">
        <v>960</v>
      </c>
      <c r="O2305">
        <v>0</v>
      </c>
      <c r="P2305">
        <v>0</v>
      </c>
      <c r="Q2305">
        <v>0</v>
      </c>
      <c r="R2305">
        <v>0</v>
      </c>
    </row>
    <row r="2306" spans="1:18" ht="16" x14ac:dyDescent="0.2">
      <c r="A2306" s="130" t="s">
        <v>3909</v>
      </c>
      <c r="B2306" t="s">
        <v>498</v>
      </c>
      <c r="C2306" t="s">
        <v>1100</v>
      </c>
      <c r="D2306" t="s">
        <v>1101</v>
      </c>
      <c r="E2306">
        <v>3</v>
      </c>
      <c r="F2306">
        <v>3</v>
      </c>
      <c r="G2306">
        <v>1</v>
      </c>
      <c r="H2306">
        <v>3.4351594952803302</v>
      </c>
      <c r="I2306" t="s">
        <v>957</v>
      </c>
      <c r="J2306" t="s">
        <v>1103</v>
      </c>
      <c r="K2306">
        <v>0.13571428571428601</v>
      </c>
      <c r="L2306" t="s">
        <v>959</v>
      </c>
      <c r="M2306">
        <v>3.6496350364963499</v>
      </c>
      <c r="N2306" t="s">
        <v>960</v>
      </c>
      <c r="O2306">
        <v>0</v>
      </c>
      <c r="P2306">
        <v>0</v>
      </c>
      <c r="Q2306">
        <v>0</v>
      </c>
      <c r="R2306">
        <v>0</v>
      </c>
    </row>
    <row r="2307" spans="1:18" ht="16" x14ac:dyDescent="0.2">
      <c r="A2307" s="130" t="s">
        <v>3909</v>
      </c>
      <c r="B2307" t="s">
        <v>498</v>
      </c>
      <c r="C2307" t="s">
        <v>4262</v>
      </c>
      <c r="D2307" t="s">
        <v>4263</v>
      </c>
      <c r="E2307" t="s">
        <v>4645</v>
      </c>
      <c r="F2307">
        <v>26</v>
      </c>
      <c r="G2307">
        <v>2</v>
      </c>
      <c r="H2307">
        <v>0.63981544101944599</v>
      </c>
      <c r="I2307" t="s">
        <v>957</v>
      </c>
      <c r="J2307" t="s">
        <v>4646</v>
      </c>
      <c r="K2307">
        <v>0.55172413793103403</v>
      </c>
      <c r="L2307" t="s">
        <v>972</v>
      </c>
      <c r="M2307">
        <v>5.8394160583941597</v>
      </c>
      <c r="N2307" t="s">
        <v>973</v>
      </c>
      <c r="O2307">
        <v>0</v>
      </c>
      <c r="P2307">
        <v>0</v>
      </c>
      <c r="Q2307">
        <v>0</v>
      </c>
      <c r="R2307">
        <v>0</v>
      </c>
    </row>
    <row r="2308" spans="1:18" ht="16" x14ac:dyDescent="0.2">
      <c r="A2308" s="130" t="s">
        <v>3909</v>
      </c>
      <c r="B2308" t="s">
        <v>498</v>
      </c>
      <c r="C2308" t="s">
        <v>2814</v>
      </c>
      <c r="D2308" t="s">
        <v>2815</v>
      </c>
      <c r="E2308">
        <v>4</v>
      </c>
      <c r="F2308">
        <v>4</v>
      </c>
      <c r="G2308">
        <v>1</v>
      </c>
      <c r="H2308">
        <v>2.91140824158802</v>
      </c>
      <c r="I2308" t="s">
        <v>957</v>
      </c>
      <c r="J2308" t="s">
        <v>4476</v>
      </c>
      <c r="K2308">
        <v>0.15</v>
      </c>
      <c r="L2308" t="s">
        <v>959</v>
      </c>
      <c r="M2308">
        <v>7.2992700729926998</v>
      </c>
      <c r="N2308" t="s">
        <v>960</v>
      </c>
      <c r="O2308">
        <v>0</v>
      </c>
      <c r="P2308">
        <v>0</v>
      </c>
      <c r="Q2308">
        <v>0</v>
      </c>
      <c r="R2308">
        <v>0</v>
      </c>
    </row>
    <row r="2309" spans="1:18" ht="16" x14ac:dyDescent="0.2">
      <c r="A2309" s="130" t="s">
        <v>3909</v>
      </c>
      <c r="B2309" t="s">
        <v>498</v>
      </c>
      <c r="C2309" t="s">
        <v>2877</v>
      </c>
      <c r="D2309" t="s">
        <v>2878</v>
      </c>
      <c r="E2309">
        <v>6</v>
      </c>
      <c r="F2309">
        <v>6</v>
      </c>
      <c r="G2309">
        <v>1</v>
      </c>
      <c r="H2309">
        <v>3.7577899870017601</v>
      </c>
      <c r="I2309" t="s">
        <v>957</v>
      </c>
      <c r="J2309" t="s">
        <v>4316</v>
      </c>
      <c r="K2309">
        <v>0.128571428571429</v>
      </c>
      <c r="L2309" t="s">
        <v>959</v>
      </c>
      <c r="M2309">
        <v>9.4890510948905096</v>
      </c>
      <c r="N2309" t="s">
        <v>960</v>
      </c>
      <c r="O2309">
        <v>0</v>
      </c>
      <c r="P2309" t="s">
        <v>5018</v>
      </c>
      <c r="Q2309">
        <v>0</v>
      </c>
      <c r="R2309">
        <v>0</v>
      </c>
    </row>
    <row r="2310" spans="1:18" ht="16" x14ac:dyDescent="0.2">
      <c r="A2310" s="130" t="s">
        <v>3909</v>
      </c>
      <c r="B2310" t="s">
        <v>502</v>
      </c>
      <c r="C2310" t="s">
        <v>2773</v>
      </c>
      <c r="D2310" t="s">
        <v>2774</v>
      </c>
      <c r="E2310" t="s">
        <v>1052</v>
      </c>
      <c r="F2310">
        <v>2</v>
      </c>
      <c r="G2310">
        <v>2</v>
      </c>
      <c r="H2310">
        <v>1.2422341711447999</v>
      </c>
      <c r="I2310" t="s">
        <v>957</v>
      </c>
      <c r="J2310" t="s">
        <v>4097</v>
      </c>
      <c r="K2310">
        <v>0.20714285714285699</v>
      </c>
      <c r="L2310" t="s">
        <v>959</v>
      </c>
      <c r="M2310">
        <v>8.0291970802919703</v>
      </c>
      <c r="N2310" t="s">
        <v>960</v>
      </c>
      <c r="O2310">
        <v>0</v>
      </c>
      <c r="P2310">
        <v>0</v>
      </c>
      <c r="Q2310">
        <v>0</v>
      </c>
      <c r="R2310">
        <v>0</v>
      </c>
    </row>
    <row r="2311" spans="1:18" ht="16" x14ac:dyDescent="0.2">
      <c r="A2311" s="130" t="s">
        <v>3909</v>
      </c>
      <c r="B2311" t="s">
        <v>502</v>
      </c>
      <c r="C2311" s="128" t="s">
        <v>2987</v>
      </c>
      <c r="D2311" t="s">
        <v>2988</v>
      </c>
      <c r="E2311" t="s">
        <v>1039</v>
      </c>
      <c r="F2311">
        <v>3</v>
      </c>
      <c r="G2311">
        <v>2</v>
      </c>
      <c r="H2311">
        <v>3.7383408040095301</v>
      </c>
      <c r="I2311" t="s">
        <v>957</v>
      </c>
      <c r="J2311" t="s">
        <v>3009</v>
      </c>
      <c r="K2311">
        <v>9.2857142857142902E-2</v>
      </c>
      <c r="L2311" t="s">
        <v>959</v>
      </c>
      <c r="M2311">
        <v>2.9197080291970798</v>
      </c>
      <c r="N2311" s="128" t="s">
        <v>960</v>
      </c>
      <c r="O2311">
        <v>0</v>
      </c>
      <c r="P2311">
        <v>0</v>
      </c>
      <c r="Q2311">
        <v>0</v>
      </c>
      <c r="R2311">
        <v>0</v>
      </c>
    </row>
    <row r="2312" spans="1:18" ht="16" x14ac:dyDescent="0.2">
      <c r="A2312" s="130" t="s">
        <v>3909</v>
      </c>
      <c r="B2312" t="s">
        <v>510</v>
      </c>
      <c r="C2312" t="s">
        <v>3011</v>
      </c>
      <c r="D2312" t="s">
        <v>3012</v>
      </c>
      <c r="E2312">
        <v>3</v>
      </c>
      <c r="F2312">
        <v>3</v>
      </c>
      <c r="G2312">
        <v>1</v>
      </c>
      <c r="H2312">
        <v>2.4341910597382999</v>
      </c>
      <c r="I2312" t="s">
        <v>957</v>
      </c>
      <c r="J2312" t="s">
        <v>4468</v>
      </c>
      <c r="K2312">
        <v>7.8571428571428598E-2</v>
      </c>
      <c r="L2312" t="s">
        <v>959</v>
      </c>
      <c r="M2312">
        <v>2.1897810218978102</v>
      </c>
      <c r="N2312" t="s">
        <v>960</v>
      </c>
      <c r="O2312">
        <v>0</v>
      </c>
      <c r="P2312">
        <v>0</v>
      </c>
      <c r="Q2312">
        <v>0</v>
      </c>
      <c r="R2312">
        <v>0</v>
      </c>
    </row>
    <row r="2313" spans="1:18" ht="16" x14ac:dyDescent="0.2">
      <c r="A2313" s="130" t="s">
        <v>3909</v>
      </c>
      <c r="B2313" t="s">
        <v>510</v>
      </c>
      <c r="C2313" t="s">
        <v>2310</v>
      </c>
      <c r="D2313" t="s">
        <v>2311</v>
      </c>
      <c r="E2313">
        <v>3</v>
      </c>
      <c r="F2313">
        <v>3</v>
      </c>
      <c r="G2313">
        <v>1</v>
      </c>
      <c r="H2313">
        <v>2.2289566300329402</v>
      </c>
      <c r="I2313" t="s">
        <v>957</v>
      </c>
      <c r="J2313" t="s">
        <v>4105</v>
      </c>
      <c r="K2313">
        <v>0.128571428571429</v>
      </c>
      <c r="L2313" t="s">
        <v>959</v>
      </c>
      <c r="M2313">
        <v>8.7591240875912408</v>
      </c>
      <c r="N2313" t="s">
        <v>960</v>
      </c>
      <c r="O2313">
        <v>0</v>
      </c>
      <c r="P2313">
        <v>0</v>
      </c>
      <c r="Q2313">
        <v>0</v>
      </c>
      <c r="R2313">
        <v>0</v>
      </c>
    </row>
    <row r="2314" spans="1:18" ht="16" x14ac:dyDescent="0.2">
      <c r="A2314" s="130" t="s">
        <v>3909</v>
      </c>
      <c r="B2314" t="s">
        <v>510</v>
      </c>
      <c r="C2314" t="s">
        <v>3305</v>
      </c>
      <c r="D2314" t="s">
        <v>3306</v>
      </c>
      <c r="E2314" t="s">
        <v>2857</v>
      </c>
      <c r="F2314">
        <v>6</v>
      </c>
      <c r="G2314">
        <v>2</v>
      </c>
      <c r="H2314">
        <v>3.7629727466429101</v>
      </c>
      <c r="I2314" t="s">
        <v>957</v>
      </c>
      <c r="J2314" t="s">
        <v>4860</v>
      </c>
      <c r="K2314">
        <v>0.16428571428571401</v>
      </c>
      <c r="L2314" t="s">
        <v>959</v>
      </c>
      <c r="M2314">
        <v>8.7591240875912408</v>
      </c>
      <c r="N2314" t="s">
        <v>960</v>
      </c>
      <c r="O2314">
        <v>0</v>
      </c>
      <c r="P2314">
        <v>0</v>
      </c>
      <c r="Q2314">
        <v>0</v>
      </c>
      <c r="R2314">
        <v>0</v>
      </c>
    </row>
    <row r="2315" spans="1:18" ht="16" x14ac:dyDescent="0.2">
      <c r="A2315" s="130" t="s">
        <v>3909</v>
      </c>
      <c r="B2315" t="s">
        <v>510</v>
      </c>
      <c r="C2315" t="s">
        <v>1041</v>
      </c>
      <c r="E2315">
        <v>3</v>
      </c>
      <c r="F2315">
        <v>3</v>
      </c>
      <c r="G2315">
        <v>1</v>
      </c>
      <c r="H2315">
        <v>1.55419702638913</v>
      </c>
      <c r="I2315" t="s">
        <v>957</v>
      </c>
      <c r="J2315" t="s">
        <v>4824</v>
      </c>
      <c r="K2315">
        <v>0.17142857142857101</v>
      </c>
      <c r="L2315" t="s">
        <v>959</v>
      </c>
      <c r="M2315">
        <v>6.5693430656934302</v>
      </c>
      <c r="N2315" t="s">
        <v>960</v>
      </c>
      <c r="O2315">
        <v>0</v>
      </c>
      <c r="P2315">
        <v>0</v>
      </c>
      <c r="Q2315">
        <v>0</v>
      </c>
      <c r="R2315">
        <v>0</v>
      </c>
    </row>
    <row r="2316" spans="1:18" ht="16" x14ac:dyDescent="0.2">
      <c r="A2316" s="130" t="s">
        <v>3909</v>
      </c>
      <c r="B2316" t="s">
        <v>510</v>
      </c>
      <c r="C2316" t="s">
        <v>2877</v>
      </c>
      <c r="D2316" t="s">
        <v>2878</v>
      </c>
      <c r="E2316">
        <v>6</v>
      </c>
      <c r="F2316">
        <v>6</v>
      </c>
      <c r="G2316">
        <v>1</v>
      </c>
      <c r="H2316">
        <v>3.7577899870017601</v>
      </c>
      <c r="I2316" t="s">
        <v>957</v>
      </c>
      <c r="J2316" t="s">
        <v>3969</v>
      </c>
      <c r="K2316">
        <v>0.128571428571429</v>
      </c>
      <c r="L2316" t="s">
        <v>959</v>
      </c>
      <c r="M2316">
        <v>9.4890510948905096</v>
      </c>
      <c r="N2316" t="s">
        <v>960</v>
      </c>
      <c r="O2316">
        <v>0</v>
      </c>
      <c r="P2316" t="s">
        <v>5018</v>
      </c>
      <c r="Q2316">
        <v>0</v>
      </c>
      <c r="R2316">
        <v>0</v>
      </c>
    </row>
    <row r="2317" spans="1:18" ht="16" x14ac:dyDescent="0.2">
      <c r="A2317" s="130" t="s">
        <v>3909</v>
      </c>
      <c r="B2317" t="s">
        <v>1524</v>
      </c>
      <c r="C2317" t="s">
        <v>3660</v>
      </c>
      <c r="E2317">
        <v>3</v>
      </c>
      <c r="F2317">
        <v>3</v>
      </c>
      <c r="G2317">
        <v>1</v>
      </c>
      <c r="H2317">
        <v>1.98587860525858</v>
      </c>
      <c r="I2317" t="s">
        <v>957</v>
      </c>
      <c r="J2317" t="s">
        <v>4341</v>
      </c>
      <c r="K2317">
        <v>0.17647058823529399</v>
      </c>
      <c r="L2317" t="s">
        <v>1099</v>
      </c>
      <c r="M2317">
        <v>2.9197080291970798</v>
      </c>
      <c r="N2317" t="s">
        <v>973</v>
      </c>
      <c r="O2317">
        <v>0</v>
      </c>
      <c r="P2317">
        <v>0</v>
      </c>
      <c r="Q2317">
        <v>0</v>
      </c>
      <c r="R2317">
        <v>0</v>
      </c>
    </row>
    <row r="2318" spans="1:18" ht="16" x14ac:dyDescent="0.2">
      <c r="A2318" s="130" t="s">
        <v>3909</v>
      </c>
      <c r="B2318" t="s">
        <v>1524</v>
      </c>
      <c r="C2318" t="s">
        <v>2111</v>
      </c>
      <c r="D2318" t="s">
        <v>2112</v>
      </c>
      <c r="E2318">
        <v>4</v>
      </c>
      <c r="F2318">
        <v>4</v>
      </c>
      <c r="G2318">
        <v>1</v>
      </c>
      <c r="H2318">
        <v>2.78341799418217</v>
      </c>
      <c r="I2318" t="s">
        <v>957</v>
      </c>
      <c r="J2318" t="s">
        <v>4895</v>
      </c>
      <c r="K2318">
        <v>0.35294117647058798</v>
      </c>
      <c r="L2318" t="s">
        <v>1099</v>
      </c>
      <c r="M2318">
        <v>7.2992700729926998</v>
      </c>
      <c r="N2318" t="s">
        <v>973</v>
      </c>
      <c r="O2318">
        <v>0</v>
      </c>
      <c r="P2318">
        <v>0</v>
      </c>
      <c r="Q2318">
        <v>0</v>
      </c>
      <c r="R2318">
        <v>0</v>
      </c>
    </row>
    <row r="2319" spans="1:18" ht="16" x14ac:dyDescent="0.2">
      <c r="A2319" s="130" t="s">
        <v>3909</v>
      </c>
      <c r="B2319" t="s">
        <v>1524</v>
      </c>
      <c r="C2319" t="s">
        <v>3910</v>
      </c>
      <c r="D2319" t="s">
        <v>3911</v>
      </c>
      <c r="E2319">
        <v>3</v>
      </c>
      <c r="F2319">
        <v>3</v>
      </c>
      <c r="G2319">
        <v>1</v>
      </c>
      <c r="H2319">
        <v>1.6091379850954699</v>
      </c>
      <c r="I2319" t="s">
        <v>957</v>
      </c>
      <c r="J2319" t="s">
        <v>4504</v>
      </c>
      <c r="K2319">
        <v>0.17647058823529399</v>
      </c>
      <c r="L2319" t="s">
        <v>1099</v>
      </c>
      <c r="M2319">
        <v>2.1897810218978102</v>
      </c>
      <c r="N2319" t="s">
        <v>973</v>
      </c>
      <c r="O2319">
        <v>0</v>
      </c>
      <c r="P2319">
        <v>0</v>
      </c>
      <c r="Q2319">
        <v>0</v>
      </c>
      <c r="R2319">
        <v>0</v>
      </c>
    </row>
    <row r="2320" spans="1:18" ht="16" x14ac:dyDescent="0.2">
      <c r="A2320" s="130" t="s">
        <v>3909</v>
      </c>
      <c r="B2320" t="s">
        <v>1524</v>
      </c>
      <c r="C2320" t="s">
        <v>2041</v>
      </c>
      <c r="D2320" t="s">
        <v>2042</v>
      </c>
      <c r="E2320">
        <v>3</v>
      </c>
      <c r="F2320">
        <v>3</v>
      </c>
      <c r="G2320">
        <v>1</v>
      </c>
      <c r="H2320">
        <v>2.4120374572274099</v>
      </c>
      <c r="I2320" t="s">
        <v>957</v>
      </c>
      <c r="J2320" t="s">
        <v>4347</v>
      </c>
      <c r="K2320">
        <v>0.11764705882352899</v>
      </c>
      <c r="L2320" t="s">
        <v>1099</v>
      </c>
      <c r="M2320">
        <v>2.1897810218978102</v>
      </c>
      <c r="N2320" t="s">
        <v>973</v>
      </c>
      <c r="O2320">
        <v>0</v>
      </c>
      <c r="P2320">
        <v>0</v>
      </c>
      <c r="Q2320">
        <v>0</v>
      </c>
      <c r="R2320">
        <v>0</v>
      </c>
    </row>
    <row r="2321" spans="1:18" ht="16" x14ac:dyDescent="0.2">
      <c r="A2321" s="130" t="s">
        <v>3909</v>
      </c>
      <c r="B2321" t="s">
        <v>1524</v>
      </c>
      <c r="C2321" t="s">
        <v>2971</v>
      </c>
      <c r="D2321" t="s">
        <v>3323</v>
      </c>
      <c r="E2321">
        <v>7</v>
      </c>
      <c r="F2321">
        <v>7</v>
      </c>
      <c r="G2321">
        <v>1</v>
      </c>
      <c r="H2321">
        <v>1.7436014410987</v>
      </c>
      <c r="I2321" t="s">
        <v>957</v>
      </c>
      <c r="J2321" t="s">
        <v>4546</v>
      </c>
      <c r="K2321">
        <v>0.17647058823529399</v>
      </c>
      <c r="L2321" t="s">
        <v>1099</v>
      </c>
      <c r="M2321">
        <v>5.10948905109489</v>
      </c>
      <c r="N2321" t="s">
        <v>973</v>
      </c>
      <c r="O2321">
        <v>0</v>
      </c>
      <c r="P2321">
        <v>0</v>
      </c>
      <c r="Q2321">
        <v>0</v>
      </c>
      <c r="R2321">
        <v>0</v>
      </c>
    </row>
    <row r="2322" spans="1:18" ht="16" x14ac:dyDescent="0.2">
      <c r="A2322" s="130" t="s">
        <v>3909</v>
      </c>
      <c r="B2322" t="s">
        <v>1524</v>
      </c>
      <c r="C2322" t="s">
        <v>1127</v>
      </c>
      <c r="E2322">
        <v>3</v>
      </c>
      <c r="F2322">
        <v>3</v>
      </c>
      <c r="G2322">
        <v>1</v>
      </c>
      <c r="H2322">
        <v>3.4878406109161499</v>
      </c>
      <c r="I2322" t="s">
        <v>957</v>
      </c>
      <c r="J2322" t="s">
        <v>4176</v>
      </c>
      <c r="K2322">
        <v>0.11764705882352899</v>
      </c>
      <c r="L2322" t="s">
        <v>1099</v>
      </c>
      <c r="M2322">
        <v>3.6496350364963499</v>
      </c>
      <c r="N2322" t="s">
        <v>973</v>
      </c>
      <c r="O2322">
        <v>0</v>
      </c>
      <c r="P2322">
        <v>0</v>
      </c>
      <c r="Q2322">
        <v>0</v>
      </c>
      <c r="R2322">
        <v>0</v>
      </c>
    </row>
    <row r="2323" spans="1:18" ht="16" x14ac:dyDescent="0.2">
      <c r="A2323" s="130" t="s">
        <v>3909</v>
      </c>
      <c r="B2323" t="s">
        <v>1524</v>
      </c>
      <c r="C2323" t="s">
        <v>1057</v>
      </c>
      <c r="D2323" t="s">
        <v>1058</v>
      </c>
      <c r="E2323">
        <v>3</v>
      </c>
      <c r="F2323">
        <v>3</v>
      </c>
      <c r="G2323">
        <v>1</v>
      </c>
      <c r="H2323">
        <v>0.90511797706291597</v>
      </c>
      <c r="I2323" t="s">
        <v>957</v>
      </c>
      <c r="J2323" t="s">
        <v>4976</v>
      </c>
      <c r="K2323">
        <v>0.23529411764705899</v>
      </c>
      <c r="L2323" t="s">
        <v>1099</v>
      </c>
      <c r="M2323">
        <v>5.10948905109489</v>
      </c>
      <c r="N2323" t="s">
        <v>973</v>
      </c>
      <c r="O2323">
        <v>0</v>
      </c>
      <c r="P2323">
        <v>0</v>
      </c>
      <c r="Q2323">
        <v>0</v>
      </c>
      <c r="R2323">
        <v>0</v>
      </c>
    </row>
    <row r="2324" spans="1:18" ht="16" x14ac:dyDescent="0.2">
      <c r="A2324" s="130" t="s">
        <v>3909</v>
      </c>
      <c r="B2324" t="s">
        <v>1524</v>
      </c>
      <c r="C2324" t="s">
        <v>1054</v>
      </c>
      <c r="D2324" t="s">
        <v>1055</v>
      </c>
      <c r="E2324">
        <v>3</v>
      </c>
      <c r="F2324">
        <v>3</v>
      </c>
      <c r="G2324">
        <v>1</v>
      </c>
      <c r="H2324">
        <v>1.6433151791338401</v>
      </c>
      <c r="I2324" t="s">
        <v>957</v>
      </c>
      <c r="J2324" t="s">
        <v>4228</v>
      </c>
      <c r="K2324">
        <v>0.23529411764705899</v>
      </c>
      <c r="L2324" t="s">
        <v>1099</v>
      </c>
      <c r="M2324">
        <v>5.10948905109489</v>
      </c>
      <c r="N2324" t="s">
        <v>973</v>
      </c>
      <c r="O2324">
        <v>0</v>
      </c>
      <c r="P2324">
        <v>0</v>
      </c>
      <c r="Q2324">
        <v>0</v>
      </c>
      <c r="R2324">
        <v>0</v>
      </c>
    </row>
    <row r="2325" spans="1:18" ht="16" x14ac:dyDescent="0.2">
      <c r="A2325" s="130" t="s">
        <v>3909</v>
      </c>
      <c r="B2325" t="s">
        <v>1524</v>
      </c>
      <c r="C2325" t="s">
        <v>1838</v>
      </c>
      <c r="D2325" t="s">
        <v>1839</v>
      </c>
      <c r="E2325">
        <v>4</v>
      </c>
      <c r="F2325">
        <v>4</v>
      </c>
      <c r="G2325">
        <v>1</v>
      </c>
      <c r="H2325">
        <v>1.4666381393944099</v>
      </c>
      <c r="I2325" t="s">
        <v>957</v>
      </c>
      <c r="J2325" t="s">
        <v>4867</v>
      </c>
      <c r="K2325">
        <v>0.23529411764705899</v>
      </c>
      <c r="L2325" t="s">
        <v>1099</v>
      </c>
      <c r="M2325">
        <v>3.6496350364963499</v>
      </c>
      <c r="N2325" t="s">
        <v>973</v>
      </c>
      <c r="O2325">
        <v>0</v>
      </c>
      <c r="P2325">
        <v>0</v>
      </c>
      <c r="Q2325">
        <v>0</v>
      </c>
      <c r="R2325">
        <v>0</v>
      </c>
    </row>
    <row r="2326" spans="1:18" ht="16" x14ac:dyDescent="0.2">
      <c r="A2326" s="130" t="s">
        <v>3909</v>
      </c>
      <c r="B2326" t="s">
        <v>1524</v>
      </c>
      <c r="C2326" t="s">
        <v>3715</v>
      </c>
      <c r="D2326" t="s">
        <v>3716</v>
      </c>
      <c r="E2326">
        <v>5</v>
      </c>
      <c r="F2326">
        <v>5</v>
      </c>
      <c r="G2326">
        <v>1</v>
      </c>
      <c r="H2326">
        <v>0.96751238546300899</v>
      </c>
      <c r="I2326" t="s">
        <v>957</v>
      </c>
      <c r="J2326" t="s">
        <v>4811</v>
      </c>
      <c r="K2326">
        <v>0.23529411764705899</v>
      </c>
      <c r="L2326" t="s">
        <v>1099</v>
      </c>
      <c r="M2326">
        <v>4.3795620437956204</v>
      </c>
      <c r="N2326" t="s">
        <v>973</v>
      </c>
      <c r="O2326">
        <v>0</v>
      </c>
      <c r="P2326">
        <v>0</v>
      </c>
      <c r="Q2326">
        <v>0</v>
      </c>
      <c r="R2326">
        <v>0</v>
      </c>
    </row>
    <row r="2327" spans="1:18" ht="16" x14ac:dyDescent="0.2">
      <c r="A2327" s="130" t="s">
        <v>3909</v>
      </c>
      <c r="B2327" t="s">
        <v>1524</v>
      </c>
      <c r="C2327" t="s">
        <v>3972</v>
      </c>
      <c r="D2327" t="s">
        <v>3973</v>
      </c>
      <c r="E2327">
        <v>3</v>
      </c>
      <c r="F2327">
        <v>3</v>
      </c>
      <c r="G2327">
        <v>1</v>
      </c>
      <c r="H2327">
        <v>1.01070984280533</v>
      </c>
      <c r="I2327" t="s">
        <v>957</v>
      </c>
      <c r="J2327" t="s">
        <v>3974</v>
      </c>
      <c r="K2327">
        <v>0.17647058823529399</v>
      </c>
      <c r="L2327" t="s">
        <v>1099</v>
      </c>
      <c r="M2327">
        <v>3.6496350364963499</v>
      </c>
      <c r="N2327" t="s">
        <v>973</v>
      </c>
      <c r="O2327">
        <v>0</v>
      </c>
      <c r="P2327">
        <v>0</v>
      </c>
      <c r="Q2327">
        <v>0</v>
      </c>
      <c r="R2327">
        <v>0</v>
      </c>
    </row>
    <row r="2328" spans="1:18" ht="16" x14ac:dyDescent="0.2">
      <c r="A2328" s="130" t="s">
        <v>3909</v>
      </c>
      <c r="B2328" t="s">
        <v>1524</v>
      </c>
      <c r="C2328" t="s">
        <v>2249</v>
      </c>
      <c r="D2328" t="s">
        <v>2250</v>
      </c>
      <c r="E2328">
        <v>3</v>
      </c>
      <c r="F2328">
        <v>3</v>
      </c>
      <c r="G2328">
        <v>1</v>
      </c>
      <c r="H2328">
        <v>0.65985851789556604</v>
      </c>
      <c r="I2328" t="s">
        <v>957</v>
      </c>
      <c r="J2328" t="s">
        <v>4612</v>
      </c>
      <c r="K2328">
        <v>0.29411764705882398</v>
      </c>
      <c r="L2328" t="s">
        <v>1099</v>
      </c>
      <c r="M2328">
        <v>6.5693430656934302</v>
      </c>
      <c r="N2328" t="s">
        <v>973</v>
      </c>
      <c r="O2328">
        <v>0</v>
      </c>
      <c r="P2328">
        <v>0</v>
      </c>
      <c r="Q2328">
        <v>0</v>
      </c>
      <c r="R2328">
        <v>0</v>
      </c>
    </row>
    <row r="2329" spans="1:18" ht="16" x14ac:dyDescent="0.2">
      <c r="A2329" s="130" t="s">
        <v>3909</v>
      </c>
      <c r="B2329" t="s">
        <v>1524</v>
      </c>
      <c r="C2329" t="s">
        <v>4190</v>
      </c>
      <c r="D2329" t="s">
        <v>4373</v>
      </c>
      <c r="E2329">
        <v>5</v>
      </c>
      <c r="F2329">
        <v>5</v>
      </c>
      <c r="G2329">
        <v>1</v>
      </c>
      <c r="H2329">
        <v>0.91618713383054395</v>
      </c>
      <c r="I2329" t="s">
        <v>957</v>
      </c>
      <c r="J2329" t="s">
        <v>4486</v>
      </c>
      <c r="K2329">
        <v>0.35294117647058798</v>
      </c>
      <c r="L2329" t="s">
        <v>1099</v>
      </c>
      <c r="M2329">
        <v>4.3795620437956204</v>
      </c>
      <c r="N2329" t="s">
        <v>973</v>
      </c>
      <c r="O2329">
        <v>0</v>
      </c>
      <c r="P2329">
        <v>0</v>
      </c>
      <c r="Q2329">
        <v>0</v>
      </c>
      <c r="R2329">
        <v>0</v>
      </c>
    </row>
    <row r="2330" spans="1:18" ht="16" x14ac:dyDescent="0.2">
      <c r="A2330" s="130" t="s">
        <v>3909</v>
      </c>
      <c r="B2330" t="s">
        <v>514</v>
      </c>
      <c r="C2330" t="s">
        <v>2310</v>
      </c>
      <c r="D2330" t="s">
        <v>2311</v>
      </c>
      <c r="E2330">
        <v>5</v>
      </c>
      <c r="F2330">
        <v>5</v>
      </c>
      <c r="G2330">
        <v>1</v>
      </c>
      <c r="H2330">
        <v>2.87369615111685</v>
      </c>
      <c r="I2330" t="s">
        <v>957</v>
      </c>
      <c r="J2330" t="s">
        <v>4848</v>
      </c>
      <c r="K2330">
        <v>0.128571428571429</v>
      </c>
      <c r="L2330" t="s">
        <v>959</v>
      </c>
      <c r="M2330">
        <v>8.7591240875912408</v>
      </c>
      <c r="N2330" t="s">
        <v>960</v>
      </c>
      <c r="O2330">
        <v>0</v>
      </c>
      <c r="P2330">
        <v>0</v>
      </c>
      <c r="Q2330">
        <v>0</v>
      </c>
      <c r="R2330">
        <v>0</v>
      </c>
    </row>
    <row r="2331" spans="1:18" ht="16" x14ac:dyDescent="0.2">
      <c r="A2331" s="130" t="s">
        <v>3909</v>
      </c>
      <c r="B2331" t="s">
        <v>514</v>
      </c>
      <c r="C2331" t="s">
        <v>1170</v>
      </c>
      <c r="D2331" t="s">
        <v>1171</v>
      </c>
      <c r="E2331" t="s">
        <v>1482</v>
      </c>
      <c r="F2331">
        <v>16</v>
      </c>
      <c r="G2331">
        <v>2</v>
      </c>
      <c r="H2331">
        <v>3.24064010993101</v>
      </c>
      <c r="I2331" t="s">
        <v>957</v>
      </c>
      <c r="J2331" t="s">
        <v>2327</v>
      </c>
      <c r="K2331">
        <v>4.2857142857142899E-2</v>
      </c>
      <c r="L2331" t="s">
        <v>959</v>
      </c>
      <c r="M2331">
        <v>4.3795620437956204</v>
      </c>
      <c r="N2331" t="s">
        <v>960</v>
      </c>
      <c r="O2331">
        <v>0</v>
      </c>
      <c r="P2331">
        <v>0</v>
      </c>
      <c r="Q2331">
        <v>0</v>
      </c>
      <c r="R2331">
        <v>0</v>
      </c>
    </row>
    <row r="2332" spans="1:18" ht="16" x14ac:dyDescent="0.2">
      <c r="A2332" s="130" t="s">
        <v>3909</v>
      </c>
      <c r="B2332" t="s">
        <v>514</v>
      </c>
      <c r="C2332" t="s">
        <v>2230</v>
      </c>
      <c r="D2332" t="s">
        <v>2231</v>
      </c>
      <c r="E2332">
        <v>3</v>
      </c>
      <c r="F2332">
        <v>3</v>
      </c>
      <c r="G2332">
        <v>1</v>
      </c>
      <c r="H2332">
        <v>3.9126830866809499</v>
      </c>
      <c r="I2332" t="s">
        <v>957</v>
      </c>
      <c r="J2332" t="s">
        <v>4711</v>
      </c>
      <c r="K2332">
        <v>0.157142857142857</v>
      </c>
      <c r="L2332" t="s">
        <v>959</v>
      </c>
      <c r="M2332">
        <v>4.3795620437956204</v>
      </c>
      <c r="N2332" t="s">
        <v>960</v>
      </c>
      <c r="O2332">
        <v>0</v>
      </c>
      <c r="P2332">
        <v>0</v>
      </c>
      <c r="Q2332">
        <v>0</v>
      </c>
      <c r="R2332">
        <v>0</v>
      </c>
    </row>
    <row r="2333" spans="1:18" ht="16" x14ac:dyDescent="0.2">
      <c r="A2333" s="130" t="s">
        <v>3909</v>
      </c>
      <c r="B2333" t="s">
        <v>514</v>
      </c>
      <c r="C2333" t="s">
        <v>1459</v>
      </c>
      <c r="D2333" t="s">
        <v>4170</v>
      </c>
      <c r="E2333">
        <v>3</v>
      </c>
      <c r="F2333">
        <v>3</v>
      </c>
      <c r="G2333">
        <v>1</v>
      </c>
      <c r="H2333">
        <v>0.68710761807723897</v>
      </c>
      <c r="I2333" t="s">
        <v>957</v>
      </c>
      <c r="J2333" t="s">
        <v>4298</v>
      </c>
      <c r="K2333">
        <v>7.1428571428571397E-2</v>
      </c>
      <c r="L2333" t="s">
        <v>959</v>
      </c>
      <c r="M2333">
        <v>8.0291970802919703</v>
      </c>
      <c r="N2333" t="s">
        <v>960</v>
      </c>
      <c r="O2333">
        <v>0</v>
      </c>
      <c r="P2333" t="s">
        <v>5017</v>
      </c>
      <c r="Q2333">
        <v>0</v>
      </c>
      <c r="R2333" t="s">
        <v>5019</v>
      </c>
    </row>
    <row r="2334" spans="1:18" ht="16" x14ac:dyDescent="0.2">
      <c r="A2334" s="130" t="s">
        <v>3909</v>
      </c>
      <c r="B2334" t="s">
        <v>514</v>
      </c>
      <c r="C2334" t="s">
        <v>3830</v>
      </c>
      <c r="D2334" t="s">
        <v>3831</v>
      </c>
      <c r="E2334">
        <v>3</v>
      </c>
      <c r="F2334">
        <v>3</v>
      </c>
      <c r="G2334">
        <v>1</v>
      </c>
      <c r="H2334">
        <v>1.7370290434683</v>
      </c>
      <c r="I2334" t="s">
        <v>957</v>
      </c>
      <c r="J2334" t="s">
        <v>4389</v>
      </c>
      <c r="K2334">
        <v>0.17142857142857101</v>
      </c>
      <c r="L2334" t="s">
        <v>959</v>
      </c>
      <c r="M2334">
        <v>8.7591240875912408</v>
      </c>
      <c r="N2334" t="s">
        <v>960</v>
      </c>
      <c r="O2334">
        <v>0</v>
      </c>
      <c r="P2334">
        <v>0</v>
      </c>
      <c r="Q2334">
        <v>0</v>
      </c>
      <c r="R2334">
        <v>0</v>
      </c>
    </row>
    <row r="2335" spans="1:18" ht="16" x14ac:dyDescent="0.2">
      <c r="A2335" s="130" t="s">
        <v>3909</v>
      </c>
      <c r="B2335" t="s">
        <v>514</v>
      </c>
      <c r="C2335" t="s">
        <v>2488</v>
      </c>
      <c r="D2335" t="s">
        <v>2489</v>
      </c>
      <c r="E2335">
        <v>3</v>
      </c>
      <c r="F2335">
        <v>3</v>
      </c>
      <c r="G2335">
        <v>1</v>
      </c>
      <c r="H2335">
        <v>2.4143700983194298</v>
      </c>
      <c r="I2335" t="s">
        <v>957</v>
      </c>
      <c r="J2335" t="s">
        <v>2490</v>
      </c>
      <c r="K2335">
        <v>0.114285714285714</v>
      </c>
      <c r="L2335" t="s">
        <v>959</v>
      </c>
      <c r="M2335">
        <v>5.10948905109489</v>
      </c>
      <c r="N2335" t="s">
        <v>960</v>
      </c>
      <c r="O2335">
        <v>0</v>
      </c>
      <c r="P2335">
        <v>0</v>
      </c>
      <c r="Q2335">
        <v>0</v>
      </c>
      <c r="R2335">
        <v>0</v>
      </c>
    </row>
    <row r="2336" spans="1:18" ht="16" x14ac:dyDescent="0.2">
      <c r="A2336" s="130" t="s">
        <v>3909</v>
      </c>
      <c r="B2336" t="s">
        <v>514</v>
      </c>
      <c r="C2336" t="s">
        <v>3308</v>
      </c>
      <c r="D2336" t="s">
        <v>3309</v>
      </c>
      <c r="E2336">
        <v>4</v>
      </c>
      <c r="F2336">
        <v>4</v>
      </c>
      <c r="G2336">
        <v>1</v>
      </c>
      <c r="H2336">
        <v>3.0780918443332599</v>
      </c>
      <c r="I2336" t="s">
        <v>957</v>
      </c>
      <c r="J2336" t="s">
        <v>4147</v>
      </c>
      <c r="K2336">
        <v>7.8571428571428598E-2</v>
      </c>
      <c r="L2336" t="s">
        <v>959</v>
      </c>
      <c r="M2336">
        <v>3.6496350364963499</v>
      </c>
      <c r="N2336" t="s">
        <v>960</v>
      </c>
      <c r="O2336">
        <v>0</v>
      </c>
      <c r="P2336">
        <v>0</v>
      </c>
      <c r="Q2336">
        <v>0</v>
      </c>
      <c r="R2336">
        <v>0</v>
      </c>
    </row>
    <row r="2337" spans="1:18" ht="16" x14ac:dyDescent="0.2">
      <c r="A2337" s="130" t="s">
        <v>3909</v>
      </c>
      <c r="B2337" t="s">
        <v>518</v>
      </c>
      <c r="C2337" t="s">
        <v>1170</v>
      </c>
      <c r="D2337" t="s">
        <v>1171</v>
      </c>
      <c r="E2337">
        <v>7</v>
      </c>
      <c r="F2337">
        <v>7</v>
      </c>
      <c r="G2337">
        <v>1</v>
      </c>
      <c r="H2337">
        <v>1.2251375982013699</v>
      </c>
      <c r="I2337" t="s">
        <v>957</v>
      </c>
      <c r="J2337" t="s">
        <v>2050</v>
      </c>
      <c r="K2337">
        <v>4.2857142857142899E-2</v>
      </c>
      <c r="L2337" t="s">
        <v>959</v>
      </c>
      <c r="M2337">
        <v>4.3795620437956204</v>
      </c>
      <c r="N2337" t="s">
        <v>960</v>
      </c>
      <c r="O2337" t="s">
        <v>5017</v>
      </c>
      <c r="P2337">
        <v>0</v>
      </c>
      <c r="Q2337">
        <v>0</v>
      </c>
      <c r="R2337">
        <v>0</v>
      </c>
    </row>
    <row r="2338" spans="1:18" ht="16" x14ac:dyDescent="0.2">
      <c r="A2338" s="130" t="s">
        <v>3909</v>
      </c>
      <c r="B2338" t="s">
        <v>518</v>
      </c>
      <c r="C2338" t="s">
        <v>2101</v>
      </c>
      <c r="D2338" t="s">
        <v>3933</v>
      </c>
      <c r="E2338" t="s">
        <v>3934</v>
      </c>
      <c r="F2338">
        <v>14</v>
      </c>
      <c r="G2338">
        <v>3</v>
      </c>
      <c r="H2338">
        <v>2.0162539802722401</v>
      </c>
      <c r="I2338" t="s">
        <v>957</v>
      </c>
      <c r="J2338" t="s">
        <v>2104</v>
      </c>
      <c r="K2338">
        <v>2.1428571428571401E-2</v>
      </c>
      <c r="L2338" t="s">
        <v>959</v>
      </c>
      <c r="M2338">
        <v>2.1897810218978102</v>
      </c>
      <c r="N2338" t="s">
        <v>960</v>
      </c>
      <c r="O2338" t="s">
        <v>5017</v>
      </c>
      <c r="P2338">
        <v>0</v>
      </c>
      <c r="Q2338">
        <v>0</v>
      </c>
      <c r="R2338">
        <v>0</v>
      </c>
    </row>
    <row r="2339" spans="1:18" ht="16" x14ac:dyDescent="0.2">
      <c r="A2339" s="130" t="s">
        <v>3909</v>
      </c>
      <c r="B2339" t="s">
        <v>518</v>
      </c>
      <c r="C2339" t="s">
        <v>1121</v>
      </c>
      <c r="D2339" t="s">
        <v>1122</v>
      </c>
      <c r="E2339">
        <v>4</v>
      </c>
      <c r="F2339">
        <v>4</v>
      </c>
      <c r="G2339">
        <v>1</v>
      </c>
      <c r="H2339">
        <v>3.7725753327024201</v>
      </c>
      <c r="I2339" t="s">
        <v>957</v>
      </c>
      <c r="J2339" t="s">
        <v>1707</v>
      </c>
      <c r="K2339">
        <v>2.1428571428571401E-2</v>
      </c>
      <c r="L2339" t="s">
        <v>959</v>
      </c>
      <c r="M2339">
        <v>2.1897810218978102</v>
      </c>
      <c r="N2339" t="s">
        <v>960</v>
      </c>
      <c r="O2339" t="s">
        <v>5017</v>
      </c>
      <c r="P2339">
        <v>0</v>
      </c>
      <c r="Q2339">
        <v>0</v>
      </c>
      <c r="R2339">
        <v>0</v>
      </c>
    </row>
    <row r="2340" spans="1:18" ht="16" x14ac:dyDescent="0.2">
      <c r="A2340" s="130" t="s">
        <v>3909</v>
      </c>
      <c r="B2340" t="s">
        <v>518</v>
      </c>
      <c r="C2340" t="s">
        <v>2424</v>
      </c>
      <c r="D2340" t="s">
        <v>2425</v>
      </c>
      <c r="E2340" t="s">
        <v>1022</v>
      </c>
      <c r="F2340">
        <v>3</v>
      </c>
      <c r="G2340">
        <v>2</v>
      </c>
      <c r="H2340">
        <v>1.9413997032017001</v>
      </c>
      <c r="I2340" t="s">
        <v>957</v>
      </c>
      <c r="J2340" t="s">
        <v>4960</v>
      </c>
      <c r="K2340">
        <v>0.16428571428571401</v>
      </c>
      <c r="L2340" t="s">
        <v>959</v>
      </c>
      <c r="M2340">
        <v>8.0291970802919703</v>
      </c>
      <c r="N2340" t="s">
        <v>960</v>
      </c>
      <c r="O2340" t="s">
        <v>5017</v>
      </c>
      <c r="P2340">
        <v>0</v>
      </c>
      <c r="Q2340">
        <v>0</v>
      </c>
      <c r="R2340">
        <v>0</v>
      </c>
    </row>
    <row r="2341" spans="1:18" ht="16" x14ac:dyDescent="0.2">
      <c r="A2341" s="130" t="s">
        <v>3909</v>
      </c>
      <c r="B2341" t="s">
        <v>522</v>
      </c>
      <c r="C2341" t="s">
        <v>1235</v>
      </c>
      <c r="D2341" t="s">
        <v>1236</v>
      </c>
      <c r="E2341">
        <v>4</v>
      </c>
      <c r="F2341">
        <v>4</v>
      </c>
      <c r="G2341">
        <v>1</v>
      </c>
      <c r="H2341">
        <v>4.0731600145972697</v>
      </c>
      <c r="I2341" t="s">
        <v>957</v>
      </c>
      <c r="J2341" t="s">
        <v>4201</v>
      </c>
      <c r="K2341">
        <v>0.13571428571428601</v>
      </c>
      <c r="L2341" t="s">
        <v>959</v>
      </c>
      <c r="M2341">
        <v>2.9197080291970798</v>
      </c>
      <c r="N2341" t="s">
        <v>960</v>
      </c>
      <c r="O2341">
        <v>0</v>
      </c>
      <c r="P2341">
        <v>0</v>
      </c>
      <c r="Q2341">
        <v>0</v>
      </c>
      <c r="R2341">
        <v>0</v>
      </c>
    </row>
    <row r="2342" spans="1:18" ht="16" x14ac:dyDescent="0.2">
      <c r="A2342" s="130" t="s">
        <v>3909</v>
      </c>
      <c r="B2342" t="s">
        <v>522</v>
      </c>
      <c r="C2342" t="s">
        <v>2230</v>
      </c>
      <c r="D2342" t="s">
        <v>2231</v>
      </c>
      <c r="E2342">
        <v>4</v>
      </c>
      <c r="F2342">
        <v>4</v>
      </c>
      <c r="G2342">
        <v>1</v>
      </c>
      <c r="H2342">
        <v>3.9126830866809499</v>
      </c>
      <c r="I2342" t="s">
        <v>957</v>
      </c>
      <c r="J2342" t="s">
        <v>4868</v>
      </c>
      <c r="K2342">
        <v>0.157142857142857</v>
      </c>
      <c r="L2342" t="s">
        <v>959</v>
      </c>
      <c r="M2342">
        <v>4.3795620437956204</v>
      </c>
      <c r="N2342" t="s">
        <v>960</v>
      </c>
      <c r="O2342">
        <v>0</v>
      </c>
      <c r="P2342">
        <v>0</v>
      </c>
      <c r="Q2342">
        <v>0</v>
      </c>
      <c r="R2342">
        <v>0</v>
      </c>
    </row>
    <row r="2343" spans="1:18" ht="16" x14ac:dyDescent="0.2">
      <c r="A2343" s="130" t="s">
        <v>3909</v>
      </c>
      <c r="B2343" t="s">
        <v>522</v>
      </c>
      <c r="C2343" t="s">
        <v>1402</v>
      </c>
      <c r="D2343" t="s">
        <v>1403</v>
      </c>
      <c r="E2343">
        <v>4</v>
      </c>
      <c r="F2343">
        <v>4</v>
      </c>
      <c r="G2343">
        <v>1</v>
      </c>
      <c r="H2343">
        <v>2.2968832864191802</v>
      </c>
      <c r="I2343" t="s">
        <v>957</v>
      </c>
      <c r="J2343" t="s">
        <v>4935</v>
      </c>
      <c r="K2343">
        <v>0.185714285714286</v>
      </c>
      <c r="L2343" t="s">
        <v>959</v>
      </c>
      <c r="M2343">
        <v>9.4890510948905096</v>
      </c>
      <c r="N2343" t="s">
        <v>960</v>
      </c>
      <c r="O2343">
        <v>0</v>
      </c>
      <c r="P2343">
        <v>0</v>
      </c>
      <c r="Q2343">
        <v>0</v>
      </c>
      <c r="R2343">
        <v>0</v>
      </c>
    </row>
    <row r="2344" spans="1:18" ht="16" x14ac:dyDescent="0.2">
      <c r="A2344" s="130" t="s">
        <v>3909</v>
      </c>
      <c r="B2344" t="s">
        <v>522</v>
      </c>
      <c r="C2344" t="s">
        <v>1842</v>
      </c>
      <c r="D2344" t="s">
        <v>1843</v>
      </c>
      <c r="E2344" t="s">
        <v>1974</v>
      </c>
      <c r="F2344">
        <v>5</v>
      </c>
      <c r="G2344">
        <v>2</v>
      </c>
      <c r="H2344">
        <v>2.5781103927156801</v>
      </c>
      <c r="I2344" t="s">
        <v>957</v>
      </c>
      <c r="J2344" t="s">
        <v>4521</v>
      </c>
      <c r="K2344">
        <v>0.20689655172413801</v>
      </c>
      <c r="L2344" t="s">
        <v>972</v>
      </c>
      <c r="M2344">
        <v>2.1897810218978102</v>
      </c>
      <c r="N2344" t="s">
        <v>973</v>
      </c>
      <c r="O2344">
        <v>0</v>
      </c>
      <c r="P2344">
        <v>0</v>
      </c>
      <c r="Q2344">
        <v>0</v>
      </c>
      <c r="R2344">
        <v>0</v>
      </c>
    </row>
    <row r="2345" spans="1:18" ht="16" x14ac:dyDescent="0.2">
      <c r="A2345" s="130" t="s">
        <v>3909</v>
      </c>
      <c r="B2345" t="s">
        <v>522</v>
      </c>
      <c r="C2345" t="s">
        <v>1197</v>
      </c>
      <c r="D2345" t="s">
        <v>1198</v>
      </c>
      <c r="E2345">
        <v>3</v>
      </c>
      <c r="F2345">
        <v>3</v>
      </c>
      <c r="G2345">
        <v>1</v>
      </c>
      <c r="H2345">
        <v>3.14543775970502</v>
      </c>
      <c r="I2345" t="s">
        <v>957</v>
      </c>
      <c r="J2345" t="s">
        <v>4498</v>
      </c>
      <c r="K2345">
        <v>0.17142857142857101</v>
      </c>
      <c r="L2345" t="s">
        <v>959</v>
      </c>
      <c r="M2345">
        <v>5.8394160583941597</v>
      </c>
      <c r="N2345" t="s">
        <v>960</v>
      </c>
      <c r="O2345">
        <v>0</v>
      </c>
      <c r="P2345">
        <v>0</v>
      </c>
      <c r="Q2345">
        <v>0</v>
      </c>
      <c r="R2345">
        <v>0</v>
      </c>
    </row>
    <row r="2346" spans="1:18" ht="16" x14ac:dyDescent="0.2">
      <c r="A2346" s="130" t="s">
        <v>3909</v>
      </c>
      <c r="B2346" t="s">
        <v>522</v>
      </c>
      <c r="C2346" t="s">
        <v>1480</v>
      </c>
      <c r="D2346" t="s">
        <v>2208</v>
      </c>
      <c r="E2346">
        <v>3</v>
      </c>
      <c r="F2346">
        <v>3</v>
      </c>
      <c r="G2346">
        <v>1</v>
      </c>
      <c r="H2346">
        <v>1.9189710475216499</v>
      </c>
      <c r="I2346" t="s">
        <v>957</v>
      </c>
      <c r="J2346" t="s">
        <v>4125</v>
      </c>
      <c r="K2346">
        <v>0.13571428571428601</v>
      </c>
      <c r="L2346" t="s">
        <v>959</v>
      </c>
      <c r="M2346">
        <v>8.0291970802919703</v>
      </c>
      <c r="N2346" t="s">
        <v>960</v>
      </c>
      <c r="O2346">
        <v>0</v>
      </c>
      <c r="P2346">
        <v>0</v>
      </c>
      <c r="Q2346">
        <v>0</v>
      </c>
      <c r="R2346" t="s">
        <v>5019</v>
      </c>
    </row>
    <row r="2347" spans="1:18" ht="16" x14ac:dyDescent="0.2">
      <c r="A2347" s="130" t="s">
        <v>3909</v>
      </c>
      <c r="B2347" t="s">
        <v>522</v>
      </c>
      <c r="C2347" t="s">
        <v>4078</v>
      </c>
      <c r="D2347" t="s">
        <v>4079</v>
      </c>
      <c r="E2347" t="s">
        <v>1074</v>
      </c>
      <c r="F2347">
        <v>6</v>
      </c>
      <c r="G2347">
        <v>2</v>
      </c>
      <c r="H2347">
        <v>2.6079574856182899</v>
      </c>
      <c r="I2347" t="s">
        <v>957</v>
      </c>
      <c r="J2347" t="s">
        <v>4080</v>
      </c>
      <c r="K2347">
        <v>0.37931034482758602</v>
      </c>
      <c r="L2347" t="s">
        <v>972</v>
      </c>
      <c r="M2347">
        <v>4.3795620437956204</v>
      </c>
      <c r="N2347" t="s">
        <v>973</v>
      </c>
      <c r="O2347">
        <v>0</v>
      </c>
      <c r="P2347">
        <v>0</v>
      </c>
      <c r="Q2347">
        <v>0</v>
      </c>
      <c r="R2347">
        <v>0</v>
      </c>
    </row>
    <row r="2348" spans="1:18" ht="16" x14ac:dyDescent="0.2">
      <c r="A2348" s="130" t="s">
        <v>3909</v>
      </c>
      <c r="B2348" t="s">
        <v>522</v>
      </c>
      <c r="C2348" t="s">
        <v>2904</v>
      </c>
      <c r="D2348" t="s">
        <v>2905</v>
      </c>
      <c r="E2348" t="s">
        <v>1074</v>
      </c>
      <c r="F2348">
        <v>6</v>
      </c>
      <c r="G2348">
        <v>2</v>
      </c>
      <c r="H2348">
        <v>2.0710106932350998</v>
      </c>
      <c r="I2348" t="s">
        <v>957</v>
      </c>
      <c r="J2348" t="s">
        <v>4500</v>
      </c>
      <c r="K2348">
        <v>0.34482758620689702</v>
      </c>
      <c r="L2348" t="s">
        <v>972</v>
      </c>
      <c r="M2348">
        <v>7.2992700729926998</v>
      </c>
      <c r="N2348" t="s">
        <v>973</v>
      </c>
      <c r="O2348">
        <v>0</v>
      </c>
      <c r="P2348">
        <v>0</v>
      </c>
      <c r="Q2348">
        <v>0</v>
      </c>
      <c r="R2348">
        <v>0</v>
      </c>
    </row>
    <row r="2349" spans="1:18" ht="16" x14ac:dyDescent="0.2">
      <c r="A2349" s="130" t="s">
        <v>3909</v>
      </c>
      <c r="B2349" t="s">
        <v>522</v>
      </c>
      <c r="C2349" t="s">
        <v>3035</v>
      </c>
      <c r="D2349" t="s">
        <v>3036</v>
      </c>
      <c r="E2349" t="s">
        <v>1052</v>
      </c>
      <c r="F2349">
        <v>2</v>
      </c>
      <c r="G2349">
        <v>2</v>
      </c>
      <c r="H2349">
        <v>2.1330903384110802</v>
      </c>
      <c r="I2349" t="s">
        <v>957</v>
      </c>
      <c r="J2349" t="s">
        <v>4490</v>
      </c>
      <c r="K2349">
        <v>0.20714285714285699</v>
      </c>
      <c r="L2349" t="s">
        <v>959</v>
      </c>
      <c r="M2349">
        <v>3.6496350364963499</v>
      </c>
      <c r="N2349" t="s">
        <v>960</v>
      </c>
      <c r="O2349">
        <v>0</v>
      </c>
      <c r="P2349">
        <v>0</v>
      </c>
      <c r="Q2349">
        <v>0</v>
      </c>
      <c r="R2349">
        <v>0</v>
      </c>
    </row>
    <row r="2350" spans="1:18" ht="16" x14ac:dyDescent="0.2">
      <c r="A2350" s="130" t="s">
        <v>3909</v>
      </c>
      <c r="B2350" t="s">
        <v>522</v>
      </c>
      <c r="C2350" t="s">
        <v>2446</v>
      </c>
      <c r="D2350" t="s">
        <v>4441</v>
      </c>
      <c r="E2350">
        <v>3</v>
      </c>
      <c r="F2350">
        <v>3</v>
      </c>
      <c r="G2350">
        <v>1</v>
      </c>
      <c r="H2350">
        <v>3.6172583097600999</v>
      </c>
      <c r="I2350" t="s">
        <v>957</v>
      </c>
      <c r="J2350" t="s">
        <v>4986</v>
      </c>
      <c r="K2350">
        <v>7.8571428571428598E-2</v>
      </c>
      <c r="L2350" t="s">
        <v>959</v>
      </c>
      <c r="M2350">
        <v>3.6496350364963499</v>
      </c>
      <c r="N2350" t="s">
        <v>960</v>
      </c>
      <c r="O2350">
        <v>0</v>
      </c>
      <c r="P2350">
        <v>0</v>
      </c>
      <c r="Q2350">
        <v>0</v>
      </c>
      <c r="R2350">
        <v>0</v>
      </c>
    </row>
    <row r="2351" spans="1:18" ht="16" x14ac:dyDescent="0.2">
      <c r="A2351" s="130" t="s">
        <v>3909</v>
      </c>
      <c r="B2351" t="s">
        <v>522</v>
      </c>
      <c r="C2351" t="s">
        <v>1715</v>
      </c>
      <c r="D2351" t="s">
        <v>1716</v>
      </c>
      <c r="E2351" t="s">
        <v>1039</v>
      </c>
      <c r="F2351">
        <v>3</v>
      </c>
      <c r="G2351">
        <v>2</v>
      </c>
      <c r="H2351">
        <v>4.0638230744529196</v>
      </c>
      <c r="I2351" t="s">
        <v>957</v>
      </c>
      <c r="J2351" t="s">
        <v>4510</v>
      </c>
      <c r="K2351">
        <v>0.1</v>
      </c>
      <c r="L2351" t="s">
        <v>959</v>
      </c>
      <c r="M2351">
        <v>3.6496350364963499</v>
      </c>
      <c r="N2351" t="s">
        <v>987</v>
      </c>
      <c r="O2351">
        <v>0</v>
      </c>
      <c r="P2351">
        <v>0</v>
      </c>
      <c r="Q2351">
        <v>0</v>
      </c>
      <c r="R2351">
        <v>0</v>
      </c>
    </row>
    <row r="2352" spans="1:18" ht="16" x14ac:dyDescent="0.2">
      <c r="A2352" s="130" t="s">
        <v>3909</v>
      </c>
      <c r="B2352" t="s">
        <v>522</v>
      </c>
      <c r="C2352" t="s">
        <v>1315</v>
      </c>
      <c r="D2352" t="s">
        <v>1316</v>
      </c>
      <c r="E2352">
        <v>4</v>
      </c>
      <c r="F2352">
        <v>4</v>
      </c>
      <c r="G2352">
        <v>1</v>
      </c>
      <c r="H2352">
        <v>3.1737128919886999</v>
      </c>
      <c r="I2352" t="s">
        <v>957</v>
      </c>
      <c r="J2352" t="s">
        <v>4913</v>
      </c>
      <c r="K2352">
        <v>0.107142857142857</v>
      </c>
      <c r="L2352" t="s">
        <v>959</v>
      </c>
      <c r="M2352">
        <v>4.3795620437956204</v>
      </c>
      <c r="N2352" t="s">
        <v>960</v>
      </c>
      <c r="O2352">
        <v>0</v>
      </c>
      <c r="P2352">
        <v>0</v>
      </c>
      <c r="Q2352">
        <v>0</v>
      </c>
      <c r="R2352">
        <v>0</v>
      </c>
    </row>
    <row r="2353" spans="1:18" ht="16" x14ac:dyDescent="0.2">
      <c r="A2353" s="130" t="s">
        <v>3909</v>
      </c>
      <c r="B2353" t="s">
        <v>522</v>
      </c>
      <c r="C2353" t="s">
        <v>3308</v>
      </c>
      <c r="D2353" t="s">
        <v>3309</v>
      </c>
      <c r="E2353">
        <v>3</v>
      </c>
      <c r="F2353">
        <v>3</v>
      </c>
      <c r="G2353">
        <v>1</v>
      </c>
      <c r="H2353">
        <v>2.2541284443205298</v>
      </c>
      <c r="I2353" t="s">
        <v>957</v>
      </c>
      <c r="J2353" t="s">
        <v>4925</v>
      </c>
      <c r="K2353">
        <v>7.8571428571428598E-2</v>
      </c>
      <c r="L2353" t="s">
        <v>959</v>
      </c>
      <c r="M2353">
        <v>3.6496350364963499</v>
      </c>
      <c r="N2353" t="s">
        <v>960</v>
      </c>
      <c r="O2353">
        <v>0</v>
      </c>
      <c r="P2353">
        <v>0</v>
      </c>
      <c r="Q2353">
        <v>0</v>
      </c>
      <c r="R2353">
        <v>0</v>
      </c>
    </row>
    <row r="2354" spans="1:18" ht="16" x14ac:dyDescent="0.2">
      <c r="A2354" s="130" t="s">
        <v>3909</v>
      </c>
      <c r="B2354" t="s">
        <v>522</v>
      </c>
      <c r="C2354" t="s">
        <v>4190</v>
      </c>
      <c r="D2354" t="s">
        <v>4191</v>
      </c>
      <c r="E2354" t="s">
        <v>1026</v>
      </c>
      <c r="F2354">
        <v>9</v>
      </c>
      <c r="G2354">
        <v>2</v>
      </c>
      <c r="H2354">
        <v>4.0139511759485202</v>
      </c>
      <c r="I2354" t="s">
        <v>957</v>
      </c>
      <c r="J2354" t="s">
        <v>4192</v>
      </c>
      <c r="K2354">
        <v>0.24137931034482801</v>
      </c>
      <c r="L2354" t="s">
        <v>972</v>
      </c>
      <c r="M2354">
        <v>4.3795620437956204</v>
      </c>
      <c r="N2354" t="s">
        <v>987</v>
      </c>
      <c r="O2354">
        <v>0</v>
      </c>
      <c r="P2354">
        <v>0</v>
      </c>
      <c r="Q2354">
        <v>0</v>
      </c>
      <c r="R2354">
        <v>0</v>
      </c>
    </row>
    <row r="2355" spans="1:18" ht="16" x14ac:dyDescent="0.2">
      <c r="A2355" s="130" t="s">
        <v>3909</v>
      </c>
      <c r="B2355" t="s">
        <v>529</v>
      </c>
      <c r="C2355" t="s">
        <v>1124</v>
      </c>
      <c r="D2355" t="s">
        <v>1125</v>
      </c>
      <c r="E2355">
        <v>3</v>
      </c>
      <c r="F2355">
        <v>3</v>
      </c>
      <c r="G2355">
        <v>1</v>
      </c>
      <c r="H2355">
        <v>-4.8650764217930201E-2</v>
      </c>
      <c r="I2355" t="s">
        <v>957</v>
      </c>
      <c r="J2355" t="s">
        <v>4038</v>
      </c>
      <c r="K2355">
        <v>0.29411764705882398</v>
      </c>
      <c r="L2355" t="s">
        <v>1099</v>
      </c>
      <c r="M2355">
        <v>8.7591240875912408</v>
      </c>
      <c r="N2355" t="s">
        <v>973</v>
      </c>
      <c r="O2355">
        <v>0</v>
      </c>
      <c r="P2355">
        <v>0</v>
      </c>
      <c r="Q2355">
        <v>0</v>
      </c>
      <c r="R2355">
        <v>0</v>
      </c>
    </row>
    <row r="2356" spans="1:18" ht="16" x14ac:dyDescent="0.2">
      <c r="A2356" s="130" t="s">
        <v>3909</v>
      </c>
      <c r="B2356" t="s">
        <v>529</v>
      </c>
      <c r="C2356" t="s">
        <v>3925</v>
      </c>
      <c r="D2356" t="s">
        <v>3926</v>
      </c>
      <c r="E2356">
        <v>3</v>
      </c>
      <c r="F2356">
        <v>3</v>
      </c>
      <c r="G2356">
        <v>1</v>
      </c>
      <c r="H2356">
        <v>1.8266598340264699</v>
      </c>
      <c r="I2356" t="s">
        <v>957</v>
      </c>
      <c r="J2356" t="s">
        <v>4269</v>
      </c>
      <c r="K2356">
        <v>0.23529411764705899</v>
      </c>
      <c r="L2356" t="s">
        <v>1099</v>
      </c>
      <c r="M2356">
        <v>8.0291970802919703</v>
      </c>
      <c r="N2356" t="s">
        <v>973</v>
      </c>
      <c r="O2356">
        <v>0</v>
      </c>
      <c r="P2356">
        <v>0</v>
      </c>
      <c r="Q2356">
        <v>0</v>
      </c>
      <c r="R2356">
        <v>0</v>
      </c>
    </row>
    <row r="2357" spans="1:18" ht="16" x14ac:dyDescent="0.2">
      <c r="A2357" s="130" t="s">
        <v>3909</v>
      </c>
      <c r="B2357" t="s">
        <v>533</v>
      </c>
      <c r="C2357" t="s">
        <v>1351</v>
      </c>
      <c r="D2357" t="s">
        <v>1352</v>
      </c>
      <c r="E2357">
        <v>3</v>
      </c>
      <c r="F2357">
        <v>3</v>
      </c>
      <c r="G2357">
        <v>1</v>
      </c>
      <c r="H2357">
        <v>1.5996942827467899</v>
      </c>
      <c r="I2357" t="s">
        <v>957</v>
      </c>
      <c r="J2357" t="s">
        <v>1353</v>
      </c>
      <c r="K2357">
        <v>0.1</v>
      </c>
      <c r="L2357" t="s">
        <v>959</v>
      </c>
      <c r="M2357">
        <v>3.6496350364963499</v>
      </c>
      <c r="N2357" t="s">
        <v>960</v>
      </c>
      <c r="O2357">
        <v>0</v>
      </c>
      <c r="P2357">
        <v>0</v>
      </c>
      <c r="Q2357">
        <v>0</v>
      </c>
      <c r="R2357">
        <v>0</v>
      </c>
    </row>
    <row r="2358" spans="1:18" ht="16" x14ac:dyDescent="0.2">
      <c r="A2358" s="130" t="s">
        <v>3909</v>
      </c>
      <c r="B2358" t="s">
        <v>545</v>
      </c>
      <c r="C2358" t="s">
        <v>1518</v>
      </c>
      <c r="D2358" t="s">
        <v>2033</v>
      </c>
      <c r="E2358">
        <v>6</v>
      </c>
      <c r="F2358">
        <v>6</v>
      </c>
      <c r="G2358">
        <v>1</v>
      </c>
      <c r="H2358">
        <v>2.4180921993542102</v>
      </c>
      <c r="I2358" t="s">
        <v>957</v>
      </c>
      <c r="J2358" t="s">
        <v>4148</v>
      </c>
      <c r="K2358">
        <v>0.107142857142857</v>
      </c>
      <c r="L2358" t="s">
        <v>959</v>
      </c>
      <c r="M2358">
        <v>8.0291970802919703</v>
      </c>
      <c r="N2358" t="s">
        <v>960</v>
      </c>
      <c r="O2358" t="s">
        <v>5018</v>
      </c>
      <c r="P2358">
        <v>0</v>
      </c>
      <c r="Q2358">
        <v>0</v>
      </c>
      <c r="R2358">
        <v>0</v>
      </c>
    </row>
    <row r="2359" spans="1:18" ht="16" x14ac:dyDescent="0.2">
      <c r="A2359" s="130" t="s">
        <v>3909</v>
      </c>
      <c r="B2359" t="s">
        <v>545</v>
      </c>
      <c r="C2359" t="s">
        <v>2384</v>
      </c>
      <c r="D2359" t="s">
        <v>2385</v>
      </c>
      <c r="E2359">
        <v>4</v>
      </c>
      <c r="F2359">
        <v>4</v>
      </c>
      <c r="G2359">
        <v>1</v>
      </c>
      <c r="H2359">
        <v>3.80344524896267</v>
      </c>
      <c r="I2359" t="s">
        <v>957</v>
      </c>
      <c r="J2359" t="s">
        <v>4380</v>
      </c>
      <c r="K2359">
        <v>0.14285714285714299</v>
      </c>
      <c r="L2359" t="s">
        <v>959</v>
      </c>
      <c r="M2359">
        <v>3.6496350364963499</v>
      </c>
      <c r="N2359" t="s">
        <v>960</v>
      </c>
      <c r="O2359" t="s">
        <v>5018</v>
      </c>
      <c r="P2359">
        <v>0</v>
      </c>
      <c r="Q2359">
        <v>0</v>
      </c>
      <c r="R2359">
        <v>0</v>
      </c>
    </row>
    <row r="2360" spans="1:18" ht="16" x14ac:dyDescent="0.2">
      <c r="A2360" s="130" t="s">
        <v>3909</v>
      </c>
      <c r="B2360" t="s">
        <v>545</v>
      </c>
      <c r="C2360" t="s">
        <v>1450</v>
      </c>
      <c r="D2360" t="s">
        <v>1451</v>
      </c>
      <c r="E2360">
        <v>3</v>
      </c>
      <c r="F2360">
        <v>3</v>
      </c>
      <c r="G2360">
        <v>1</v>
      </c>
      <c r="H2360">
        <v>2.85988865775467</v>
      </c>
      <c r="I2360" t="s">
        <v>957</v>
      </c>
      <c r="J2360" t="s">
        <v>3963</v>
      </c>
      <c r="K2360">
        <v>0.15</v>
      </c>
      <c r="L2360" t="s">
        <v>959</v>
      </c>
      <c r="M2360">
        <v>4.3795620437956204</v>
      </c>
      <c r="N2360" t="s">
        <v>960</v>
      </c>
      <c r="O2360" t="s">
        <v>5018</v>
      </c>
      <c r="P2360">
        <v>0</v>
      </c>
      <c r="Q2360">
        <v>0</v>
      </c>
      <c r="R2360">
        <v>0</v>
      </c>
    </row>
    <row r="2361" spans="1:18" ht="16" x14ac:dyDescent="0.2">
      <c r="A2361" s="130" t="s">
        <v>3909</v>
      </c>
      <c r="B2361" t="s">
        <v>545</v>
      </c>
      <c r="C2361" t="s">
        <v>1792</v>
      </c>
      <c r="D2361" t="s">
        <v>1793</v>
      </c>
      <c r="E2361">
        <v>5</v>
      </c>
      <c r="F2361">
        <v>5</v>
      </c>
      <c r="G2361">
        <v>1</v>
      </c>
      <c r="H2361">
        <v>2.7243293096929402</v>
      </c>
      <c r="I2361" t="s">
        <v>957</v>
      </c>
      <c r="J2361" t="s">
        <v>1794</v>
      </c>
      <c r="K2361">
        <v>0.16428571428571401</v>
      </c>
      <c r="L2361" t="s">
        <v>959</v>
      </c>
      <c r="M2361">
        <v>9.4890510948905096</v>
      </c>
      <c r="N2361" t="s">
        <v>960</v>
      </c>
      <c r="O2361" t="s">
        <v>5018</v>
      </c>
      <c r="P2361">
        <v>0</v>
      </c>
      <c r="Q2361">
        <v>0</v>
      </c>
      <c r="R2361">
        <v>0</v>
      </c>
    </row>
    <row r="2362" spans="1:18" ht="16" x14ac:dyDescent="0.2">
      <c r="A2362" s="130" t="s">
        <v>3909</v>
      </c>
      <c r="B2362" t="s">
        <v>545</v>
      </c>
      <c r="C2362" t="s">
        <v>482</v>
      </c>
      <c r="D2362" t="s">
        <v>2644</v>
      </c>
      <c r="E2362">
        <v>4</v>
      </c>
      <c r="F2362">
        <v>4</v>
      </c>
      <c r="G2362">
        <v>1</v>
      </c>
      <c r="H2362">
        <v>3.4008812365794499</v>
      </c>
      <c r="I2362" t="s">
        <v>957</v>
      </c>
      <c r="J2362" t="s">
        <v>4977</v>
      </c>
      <c r="K2362">
        <v>2.1428571428571401E-2</v>
      </c>
      <c r="L2362" t="s">
        <v>959</v>
      </c>
      <c r="M2362">
        <v>1.4598540145985399</v>
      </c>
      <c r="N2362" t="s">
        <v>960</v>
      </c>
      <c r="O2362" t="s">
        <v>5018</v>
      </c>
      <c r="P2362">
        <v>0</v>
      </c>
      <c r="Q2362">
        <v>0</v>
      </c>
      <c r="R2362">
        <v>0</v>
      </c>
    </row>
    <row r="2363" spans="1:18" ht="16" x14ac:dyDescent="0.2">
      <c r="A2363" s="130" t="s">
        <v>3909</v>
      </c>
      <c r="B2363" t="s">
        <v>545</v>
      </c>
      <c r="C2363" t="s">
        <v>1166</v>
      </c>
      <c r="D2363" t="s">
        <v>1167</v>
      </c>
      <c r="E2363" t="s">
        <v>1230</v>
      </c>
      <c r="F2363">
        <v>4</v>
      </c>
      <c r="G2363">
        <v>2</v>
      </c>
      <c r="H2363">
        <v>2.3894228514904698</v>
      </c>
      <c r="I2363" t="s">
        <v>957</v>
      </c>
      <c r="J2363" t="s">
        <v>4933</v>
      </c>
      <c r="K2363">
        <v>0.114285714285714</v>
      </c>
      <c r="L2363" t="s">
        <v>959</v>
      </c>
      <c r="M2363">
        <v>2.9197080291970798</v>
      </c>
      <c r="N2363" t="s">
        <v>960</v>
      </c>
      <c r="O2363" t="s">
        <v>5018</v>
      </c>
      <c r="P2363" t="s">
        <v>5018</v>
      </c>
      <c r="Q2363">
        <v>0</v>
      </c>
      <c r="R2363">
        <v>0</v>
      </c>
    </row>
    <row r="2364" spans="1:18" ht="16" x14ac:dyDescent="0.2">
      <c r="A2364" s="130" t="s">
        <v>3909</v>
      </c>
      <c r="B2364" t="s">
        <v>545</v>
      </c>
      <c r="C2364" t="s">
        <v>2433</v>
      </c>
      <c r="D2364" t="s">
        <v>2434</v>
      </c>
      <c r="E2364">
        <v>3</v>
      </c>
      <c r="F2364">
        <v>3</v>
      </c>
      <c r="G2364">
        <v>1</v>
      </c>
      <c r="H2364">
        <v>2.0143323553886101</v>
      </c>
      <c r="I2364" t="s">
        <v>957</v>
      </c>
      <c r="J2364" t="s">
        <v>4749</v>
      </c>
      <c r="K2364">
        <v>0.114285714285714</v>
      </c>
      <c r="L2364" t="s">
        <v>959</v>
      </c>
      <c r="M2364">
        <v>7.2992700729926998</v>
      </c>
      <c r="N2364" t="s">
        <v>960</v>
      </c>
      <c r="O2364" t="s">
        <v>5018</v>
      </c>
      <c r="P2364">
        <v>0</v>
      </c>
      <c r="Q2364">
        <v>0</v>
      </c>
      <c r="R2364">
        <v>0</v>
      </c>
    </row>
    <row r="2365" spans="1:18" ht="16" x14ac:dyDescent="0.2">
      <c r="A2365" s="130" t="s">
        <v>3909</v>
      </c>
      <c r="B2365" t="s">
        <v>541</v>
      </c>
      <c r="C2365" t="s">
        <v>2139</v>
      </c>
      <c r="D2365" t="s">
        <v>2140</v>
      </c>
      <c r="E2365">
        <v>4</v>
      </c>
      <c r="F2365">
        <v>4</v>
      </c>
      <c r="G2365">
        <v>1</v>
      </c>
      <c r="H2365">
        <v>3.0968130115750201</v>
      </c>
      <c r="I2365" t="s">
        <v>957</v>
      </c>
      <c r="J2365" t="s">
        <v>3117</v>
      </c>
      <c r="K2365">
        <v>0.128571428571429</v>
      </c>
      <c r="L2365" t="s">
        <v>959</v>
      </c>
      <c r="M2365">
        <v>5.8394160583941597</v>
      </c>
      <c r="N2365" t="s">
        <v>960</v>
      </c>
      <c r="O2365">
        <v>0</v>
      </c>
      <c r="P2365">
        <v>0</v>
      </c>
      <c r="Q2365">
        <v>0</v>
      </c>
      <c r="R2365">
        <v>0</v>
      </c>
    </row>
    <row r="2366" spans="1:18" ht="16" x14ac:dyDescent="0.2">
      <c r="A2366" s="130" t="s">
        <v>3909</v>
      </c>
      <c r="B2366" t="s">
        <v>541</v>
      </c>
      <c r="C2366" t="s">
        <v>1326</v>
      </c>
      <c r="D2366" t="s">
        <v>1327</v>
      </c>
      <c r="E2366" t="s">
        <v>1022</v>
      </c>
      <c r="F2366">
        <v>3</v>
      </c>
      <c r="G2366">
        <v>2</v>
      </c>
      <c r="H2366">
        <v>3.5187952247473402</v>
      </c>
      <c r="I2366" t="s">
        <v>957</v>
      </c>
      <c r="J2366" t="s">
        <v>4948</v>
      </c>
      <c r="K2366">
        <v>0.17857142857142899</v>
      </c>
      <c r="L2366" t="s">
        <v>959</v>
      </c>
      <c r="M2366">
        <v>4.3795620437956204</v>
      </c>
      <c r="N2366" t="s">
        <v>960</v>
      </c>
      <c r="O2366">
        <v>0</v>
      </c>
      <c r="P2366">
        <v>0</v>
      </c>
      <c r="Q2366">
        <v>0</v>
      </c>
      <c r="R2366">
        <v>0</v>
      </c>
    </row>
    <row r="2367" spans="1:18" ht="16" x14ac:dyDescent="0.2">
      <c r="A2367" s="130" t="s">
        <v>3909</v>
      </c>
      <c r="B2367" t="s">
        <v>541</v>
      </c>
      <c r="C2367" t="s">
        <v>983</v>
      </c>
      <c r="D2367" t="s">
        <v>984</v>
      </c>
      <c r="E2367">
        <v>3</v>
      </c>
      <c r="F2367">
        <v>3</v>
      </c>
      <c r="G2367">
        <v>1</v>
      </c>
      <c r="H2367">
        <v>1.63718248629803</v>
      </c>
      <c r="I2367" t="s">
        <v>957</v>
      </c>
      <c r="J2367" t="s">
        <v>4800</v>
      </c>
      <c r="K2367">
        <v>0.128571428571429</v>
      </c>
      <c r="L2367" t="s">
        <v>959</v>
      </c>
      <c r="M2367">
        <v>8.7591240875912408</v>
      </c>
      <c r="N2367" t="s">
        <v>960</v>
      </c>
      <c r="O2367">
        <v>0</v>
      </c>
      <c r="P2367">
        <v>0</v>
      </c>
      <c r="Q2367">
        <v>0</v>
      </c>
      <c r="R2367">
        <v>0</v>
      </c>
    </row>
    <row r="2368" spans="1:18" ht="16" x14ac:dyDescent="0.2">
      <c r="A2368" s="130" t="s">
        <v>3909</v>
      </c>
      <c r="B2368" t="s">
        <v>541</v>
      </c>
      <c r="C2368" t="s">
        <v>2947</v>
      </c>
      <c r="D2368" t="s">
        <v>2948</v>
      </c>
      <c r="E2368" t="s">
        <v>1039</v>
      </c>
      <c r="F2368">
        <v>3</v>
      </c>
      <c r="G2368">
        <v>2</v>
      </c>
      <c r="H2368">
        <v>2.7000826698782401</v>
      </c>
      <c r="I2368" t="s">
        <v>957</v>
      </c>
      <c r="J2368" t="s">
        <v>4089</v>
      </c>
      <c r="K2368">
        <v>0.17142857142857101</v>
      </c>
      <c r="L2368" t="s">
        <v>959</v>
      </c>
      <c r="M2368">
        <v>5.8394160583941597</v>
      </c>
      <c r="N2368" t="s">
        <v>960</v>
      </c>
      <c r="O2368">
        <v>0</v>
      </c>
      <c r="P2368" t="s">
        <v>5018</v>
      </c>
      <c r="Q2368">
        <v>0</v>
      </c>
      <c r="R2368">
        <v>0</v>
      </c>
    </row>
    <row r="2369" spans="1:18" ht="16" x14ac:dyDescent="0.2">
      <c r="A2369" s="130" t="s">
        <v>3909</v>
      </c>
      <c r="B2369" t="s">
        <v>541</v>
      </c>
      <c r="C2369" t="s">
        <v>1792</v>
      </c>
      <c r="D2369" t="s">
        <v>1793</v>
      </c>
      <c r="E2369" t="s">
        <v>1432</v>
      </c>
      <c r="F2369">
        <v>6</v>
      </c>
      <c r="G2369">
        <v>2</v>
      </c>
      <c r="H2369">
        <v>3.3475418968775998</v>
      </c>
      <c r="I2369" t="s">
        <v>957</v>
      </c>
      <c r="J2369" t="s">
        <v>4622</v>
      </c>
      <c r="K2369">
        <v>0.16428571428571401</v>
      </c>
      <c r="L2369" t="s">
        <v>959</v>
      </c>
      <c r="M2369">
        <v>9.4890510948905096</v>
      </c>
      <c r="N2369" t="s">
        <v>960</v>
      </c>
      <c r="O2369">
        <v>0</v>
      </c>
      <c r="P2369">
        <v>0</v>
      </c>
      <c r="Q2369">
        <v>0</v>
      </c>
      <c r="R2369">
        <v>0</v>
      </c>
    </row>
    <row r="2370" spans="1:18" ht="16" x14ac:dyDescent="0.2">
      <c r="A2370" s="130" t="s">
        <v>3909</v>
      </c>
      <c r="B2370" t="s">
        <v>541</v>
      </c>
      <c r="C2370" t="s">
        <v>1649</v>
      </c>
      <c r="D2370" t="s">
        <v>1650</v>
      </c>
      <c r="E2370">
        <v>3</v>
      </c>
      <c r="F2370">
        <v>3</v>
      </c>
      <c r="G2370">
        <v>1</v>
      </c>
      <c r="H2370">
        <v>2.5655407312427698</v>
      </c>
      <c r="I2370" t="s">
        <v>957</v>
      </c>
      <c r="J2370" t="s">
        <v>4456</v>
      </c>
      <c r="K2370">
        <v>0.2</v>
      </c>
      <c r="L2370" t="s">
        <v>959</v>
      </c>
      <c r="M2370">
        <v>8.7591240875912408</v>
      </c>
      <c r="N2370" t="s">
        <v>960</v>
      </c>
      <c r="O2370">
        <v>0</v>
      </c>
      <c r="P2370">
        <v>0</v>
      </c>
      <c r="Q2370">
        <v>0</v>
      </c>
      <c r="R2370">
        <v>0</v>
      </c>
    </row>
    <row r="2371" spans="1:18" ht="16" x14ac:dyDescent="0.2">
      <c r="A2371" s="130" t="s">
        <v>3909</v>
      </c>
      <c r="B2371" t="s">
        <v>541</v>
      </c>
      <c r="C2371" t="s">
        <v>2821</v>
      </c>
      <c r="D2371" t="s">
        <v>2822</v>
      </c>
      <c r="E2371">
        <v>3</v>
      </c>
      <c r="F2371">
        <v>3</v>
      </c>
      <c r="G2371">
        <v>1</v>
      </c>
      <c r="H2371">
        <v>3.0236547945626402</v>
      </c>
      <c r="I2371" t="s">
        <v>957</v>
      </c>
      <c r="J2371" t="s">
        <v>4092</v>
      </c>
      <c r="K2371">
        <v>0.157142857142857</v>
      </c>
      <c r="L2371" t="s">
        <v>959</v>
      </c>
      <c r="M2371">
        <v>6.5693430656934302</v>
      </c>
      <c r="N2371" t="s">
        <v>960</v>
      </c>
      <c r="O2371">
        <v>0</v>
      </c>
      <c r="P2371">
        <v>0</v>
      </c>
      <c r="Q2371">
        <v>0</v>
      </c>
      <c r="R2371">
        <v>0</v>
      </c>
    </row>
    <row r="2372" spans="1:18" ht="16" x14ac:dyDescent="0.2">
      <c r="A2372" s="130" t="s">
        <v>3909</v>
      </c>
      <c r="B2372" t="s">
        <v>541</v>
      </c>
      <c r="C2372" t="s">
        <v>2749</v>
      </c>
      <c r="D2372" t="s">
        <v>2750</v>
      </c>
      <c r="E2372">
        <v>3</v>
      </c>
      <c r="F2372">
        <v>3</v>
      </c>
      <c r="G2372">
        <v>1</v>
      </c>
      <c r="H2372">
        <v>2.3864098029198701</v>
      </c>
      <c r="I2372" t="s">
        <v>957</v>
      </c>
      <c r="J2372" t="s">
        <v>4905</v>
      </c>
      <c r="K2372">
        <v>0.128571428571429</v>
      </c>
      <c r="L2372" t="s">
        <v>959</v>
      </c>
      <c r="M2372">
        <v>6.5693430656934302</v>
      </c>
      <c r="N2372" t="s">
        <v>960</v>
      </c>
      <c r="O2372">
        <v>0</v>
      </c>
      <c r="P2372">
        <v>0</v>
      </c>
      <c r="Q2372">
        <v>0</v>
      </c>
      <c r="R2372">
        <v>0</v>
      </c>
    </row>
    <row r="2373" spans="1:18" ht="16" x14ac:dyDescent="0.2">
      <c r="A2373" s="130" t="s">
        <v>3909</v>
      </c>
      <c r="B2373" t="s">
        <v>541</v>
      </c>
      <c r="C2373" t="s">
        <v>3771</v>
      </c>
      <c r="D2373" t="s">
        <v>3772</v>
      </c>
      <c r="E2373" t="s">
        <v>1022</v>
      </c>
      <c r="F2373">
        <v>3</v>
      </c>
      <c r="G2373">
        <v>2</v>
      </c>
      <c r="H2373">
        <v>3.25253133045398</v>
      </c>
      <c r="I2373" t="s">
        <v>957</v>
      </c>
      <c r="J2373" t="s">
        <v>4227</v>
      </c>
      <c r="K2373">
        <v>0.192857142857143</v>
      </c>
      <c r="L2373" t="s">
        <v>959</v>
      </c>
      <c r="M2373">
        <v>5.10948905109489</v>
      </c>
      <c r="N2373" t="s">
        <v>960</v>
      </c>
      <c r="O2373">
        <v>0</v>
      </c>
      <c r="P2373">
        <v>0</v>
      </c>
      <c r="Q2373">
        <v>0</v>
      </c>
      <c r="R2373">
        <v>0</v>
      </c>
    </row>
    <row r="2374" spans="1:18" ht="16" x14ac:dyDescent="0.2">
      <c r="A2374" s="130" t="s">
        <v>3909</v>
      </c>
      <c r="B2374" t="s">
        <v>549</v>
      </c>
      <c r="C2374" t="s">
        <v>1521</v>
      </c>
      <c r="D2374" t="s">
        <v>1522</v>
      </c>
      <c r="E2374">
        <v>3</v>
      </c>
      <c r="F2374">
        <v>3</v>
      </c>
      <c r="G2374">
        <v>1</v>
      </c>
      <c r="H2374">
        <v>3.6347024481640502</v>
      </c>
      <c r="I2374" t="s">
        <v>957</v>
      </c>
      <c r="J2374" t="s">
        <v>4232</v>
      </c>
      <c r="K2374">
        <v>6.4285714285714293E-2</v>
      </c>
      <c r="L2374" t="s">
        <v>959</v>
      </c>
      <c r="M2374">
        <v>2.1897810218978102</v>
      </c>
      <c r="N2374" t="s">
        <v>960</v>
      </c>
      <c r="O2374">
        <v>0</v>
      </c>
      <c r="P2374">
        <v>0</v>
      </c>
      <c r="Q2374">
        <v>0</v>
      </c>
      <c r="R2374">
        <v>0</v>
      </c>
    </row>
    <row r="2375" spans="1:18" ht="16" x14ac:dyDescent="0.2">
      <c r="A2375" s="130" t="s">
        <v>3909</v>
      </c>
      <c r="B2375" t="s">
        <v>549</v>
      </c>
      <c r="C2375" t="s">
        <v>2937</v>
      </c>
      <c r="D2375" t="s">
        <v>2938</v>
      </c>
      <c r="E2375" t="s">
        <v>1230</v>
      </c>
      <c r="F2375">
        <v>4</v>
      </c>
      <c r="G2375">
        <v>2</v>
      </c>
      <c r="H2375">
        <v>3.4826921058146101</v>
      </c>
      <c r="I2375" t="s">
        <v>957</v>
      </c>
      <c r="J2375" t="s">
        <v>4431</v>
      </c>
      <c r="K2375">
        <v>0.16428571428571401</v>
      </c>
      <c r="L2375" t="s">
        <v>959</v>
      </c>
      <c r="M2375">
        <v>7.2992700729926998</v>
      </c>
      <c r="N2375" t="s">
        <v>960</v>
      </c>
      <c r="O2375">
        <v>0</v>
      </c>
      <c r="P2375">
        <v>0</v>
      </c>
      <c r="Q2375">
        <v>0</v>
      </c>
      <c r="R2375">
        <v>0</v>
      </c>
    </row>
    <row r="2376" spans="1:18" ht="16" x14ac:dyDescent="0.2">
      <c r="A2376" s="130" t="s">
        <v>3909</v>
      </c>
      <c r="B2376" t="s">
        <v>549</v>
      </c>
      <c r="C2376" t="s">
        <v>1402</v>
      </c>
      <c r="D2376" t="s">
        <v>1403</v>
      </c>
      <c r="E2376" t="s">
        <v>1102</v>
      </c>
      <c r="F2376">
        <v>4</v>
      </c>
      <c r="G2376">
        <v>2</v>
      </c>
      <c r="H2376">
        <v>2.2968832864191802</v>
      </c>
      <c r="I2376" t="s">
        <v>957</v>
      </c>
      <c r="J2376" t="s">
        <v>4443</v>
      </c>
      <c r="K2376">
        <v>0.185714285714286</v>
      </c>
      <c r="L2376" t="s">
        <v>959</v>
      </c>
      <c r="M2376">
        <v>9.4890510948905096</v>
      </c>
      <c r="N2376" t="s">
        <v>960</v>
      </c>
      <c r="O2376">
        <v>0</v>
      </c>
      <c r="P2376">
        <v>0</v>
      </c>
      <c r="Q2376">
        <v>0</v>
      </c>
      <c r="R2376">
        <v>0</v>
      </c>
    </row>
    <row r="2377" spans="1:18" ht="16" x14ac:dyDescent="0.2">
      <c r="A2377" s="130" t="s">
        <v>3909</v>
      </c>
      <c r="B2377" t="s">
        <v>549</v>
      </c>
      <c r="C2377" t="s">
        <v>2699</v>
      </c>
      <c r="D2377" t="s">
        <v>2700</v>
      </c>
      <c r="E2377" t="s">
        <v>1102</v>
      </c>
      <c r="F2377">
        <v>4</v>
      </c>
      <c r="G2377">
        <v>2</v>
      </c>
      <c r="H2377">
        <v>3.3903202631881801</v>
      </c>
      <c r="I2377" t="s">
        <v>957</v>
      </c>
      <c r="J2377" t="s">
        <v>4880</v>
      </c>
      <c r="K2377">
        <v>0.157142857142857</v>
      </c>
      <c r="L2377" t="s">
        <v>959</v>
      </c>
      <c r="M2377">
        <v>6.5693430656934302</v>
      </c>
      <c r="N2377" t="s">
        <v>960</v>
      </c>
      <c r="O2377">
        <v>0</v>
      </c>
      <c r="P2377">
        <v>0</v>
      </c>
      <c r="Q2377">
        <v>0</v>
      </c>
      <c r="R2377">
        <v>0</v>
      </c>
    </row>
    <row r="2378" spans="1:18" ht="16" x14ac:dyDescent="0.2">
      <c r="A2378" s="130" t="s">
        <v>3909</v>
      </c>
      <c r="B2378" t="s">
        <v>549</v>
      </c>
      <c r="C2378" t="s">
        <v>3301</v>
      </c>
      <c r="D2378" t="s">
        <v>3302</v>
      </c>
      <c r="E2378">
        <v>3</v>
      </c>
      <c r="F2378">
        <v>3</v>
      </c>
      <c r="G2378">
        <v>1</v>
      </c>
      <c r="H2378">
        <v>1.6863305021082</v>
      </c>
      <c r="I2378" t="s">
        <v>957</v>
      </c>
      <c r="J2378" t="s">
        <v>4482</v>
      </c>
      <c r="K2378">
        <v>0.128571428571429</v>
      </c>
      <c r="L2378" t="s">
        <v>959</v>
      </c>
      <c r="M2378">
        <v>7.2992700729926998</v>
      </c>
      <c r="N2378" t="s">
        <v>960</v>
      </c>
      <c r="O2378">
        <v>0</v>
      </c>
      <c r="P2378">
        <v>0</v>
      </c>
      <c r="Q2378">
        <v>0</v>
      </c>
      <c r="R2378">
        <v>0</v>
      </c>
    </row>
    <row r="2379" spans="1:18" ht="16" x14ac:dyDescent="0.2">
      <c r="A2379" s="130" t="s">
        <v>3909</v>
      </c>
      <c r="B2379" t="s">
        <v>549</v>
      </c>
      <c r="C2379" t="s">
        <v>1497</v>
      </c>
      <c r="D2379" t="s">
        <v>1498</v>
      </c>
      <c r="E2379">
        <v>3</v>
      </c>
      <c r="F2379">
        <v>3</v>
      </c>
      <c r="G2379">
        <v>1</v>
      </c>
      <c r="H2379">
        <v>3.88760768007382</v>
      </c>
      <c r="I2379" t="s">
        <v>957</v>
      </c>
      <c r="J2379" t="s">
        <v>4616</v>
      </c>
      <c r="K2379">
        <v>7.8571428571428598E-2</v>
      </c>
      <c r="L2379" t="s">
        <v>959</v>
      </c>
      <c r="M2379">
        <v>3.6496350364963499</v>
      </c>
      <c r="N2379" t="s">
        <v>960</v>
      </c>
      <c r="O2379">
        <v>0</v>
      </c>
      <c r="P2379">
        <v>0</v>
      </c>
      <c r="Q2379">
        <v>0</v>
      </c>
      <c r="R2379">
        <v>0</v>
      </c>
    </row>
    <row r="2380" spans="1:18" ht="16" x14ac:dyDescent="0.2">
      <c r="A2380" s="130" t="s">
        <v>3909</v>
      </c>
      <c r="B2380" t="s">
        <v>549</v>
      </c>
      <c r="C2380" t="s">
        <v>1748</v>
      </c>
      <c r="D2380" t="s">
        <v>1749</v>
      </c>
      <c r="E2380">
        <v>3</v>
      </c>
      <c r="F2380">
        <v>3</v>
      </c>
      <c r="G2380">
        <v>1</v>
      </c>
      <c r="H2380">
        <v>3.7315829194227801</v>
      </c>
      <c r="I2380" t="s">
        <v>957</v>
      </c>
      <c r="J2380" t="s">
        <v>4123</v>
      </c>
      <c r="K2380">
        <v>0.114285714285714</v>
      </c>
      <c r="L2380" t="s">
        <v>959</v>
      </c>
      <c r="M2380">
        <v>6.5693430656934302</v>
      </c>
      <c r="N2380" t="s">
        <v>960</v>
      </c>
      <c r="O2380">
        <v>0</v>
      </c>
      <c r="P2380">
        <v>0</v>
      </c>
      <c r="Q2380">
        <v>0</v>
      </c>
      <c r="R2380">
        <v>0</v>
      </c>
    </row>
    <row r="2381" spans="1:18" ht="16" x14ac:dyDescent="0.2">
      <c r="A2381" s="130" t="s">
        <v>3909</v>
      </c>
      <c r="B2381" t="s">
        <v>553</v>
      </c>
      <c r="C2381" t="s">
        <v>1581</v>
      </c>
      <c r="D2381" t="s">
        <v>1582</v>
      </c>
      <c r="E2381">
        <v>3</v>
      </c>
      <c r="F2381">
        <v>3</v>
      </c>
      <c r="G2381">
        <v>1</v>
      </c>
      <c r="H2381">
        <v>3.6634855726209699</v>
      </c>
      <c r="I2381" t="s">
        <v>957</v>
      </c>
      <c r="J2381" t="s">
        <v>4132</v>
      </c>
      <c r="K2381">
        <v>0.107142857142857</v>
      </c>
      <c r="L2381" t="s">
        <v>959</v>
      </c>
      <c r="M2381">
        <v>5.10948905109489</v>
      </c>
      <c r="N2381" t="s">
        <v>960</v>
      </c>
      <c r="O2381">
        <v>0</v>
      </c>
      <c r="P2381">
        <v>0</v>
      </c>
      <c r="Q2381">
        <v>0</v>
      </c>
      <c r="R2381">
        <v>0</v>
      </c>
    </row>
    <row r="2382" spans="1:18" ht="16" x14ac:dyDescent="0.2">
      <c r="A2382" s="130" t="s">
        <v>3909</v>
      </c>
      <c r="B2382" t="s">
        <v>553</v>
      </c>
      <c r="C2382" t="s">
        <v>2523</v>
      </c>
      <c r="D2382" t="s">
        <v>2524</v>
      </c>
      <c r="E2382">
        <v>4</v>
      </c>
      <c r="F2382">
        <v>4</v>
      </c>
      <c r="G2382">
        <v>1</v>
      </c>
      <c r="H2382">
        <v>3.7501254058285198</v>
      </c>
      <c r="I2382" t="s">
        <v>957</v>
      </c>
      <c r="J2382" t="s">
        <v>4301</v>
      </c>
      <c r="K2382">
        <v>3.5714285714285698E-2</v>
      </c>
      <c r="L2382" t="s">
        <v>959</v>
      </c>
      <c r="M2382">
        <v>2.1897810218978102</v>
      </c>
      <c r="N2382" t="s">
        <v>960</v>
      </c>
      <c r="O2382">
        <v>0</v>
      </c>
      <c r="P2382">
        <v>0</v>
      </c>
      <c r="Q2382">
        <v>0</v>
      </c>
      <c r="R2382">
        <v>0</v>
      </c>
    </row>
    <row r="2383" spans="1:18" ht="16" x14ac:dyDescent="0.2">
      <c r="A2383" s="130" t="s">
        <v>3909</v>
      </c>
      <c r="B2383" t="s">
        <v>553</v>
      </c>
      <c r="C2383" t="s">
        <v>3192</v>
      </c>
      <c r="D2383" t="s">
        <v>3193</v>
      </c>
      <c r="E2383" t="s">
        <v>1442</v>
      </c>
      <c r="F2383">
        <v>5</v>
      </c>
      <c r="G2383">
        <v>2</v>
      </c>
      <c r="H2383">
        <v>2.21235826544671</v>
      </c>
      <c r="I2383" t="s">
        <v>957</v>
      </c>
      <c r="J2383" t="s">
        <v>3953</v>
      </c>
      <c r="K2383">
        <v>0.46666666666666701</v>
      </c>
      <c r="L2383" t="s">
        <v>1004</v>
      </c>
      <c r="M2383">
        <v>5.10948905109489</v>
      </c>
      <c r="N2383" t="s">
        <v>1005</v>
      </c>
      <c r="O2383">
        <v>0</v>
      </c>
      <c r="P2383" t="s">
        <v>5018</v>
      </c>
      <c r="Q2383">
        <v>0</v>
      </c>
      <c r="R2383" t="s">
        <v>5019</v>
      </c>
    </row>
    <row r="2384" spans="1:18" ht="16" x14ac:dyDescent="0.2">
      <c r="A2384" s="130" t="s">
        <v>3909</v>
      </c>
      <c r="B2384" t="s">
        <v>553</v>
      </c>
      <c r="C2384" t="s">
        <v>1412</v>
      </c>
      <c r="D2384" t="s">
        <v>1413</v>
      </c>
      <c r="E2384">
        <v>3</v>
      </c>
      <c r="F2384">
        <v>3</v>
      </c>
      <c r="G2384">
        <v>1</v>
      </c>
      <c r="H2384">
        <v>3.94095411126797</v>
      </c>
      <c r="I2384" t="s">
        <v>957</v>
      </c>
      <c r="J2384" t="s">
        <v>1414</v>
      </c>
      <c r="K2384">
        <v>4.2857142857142899E-2</v>
      </c>
      <c r="L2384" t="s">
        <v>959</v>
      </c>
      <c r="M2384">
        <v>2.9197080291970798</v>
      </c>
      <c r="N2384" t="s">
        <v>960</v>
      </c>
      <c r="O2384">
        <v>0</v>
      </c>
      <c r="P2384">
        <v>0</v>
      </c>
      <c r="Q2384">
        <v>0</v>
      </c>
      <c r="R2384">
        <v>0</v>
      </c>
    </row>
    <row r="2385" spans="1:18" ht="16" x14ac:dyDescent="0.2">
      <c r="A2385" s="130" t="s">
        <v>3909</v>
      </c>
      <c r="B2385" t="s">
        <v>553</v>
      </c>
      <c r="C2385" t="s">
        <v>1660</v>
      </c>
      <c r="D2385" t="s">
        <v>1661</v>
      </c>
      <c r="E2385" t="s">
        <v>1052</v>
      </c>
      <c r="F2385">
        <v>2</v>
      </c>
      <c r="G2385">
        <v>2</v>
      </c>
      <c r="H2385">
        <v>1.9353257639358099</v>
      </c>
      <c r="I2385" t="s">
        <v>957</v>
      </c>
      <c r="J2385" t="s">
        <v>4593</v>
      </c>
      <c r="K2385">
        <v>0.17857142857142899</v>
      </c>
      <c r="L2385" t="s">
        <v>959</v>
      </c>
      <c r="M2385">
        <v>4.3795620437956204</v>
      </c>
      <c r="N2385" t="s">
        <v>960</v>
      </c>
      <c r="O2385">
        <v>0</v>
      </c>
      <c r="P2385">
        <v>0</v>
      </c>
      <c r="Q2385">
        <v>0</v>
      </c>
      <c r="R2385">
        <v>0</v>
      </c>
    </row>
    <row r="2386" spans="1:18" ht="16" x14ac:dyDescent="0.2">
      <c r="A2386" s="130" t="s">
        <v>3909</v>
      </c>
      <c r="B2386" t="s">
        <v>553</v>
      </c>
      <c r="C2386" t="s">
        <v>1391</v>
      </c>
      <c r="D2386" t="s">
        <v>1392</v>
      </c>
      <c r="E2386">
        <v>5</v>
      </c>
      <c r="F2386">
        <v>5</v>
      </c>
      <c r="G2386">
        <v>1</v>
      </c>
      <c r="H2386">
        <v>2.6971205679649199</v>
      </c>
      <c r="I2386" t="s">
        <v>957</v>
      </c>
      <c r="J2386" t="s">
        <v>3163</v>
      </c>
      <c r="K2386">
        <v>0.14285714285714299</v>
      </c>
      <c r="L2386" t="s">
        <v>959</v>
      </c>
      <c r="M2386">
        <v>5.10948905109489</v>
      </c>
      <c r="N2386" t="s">
        <v>960</v>
      </c>
      <c r="O2386">
        <v>0</v>
      </c>
      <c r="P2386">
        <v>0</v>
      </c>
      <c r="Q2386">
        <v>0</v>
      </c>
      <c r="R2386">
        <v>0</v>
      </c>
    </row>
    <row r="2387" spans="1:18" ht="16" x14ac:dyDescent="0.2">
      <c r="A2387" s="130" t="s">
        <v>3909</v>
      </c>
      <c r="B2387" t="s">
        <v>553</v>
      </c>
      <c r="C2387" t="s">
        <v>1653</v>
      </c>
      <c r="D2387" t="s">
        <v>1654</v>
      </c>
      <c r="E2387" t="s">
        <v>1052</v>
      </c>
      <c r="F2387">
        <v>2</v>
      </c>
      <c r="G2387">
        <v>2</v>
      </c>
      <c r="H2387">
        <v>2.11945952413449</v>
      </c>
      <c r="I2387" t="s">
        <v>957</v>
      </c>
      <c r="J2387" t="s">
        <v>4224</v>
      </c>
      <c r="K2387">
        <v>0.20714285714285699</v>
      </c>
      <c r="L2387" t="s">
        <v>959</v>
      </c>
      <c r="M2387">
        <v>5.8394160583941597</v>
      </c>
      <c r="N2387" t="s">
        <v>960</v>
      </c>
      <c r="O2387">
        <v>0</v>
      </c>
      <c r="P2387">
        <v>0</v>
      </c>
      <c r="Q2387">
        <v>0</v>
      </c>
      <c r="R2387">
        <v>0</v>
      </c>
    </row>
    <row r="2388" spans="1:18" ht="16" x14ac:dyDescent="0.2">
      <c r="A2388" s="130" t="s">
        <v>3909</v>
      </c>
      <c r="B2388" t="s">
        <v>557</v>
      </c>
      <c r="C2388" t="s">
        <v>1792</v>
      </c>
      <c r="D2388" t="s">
        <v>1793</v>
      </c>
      <c r="E2388">
        <v>6</v>
      </c>
      <c r="F2388">
        <v>6</v>
      </c>
      <c r="G2388">
        <v>1</v>
      </c>
      <c r="H2388">
        <v>3.9707544840622599</v>
      </c>
      <c r="I2388" t="s">
        <v>957</v>
      </c>
      <c r="J2388" t="s">
        <v>4742</v>
      </c>
      <c r="K2388">
        <v>0.16428571428571401</v>
      </c>
      <c r="L2388" t="s">
        <v>959</v>
      </c>
      <c r="M2388">
        <v>9.4890510948905096</v>
      </c>
      <c r="N2388" t="s">
        <v>960</v>
      </c>
      <c r="O2388">
        <v>0</v>
      </c>
      <c r="P2388">
        <v>0</v>
      </c>
      <c r="Q2388">
        <v>0</v>
      </c>
      <c r="R2388">
        <v>0</v>
      </c>
    </row>
    <row r="2389" spans="1:18" ht="16" x14ac:dyDescent="0.2">
      <c r="A2389" s="130" t="s">
        <v>3909</v>
      </c>
      <c r="B2389" t="s">
        <v>557</v>
      </c>
      <c r="C2389" t="s">
        <v>3625</v>
      </c>
      <c r="D2389" t="s">
        <v>3626</v>
      </c>
      <c r="E2389" t="s">
        <v>1102</v>
      </c>
      <c r="F2389">
        <v>4</v>
      </c>
      <c r="G2389">
        <v>2</v>
      </c>
      <c r="H2389">
        <v>2.2926719866454999</v>
      </c>
      <c r="I2389" t="s">
        <v>957</v>
      </c>
      <c r="J2389" t="s">
        <v>4220</v>
      </c>
      <c r="K2389">
        <v>2.8571428571428598E-2</v>
      </c>
      <c r="L2389" t="s">
        <v>959</v>
      </c>
      <c r="M2389">
        <v>2.1897810218978102</v>
      </c>
      <c r="N2389" t="s">
        <v>960</v>
      </c>
      <c r="O2389">
        <v>0</v>
      </c>
      <c r="P2389">
        <v>0</v>
      </c>
      <c r="Q2389">
        <v>0</v>
      </c>
      <c r="R2389">
        <v>0</v>
      </c>
    </row>
    <row r="2390" spans="1:18" ht="16" x14ac:dyDescent="0.2">
      <c r="A2390" s="130" t="s">
        <v>3909</v>
      </c>
      <c r="B2390" t="s">
        <v>561</v>
      </c>
      <c r="C2390" t="s">
        <v>1724</v>
      </c>
      <c r="D2390" t="s">
        <v>1725</v>
      </c>
      <c r="E2390">
        <v>6</v>
      </c>
      <c r="F2390">
        <v>6</v>
      </c>
      <c r="G2390">
        <v>1</v>
      </c>
      <c r="H2390">
        <v>3.4878406109161499</v>
      </c>
      <c r="I2390" t="s">
        <v>957</v>
      </c>
      <c r="J2390" t="s">
        <v>4004</v>
      </c>
      <c r="K2390">
        <v>0.11764705882352899</v>
      </c>
      <c r="L2390" t="s">
        <v>1099</v>
      </c>
      <c r="M2390">
        <v>5.10948905109489</v>
      </c>
      <c r="N2390" t="s">
        <v>973</v>
      </c>
      <c r="O2390" t="s">
        <v>5017</v>
      </c>
      <c r="P2390">
        <v>0</v>
      </c>
      <c r="Q2390">
        <v>0</v>
      </c>
      <c r="R2390">
        <v>0</v>
      </c>
    </row>
    <row r="2391" spans="1:18" ht="16" x14ac:dyDescent="0.2">
      <c r="A2391" s="130" t="s">
        <v>3909</v>
      </c>
      <c r="B2391" t="s">
        <v>561</v>
      </c>
      <c r="C2391" t="s">
        <v>1581</v>
      </c>
      <c r="D2391" t="s">
        <v>1582</v>
      </c>
      <c r="E2391">
        <v>3</v>
      </c>
      <c r="F2391">
        <v>3</v>
      </c>
      <c r="G2391">
        <v>1</v>
      </c>
      <c r="H2391">
        <v>3.6634855726209699</v>
      </c>
      <c r="I2391" t="s">
        <v>957</v>
      </c>
      <c r="J2391" t="s">
        <v>3988</v>
      </c>
      <c r="K2391">
        <v>0.107142857142857</v>
      </c>
      <c r="L2391" t="s">
        <v>959</v>
      </c>
      <c r="M2391">
        <v>5.10948905109489</v>
      </c>
      <c r="N2391" t="s">
        <v>960</v>
      </c>
      <c r="O2391" t="s">
        <v>5017</v>
      </c>
      <c r="P2391">
        <v>0</v>
      </c>
      <c r="Q2391">
        <v>0</v>
      </c>
      <c r="R2391">
        <v>0</v>
      </c>
    </row>
    <row r="2392" spans="1:18" ht="16" x14ac:dyDescent="0.2">
      <c r="A2392" s="130" t="s">
        <v>3909</v>
      </c>
      <c r="B2392" t="s">
        <v>561</v>
      </c>
      <c r="C2392" t="s">
        <v>3272</v>
      </c>
      <c r="D2392" t="s">
        <v>3498</v>
      </c>
      <c r="E2392">
        <v>5</v>
      </c>
      <c r="F2392">
        <v>5</v>
      </c>
      <c r="G2392">
        <v>1</v>
      </c>
      <c r="H2392">
        <v>1.6125578694659699</v>
      </c>
      <c r="I2392" t="s">
        <v>957</v>
      </c>
      <c r="J2392" t="s">
        <v>4164</v>
      </c>
      <c r="K2392">
        <v>2.8571428571428598E-2</v>
      </c>
      <c r="L2392" t="s">
        <v>959</v>
      </c>
      <c r="M2392">
        <v>2.1897810218978102</v>
      </c>
      <c r="N2392" t="s">
        <v>960</v>
      </c>
      <c r="O2392" t="s">
        <v>5017</v>
      </c>
      <c r="P2392">
        <v>0</v>
      </c>
      <c r="Q2392">
        <v>0</v>
      </c>
      <c r="R2392">
        <v>0</v>
      </c>
    </row>
    <row r="2393" spans="1:18" ht="16" x14ac:dyDescent="0.2">
      <c r="A2393" s="130" t="s">
        <v>3909</v>
      </c>
      <c r="B2393" t="s">
        <v>561</v>
      </c>
      <c r="C2393" t="s">
        <v>997</v>
      </c>
      <c r="D2393" t="s">
        <v>998</v>
      </c>
      <c r="E2393">
        <v>6</v>
      </c>
      <c r="F2393">
        <v>6</v>
      </c>
      <c r="G2393">
        <v>1</v>
      </c>
      <c r="H2393">
        <v>3.4402381168496801</v>
      </c>
      <c r="I2393" t="s">
        <v>957</v>
      </c>
      <c r="J2393" t="s">
        <v>4213</v>
      </c>
      <c r="K2393">
        <v>7.8571428571428598E-2</v>
      </c>
      <c r="L2393" t="s">
        <v>959</v>
      </c>
      <c r="M2393">
        <v>8.0291970802919703</v>
      </c>
      <c r="N2393" t="s">
        <v>960</v>
      </c>
      <c r="O2393" t="s">
        <v>5017</v>
      </c>
      <c r="P2393">
        <v>0</v>
      </c>
      <c r="Q2393">
        <v>0</v>
      </c>
      <c r="R2393">
        <v>0</v>
      </c>
    </row>
    <row r="2394" spans="1:18" ht="16" x14ac:dyDescent="0.2">
      <c r="A2394" s="130" t="s">
        <v>3909</v>
      </c>
      <c r="B2394" t="s">
        <v>561</v>
      </c>
      <c r="C2394" t="s">
        <v>2316</v>
      </c>
      <c r="D2394" t="s">
        <v>2317</v>
      </c>
      <c r="E2394" t="s">
        <v>1052</v>
      </c>
      <c r="F2394">
        <v>2</v>
      </c>
      <c r="G2394">
        <v>2</v>
      </c>
      <c r="H2394">
        <v>2.30699492590383</v>
      </c>
      <c r="I2394" t="s">
        <v>957</v>
      </c>
      <c r="J2394" t="s">
        <v>2927</v>
      </c>
      <c r="K2394">
        <v>0.192857142857143</v>
      </c>
      <c r="L2394" t="s">
        <v>959</v>
      </c>
      <c r="M2394">
        <v>8.7591240875912408</v>
      </c>
      <c r="N2394" t="s">
        <v>960</v>
      </c>
      <c r="O2394" t="s">
        <v>5017</v>
      </c>
      <c r="P2394">
        <v>0</v>
      </c>
      <c r="Q2394">
        <v>0</v>
      </c>
      <c r="R2394">
        <v>0</v>
      </c>
    </row>
    <row r="2395" spans="1:18" ht="16" x14ac:dyDescent="0.2">
      <c r="A2395" s="130" t="s">
        <v>3909</v>
      </c>
      <c r="B2395" t="s">
        <v>561</v>
      </c>
      <c r="C2395" t="s">
        <v>4705</v>
      </c>
      <c r="D2395" t="s">
        <v>4706</v>
      </c>
      <c r="E2395">
        <v>3</v>
      </c>
      <c r="F2395">
        <v>3</v>
      </c>
      <c r="G2395">
        <v>1</v>
      </c>
      <c r="H2395">
        <v>2.9154759474226499</v>
      </c>
      <c r="I2395" t="s">
        <v>957</v>
      </c>
      <c r="J2395" t="s">
        <v>4707</v>
      </c>
      <c r="K2395">
        <v>0.11764705882352899</v>
      </c>
      <c r="L2395" t="s">
        <v>1099</v>
      </c>
      <c r="M2395">
        <v>1.4598540145985399</v>
      </c>
      <c r="N2395" t="s">
        <v>973</v>
      </c>
      <c r="O2395" t="s">
        <v>5017</v>
      </c>
      <c r="P2395">
        <v>0</v>
      </c>
      <c r="Q2395">
        <v>0</v>
      </c>
      <c r="R2395">
        <v>0</v>
      </c>
    </row>
    <row r="2396" spans="1:18" ht="16" x14ac:dyDescent="0.2">
      <c r="A2396" s="130" t="s">
        <v>3909</v>
      </c>
      <c r="B2396" t="s">
        <v>561</v>
      </c>
      <c r="C2396" t="s">
        <v>2589</v>
      </c>
      <c r="D2396" t="s">
        <v>2590</v>
      </c>
      <c r="E2396">
        <v>7</v>
      </c>
      <c r="F2396">
        <v>7</v>
      </c>
      <c r="G2396">
        <v>1</v>
      </c>
      <c r="H2396">
        <v>3.1582756197627599</v>
      </c>
      <c r="I2396" t="s">
        <v>957</v>
      </c>
      <c r="J2396" t="s">
        <v>4611</v>
      </c>
      <c r="K2396">
        <v>8.5714285714285701E-2</v>
      </c>
      <c r="L2396" t="s">
        <v>959</v>
      </c>
      <c r="M2396">
        <v>7.2992700729926998</v>
      </c>
      <c r="N2396" t="s">
        <v>960</v>
      </c>
      <c r="O2396" t="s">
        <v>5017</v>
      </c>
      <c r="P2396">
        <v>0</v>
      </c>
      <c r="Q2396">
        <v>0</v>
      </c>
      <c r="R2396">
        <v>0</v>
      </c>
    </row>
    <row r="2397" spans="1:18" ht="16" x14ac:dyDescent="0.2">
      <c r="A2397" s="130" t="s">
        <v>3909</v>
      </c>
      <c r="B2397" t="s">
        <v>561</v>
      </c>
      <c r="C2397" t="s">
        <v>2339</v>
      </c>
      <c r="D2397" t="s">
        <v>2340</v>
      </c>
      <c r="E2397">
        <v>3</v>
      </c>
      <c r="F2397">
        <v>3</v>
      </c>
      <c r="G2397">
        <v>1</v>
      </c>
      <c r="H2397">
        <v>3.71668145659077</v>
      </c>
      <c r="I2397" t="s">
        <v>957</v>
      </c>
      <c r="J2397" t="s">
        <v>4708</v>
      </c>
      <c r="K2397">
        <v>0.1</v>
      </c>
      <c r="L2397" t="s">
        <v>959</v>
      </c>
      <c r="M2397">
        <v>5.10948905109489</v>
      </c>
      <c r="N2397" t="s">
        <v>960</v>
      </c>
      <c r="O2397" t="s">
        <v>5017</v>
      </c>
      <c r="P2397">
        <v>0</v>
      </c>
      <c r="Q2397">
        <v>0</v>
      </c>
      <c r="R2397">
        <v>0</v>
      </c>
    </row>
    <row r="2398" spans="1:18" ht="16" x14ac:dyDescent="0.2">
      <c r="A2398" s="130" t="s">
        <v>3909</v>
      </c>
      <c r="B2398" t="s">
        <v>561</v>
      </c>
      <c r="C2398" t="s">
        <v>2105</v>
      </c>
      <c r="D2398" t="s">
        <v>2106</v>
      </c>
      <c r="E2398">
        <v>3</v>
      </c>
      <c r="F2398">
        <v>3</v>
      </c>
      <c r="G2398">
        <v>1</v>
      </c>
      <c r="H2398">
        <v>3.1140187140673401</v>
      </c>
      <c r="I2398" t="s">
        <v>957</v>
      </c>
      <c r="J2398" t="s">
        <v>4637</v>
      </c>
      <c r="K2398">
        <v>0.17647058823529399</v>
      </c>
      <c r="L2398" t="s">
        <v>1099</v>
      </c>
      <c r="M2398">
        <v>8.0291970802919703</v>
      </c>
      <c r="N2398" t="s">
        <v>973</v>
      </c>
      <c r="O2398" t="s">
        <v>5017</v>
      </c>
      <c r="P2398">
        <v>0</v>
      </c>
      <c r="Q2398">
        <v>0</v>
      </c>
      <c r="R2398">
        <v>0</v>
      </c>
    </row>
    <row r="2399" spans="1:18" ht="16" x14ac:dyDescent="0.2">
      <c r="A2399" s="130" t="s">
        <v>3909</v>
      </c>
      <c r="B2399" t="s">
        <v>561</v>
      </c>
      <c r="C2399" t="s">
        <v>2904</v>
      </c>
      <c r="D2399" t="s">
        <v>2905</v>
      </c>
      <c r="E2399">
        <v>4</v>
      </c>
      <c r="F2399">
        <v>4</v>
      </c>
      <c r="G2399">
        <v>1</v>
      </c>
      <c r="H2399">
        <v>0.97121105075903502</v>
      </c>
      <c r="I2399" t="s">
        <v>957</v>
      </c>
      <c r="J2399" t="s">
        <v>4281</v>
      </c>
      <c r="K2399">
        <v>0.23529411764705899</v>
      </c>
      <c r="L2399" t="s">
        <v>1099</v>
      </c>
      <c r="M2399">
        <v>7.2992700729926998</v>
      </c>
      <c r="N2399" t="s">
        <v>973</v>
      </c>
      <c r="O2399" t="s">
        <v>5017</v>
      </c>
      <c r="P2399">
        <v>0</v>
      </c>
      <c r="Q2399">
        <v>0</v>
      </c>
      <c r="R2399">
        <v>0</v>
      </c>
    </row>
    <row r="2400" spans="1:18" ht="16" x14ac:dyDescent="0.2">
      <c r="A2400" s="130" t="s">
        <v>3909</v>
      </c>
      <c r="B2400" t="s">
        <v>561</v>
      </c>
      <c r="C2400" t="s">
        <v>1497</v>
      </c>
      <c r="D2400" t="s">
        <v>1498</v>
      </c>
      <c r="E2400">
        <v>3</v>
      </c>
      <c r="F2400">
        <v>3</v>
      </c>
      <c r="G2400">
        <v>1</v>
      </c>
      <c r="H2400">
        <v>3.88760768007382</v>
      </c>
      <c r="I2400" t="s">
        <v>957</v>
      </c>
      <c r="J2400" t="s">
        <v>5006</v>
      </c>
      <c r="K2400">
        <v>7.8571428571428598E-2</v>
      </c>
      <c r="L2400" t="s">
        <v>959</v>
      </c>
      <c r="M2400">
        <v>3.6496350364963499</v>
      </c>
      <c r="N2400" t="s">
        <v>960</v>
      </c>
      <c r="O2400" t="s">
        <v>5017</v>
      </c>
      <c r="P2400">
        <v>0</v>
      </c>
      <c r="Q2400">
        <v>0</v>
      </c>
      <c r="R2400">
        <v>0</v>
      </c>
    </row>
    <row r="2401" spans="1:18" ht="16" x14ac:dyDescent="0.2">
      <c r="A2401" s="130" t="s">
        <v>3909</v>
      </c>
      <c r="B2401" t="s">
        <v>564</v>
      </c>
      <c r="C2401" t="s">
        <v>2313</v>
      </c>
      <c r="D2401" t="s">
        <v>2314</v>
      </c>
      <c r="E2401">
        <v>3</v>
      </c>
      <c r="F2401">
        <v>3</v>
      </c>
      <c r="G2401">
        <v>1</v>
      </c>
      <c r="H2401">
        <v>3.7963587505870602</v>
      </c>
      <c r="I2401" t="s">
        <v>957</v>
      </c>
      <c r="J2401" t="s">
        <v>4477</v>
      </c>
      <c r="K2401">
        <v>0.128571428571429</v>
      </c>
      <c r="L2401" t="s">
        <v>959</v>
      </c>
      <c r="M2401">
        <v>5.10948905109489</v>
      </c>
      <c r="N2401" t="s">
        <v>960</v>
      </c>
      <c r="O2401">
        <v>0</v>
      </c>
      <c r="P2401">
        <v>0</v>
      </c>
      <c r="Q2401">
        <v>0</v>
      </c>
      <c r="R2401">
        <v>0</v>
      </c>
    </row>
    <row r="2402" spans="1:18" ht="16" x14ac:dyDescent="0.2">
      <c r="A2402" s="130" t="s">
        <v>3909</v>
      </c>
      <c r="B2402" t="s">
        <v>568</v>
      </c>
      <c r="C2402" t="s">
        <v>203</v>
      </c>
      <c r="D2402" t="s">
        <v>4404</v>
      </c>
      <c r="E2402">
        <v>17</v>
      </c>
      <c r="F2402">
        <v>17</v>
      </c>
      <c r="G2402">
        <v>1</v>
      </c>
      <c r="H2402">
        <v>0.97687885794459495</v>
      </c>
      <c r="I2402" t="s">
        <v>957</v>
      </c>
      <c r="J2402" t="s">
        <v>4405</v>
      </c>
      <c r="K2402">
        <v>2.1428571428571401E-2</v>
      </c>
      <c r="L2402" t="s">
        <v>959</v>
      </c>
      <c r="M2402">
        <v>1.4598540145985399</v>
      </c>
      <c r="N2402" t="s">
        <v>960</v>
      </c>
      <c r="O2402" t="s">
        <v>5017</v>
      </c>
      <c r="P2402" t="s">
        <v>5018</v>
      </c>
      <c r="Q2402">
        <v>0</v>
      </c>
      <c r="R2402">
        <v>0</v>
      </c>
    </row>
    <row r="2403" spans="1:18" ht="16" x14ac:dyDescent="0.2">
      <c r="A2403" s="130" t="s">
        <v>3909</v>
      </c>
      <c r="B2403" t="s">
        <v>568</v>
      </c>
      <c r="C2403" t="s">
        <v>2821</v>
      </c>
      <c r="D2403" t="s">
        <v>2822</v>
      </c>
      <c r="E2403" t="s">
        <v>1022</v>
      </c>
      <c r="F2403">
        <v>3</v>
      </c>
      <c r="G2403">
        <v>2</v>
      </c>
      <c r="H2403">
        <v>3.8805610116451699</v>
      </c>
      <c r="I2403" t="s">
        <v>957</v>
      </c>
      <c r="J2403" t="s">
        <v>4181</v>
      </c>
      <c r="K2403">
        <v>0.157142857142857</v>
      </c>
      <c r="L2403" t="s">
        <v>959</v>
      </c>
      <c r="M2403">
        <v>6.5693430656934302</v>
      </c>
      <c r="N2403" t="s">
        <v>960</v>
      </c>
      <c r="O2403" t="s">
        <v>5017</v>
      </c>
      <c r="P2403">
        <v>0</v>
      </c>
      <c r="Q2403">
        <v>0</v>
      </c>
      <c r="R2403">
        <v>0</v>
      </c>
    </row>
    <row r="2404" spans="1:18" ht="16" x14ac:dyDescent="0.2">
      <c r="A2404" s="130" t="s">
        <v>3909</v>
      </c>
      <c r="B2404" t="s">
        <v>572</v>
      </c>
      <c r="C2404" t="s">
        <v>1376</v>
      </c>
      <c r="D2404" t="s">
        <v>1377</v>
      </c>
      <c r="E2404">
        <v>3</v>
      </c>
      <c r="F2404">
        <v>3</v>
      </c>
      <c r="G2404">
        <v>1</v>
      </c>
      <c r="H2404">
        <v>1.10071643593993</v>
      </c>
      <c r="I2404" t="s">
        <v>957</v>
      </c>
      <c r="J2404" t="s">
        <v>4591</v>
      </c>
      <c r="K2404">
        <v>0.17142857142857101</v>
      </c>
      <c r="L2404" t="s">
        <v>959</v>
      </c>
      <c r="M2404">
        <v>9.4890510948905096</v>
      </c>
      <c r="N2404" t="s">
        <v>960</v>
      </c>
      <c r="O2404" t="s">
        <v>5017</v>
      </c>
      <c r="P2404">
        <v>0</v>
      </c>
      <c r="Q2404">
        <v>0</v>
      </c>
      <c r="R2404">
        <v>0</v>
      </c>
    </row>
    <row r="2405" spans="1:18" ht="16" x14ac:dyDescent="0.2">
      <c r="A2405" s="130" t="s">
        <v>3909</v>
      </c>
      <c r="B2405" t="s">
        <v>572</v>
      </c>
      <c r="C2405" t="s">
        <v>2210</v>
      </c>
      <c r="D2405" t="s">
        <v>2211</v>
      </c>
      <c r="E2405">
        <v>3</v>
      </c>
      <c r="F2405">
        <v>3</v>
      </c>
      <c r="G2405">
        <v>1</v>
      </c>
      <c r="H2405">
        <v>3.7336370592749999</v>
      </c>
      <c r="I2405" t="s">
        <v>957</v>
      </c>
      <c r="J2405" t="s">
        <v>3945</v>
      </c>
      <c r="K2405">
        <v>0.13571428571428601</v>
      </c>
      <c r="L2405" t="s">
        <v>959</v>
      </c>
      <c r="M2405">
        <v>1.4598540145985399</v>
      </c>
      <c r="N2405" t="s">
        <v>987</v>
      </c>
      <c r="O2405" t="s">
        <v>5017</v>
      </c>
      <c r="P2405">
        <v>0</v>
      </c>
      <c r="Q2405">
        <v>0</v>
      </c>
      <c r="R2405">
        <v>0</v>
      </c>
    </row>
    <row r="2406" spans="1:18" ht="16" x14ac:dyDescent="0.2">
      <c r="A2406" s="130" t="s">
        <v>3909</v>
      </c>
      <c r="B2406" t="s">
        <v>572</v>
      </c>
      <c r="C2406" t="s">
        <v>1326</v>
      </c>
      <c r="D2406" t="s">
        <v>4516</v>
      </c>
      <c r="E2406">
        <v>3</v>
      </c>
      <c r="F2406">
        <v>3</v>
      </c>
      <c r="G2406">
        <v>1</v>
      </c>
      <c r="H2406">
        <v>3.5187952247473402</v>
      </c>
      <c r="I2406" t="s">
        <v>957</v>
      </c>
      <c r="J2406" t="s">
        <v>4517</v>
      </c>
      <c r="K2406">
        <v>0.17857142857142899</v>
      </c>
      <c r="L2406" t="s">
        <v>959</v>
      </c>
      <c r="M2406">
        <v>4.3795620437956204</v>
      </c>
      <c r="N2406" t="s">
        <v>987</v>
      </c>
      <c r="O2406" t="s">
        <v>5017</v>
      </c>
      <c r="P2406">
        <v>0</v>
      </c>
      <c r="Q2406">
        <v>0</v>
      </c>
      <c r="R2406">
        <v>0</v>
      </c>
    </row>
    <row r="2407" spans="1:18" ht="16" x14ac:dyDescent="0.2">
      <c r="A2407" s="130" t="s">
        <v>3909</v>
      </c>
      <c r="B2407" t="s">
        <v>572</v>
      </c>
      <c r="C2407" t="s">
        <v>3645</v>
      </c>
      <c r="D2407" t="s">
        <v>3646</v>
      </c>
      <c r="E2407" t="s">
        <v>1230</v>
      </c>
      <c r="F2407">
        <v>4</v>
      </c>
      <c r="G2407">
        <v>2</v>
      </c>
      <c r="H2407">
        <v>2.9818485448819501</v>
      </c>
      <c r="I2407" t="s">
        <v>957</v>
      </c>
      <c r="J2407" t="s">
        <v>4524</v>
      </c>
      <c r="K2407">
        <v>0.14285714285714299</v>
      </c>
      <c r="L2407" t="s">
        <v>959</v>
      </c>
      <c r="M2407">
        <v>5.8394160583941597</v>
      </c>
      <c r="N2407" t="s">
        <v>960</v>
      </c>
      <c r="O2407" t="s">
        <v>5017</v>
      </c>
      <c r="P2407">
        <v>0</v>
      </c>
      <c r="Q2407">
        <v>0</v>
      </c>
      <c r="R2407">
        <v>0</v>
      </c>
    </row>
    <row r="2408" spans="1:18" ht="16" x14ac:dyDescent="0.2">
      <c r="A2408" s="130" t="s">
        <v>3909</v>
      </c>
      <c r="B2408" t="s">
        <v>572</v>
      </c>
      <c r="C2408" t="s">
        <v>1814</v>
      </c>
      <c r="D2408" t="s">
        <v>1815</v>
      </c>
      <c r="E2408" t="s">
        <v>1039</v>
      </c>
      <c r="F2408">
        <v>3</v>
      </c>
      <c r="G2408">
        <v>2</v>
      </c>
      <c r="H2408">
        <v>3.37763827441939</v>
      </c>
      <c r="I2408" t="s">
        <v>957</v>
      </c>
      <c r="J2408" t="s">
        <v>1817</v>
      </c>
      <c r="K2408">
        <v>0.157142857142857</v>
      </c>
      <c r="L2408" t="s">
        <v>959</v>
      </c>
      <c r="M2408">
        <v>5.8394160583941597</v>
      </c>
      <c r="N2408" t="s">
        <v>960</v>
      </c>
      <c r="O2408" t="s">
        <v>5017</v>
      </c>
      <c r="P2408">
        <v>0</v>
      </c>
      <c r="Q2408">
        <v>0</v>
      </c>
      <c r="R2408">
        <v>0</v>
      </c>
    </row>
    <row r="2409" spans="1:18" ht="16" x14ac:dyDescent="0.2">
      <c r="A2409" s="130" t="s">
        <v>3909</v>
      </c>
      <c r="B2409" t="s">
        <v>572</v>
      </c>
      <c r="C2409" t="s">
        <v>4794</v>
      </c>
      <c r="D2409" t="s">
        <v>4795</v>
      </c>
      <c r="E2409" t="s">
        <v>4796</v>
      </c>
      <c r="F2409">
        <v>13</v>
      </c>
      <c r="G2409">
        <v>2</v>
      </c>
      <c r="H2409">
        <v>0.77803674068017703</v>
      </c>
      <c r="I2409" t="s">
        <v>957</v>
      </c>
      <c r="J2409" t="s">
        <v>4797</v>
      </c>
      <c r="K2409">
        <v>0.31034482758620702</v>
      </c>
      <c r="L2409" t="s">
        <v>972</v>
      </c>
      <c r="M2409">
        <v>0.72992700729926996</v>
      </c>
      <c r="N2409" t="s">
        <v>973</v>
      </c>
      <c r="O2409" t="s">
        <v>5017</v>
      </c>
      <c r="P2409">
        <v>0</v>
      </c>
      <c r="Q2409">
        <v>0</v>
      </c>
      <c r="R2409">
        <v>0</v>
      </c>
    </row>
    <row r="2410" spans="1:18" ht="16" x14ac:dyDescent="0.2">
      <c r="A2410" s="130" t="s">
        <v>3909</v>
      </c>
      <c r="B2410" t="s">
        <v>572</v>
      </c>
      <c r="C2410" t="s">
        <v>1615</v>
      </c>
      <c r="D2410" t="s">
        <v>1616</v>
      </c>
      <c r="E2410">
        <v>3</v>
      </c>
      <c r="F2410">
        <v>3</v>
      </c>
      <c r="G2410">
        <v>1</v>
      </c>
      <c r="H2410">
        <v>9.5984108644398394E-2</v>
      </c>
      <c r="I2410" t="s">
        <v>957</v>
      </c>
      <c r="J2410" t="s">
        <v>4218</v>
      </c>
      <c r="K2410">
        <v>7.1428571428571397E-2</v>
      </c>
      <c r="L2410" t="s">
        <v>959</v>
      </c>
      <c r="M2410">
        <v>5.8394160583941597</v>
      </c>
      <c r="N2410" t="s">
        <v>960</v>
      </c>
      <c r="O2410" t="s">
        <v>5017</v>
      </c>
      <c r="P2410" t="s">
        <v>5018</v>
      </c>
      <c r="Q2410">
        <v>0</v>
      </c>
      <c r="R2410">
        <v>0</v>
      </c>
    </row>
    <row r="2411" spans="1:18" ht="16" x14ac:dyDescent="0.2">
      <c r="A2411" s="130" t="s">
        <v>3909</v>
      </c>
      <c r="B2411" t="s">
        <v>572</v>
      </c>
      <c r="C2411" t="s">
        <v>4385</v>
      </c>
      <c r="D2411" t="s">
        <v>4386</v>
      </c>
      <c r="E2411" t="s">
        <v>1442</v>
      </c>
      <c r="F2411">
        <v>5</v>
      </c>
      <c r="G2411">
        <v>2</v>
      </c>
      <c r="H2411">
        <v>3.9639457477117199</v>
      </c>
      <c r="I2411" t="s">
        <v>957</v>
      </c>
      <c r="J2411" t="s">
        <v>4387</v>
      </c>
      <c r="K2411">
        <v>0.20689655172413801</v>
      </c>
      <c r="L2411" t="s">
        <v>972</v>
      </c>
      <c r="M2411">
        <v>0.72992700729926996</v>
      </c>
      <c r="N2411" t="s">
        <v>973</v>
      </c>
      <c r="O2411" t="s">
        <v>5017</v>
      </c>
      <c r="P2411">
        <v>0</v>
      </c>
      <c r="Q2411">
        <v>0</v>
      </c>
      <c r="R2411">
        <v>0</v>
      </c>
    </row>
    <row r="2412" spans="1:18" ht="16" x14ac:dyDescent="0.2">
      <c r="A2412" s="130" t="s">
        <v>3909</v>
      </c>
      <c r="B2412" t="s">
        <v>572</v>
      </c>
      <c r="C2412" t="s">
        <v>3070</v>
      </c>
      <c r="D2412" t="s">
        <v>3071</v>
      </c>
      <c r="E2412">
        <v>3</v>
      </c>
      <c r="F2412">
        <v>3</v>
      </c>
      <c r="G2412">
        <v>1</v>
      </c>
      <c r="H2412">
        <v>2.5881391590148999</v>
      </c>
      <c r="I2412" t="s">
        <v>957</v>
      </c>
      <c r="J2412" t="s">
        <v>3986</v>
      </c>
      <c r="K2412">
        <v>0.1</v>
      </c>
      <c r="L2412" t="s">
        <v>959</v>
      </c>
      <c r="M2412">
        <v>5.8394160583941597</v>
      </c>
      <c r="N2412" t="s">
        <v>987</v>
      </c>
      <c r="O2412" t="s">
        <v>5017</v>
      </c>
      <c r="P2412">
        <v>0</v>
      </c>
      <c r="Q2412">
        <v>0</v>
      </c>
      <c r="R2412">
        <v>0</v>
      </c>
    </row>
    <row r="2413" spans="1:18" ht="16" x14ac:dyDescent="0.2">
      <c r="A2413" s="130" t="s">
        <v>3909</v>
      </c>
      <c r="B2413" t="s">
        <v>572</v>
      </c>
      <c r="C2413" t="s">
        <v>2339</v>
      </c>
      <c r="D2413" t="s">
        <v>2340</v>
      </c>
      <c r="E2413" t="s">
        <v>1022</v>
      </c>
      <c r="F2413">
        <v>3</v>
      </c>
      <c r="G2413">
        <v>2</v>
      </c>
      <c r="H2413">
        <v>2.7179570728619602</v>
      </c>
      <c r="I2413" t="s">
        <v>957</v>
      </c>
      <c r="J2413" t="s">
        <v>4031</v>
      </c>
      <c r="K2413">
        <v>0.1</v>
      </c>
      <c r="L2413" t="s">
        <v>959</v>
      </c>
      <c r="M2413">
        <v>5.10948905109489</v>
      </c>
      <c r="N2413" t="s">
        <v>960</v>
      </c>
      <c r="O2413" t="s">
        <v>5017</v>
      </c>
      <c r="P2413">
        <v>0</v>
      </c>
      <c r="Q2413">
        <v>0</v>
      </c>
      <c r="R2413">
        <v>0</v>
      </c>
    </row>
    <row r="2414" spans="1:18" ht="16" x14ac:dyDescent="0.2">
      <c r="A2414" s="130" t="s">
        <v>3909</v>
      </c>
      <c r="B2414" t="s">
        <v>572</v>
      </c>
      <c r="C2414" t="s">
        <v>2030</v>
      </c>
      <c r="D2414" t="s">
        <v>4032</v>
      </c>
      <c r="E2414" t="s">
        <v>4033</v>
      </c>
      <c r="F2414">
        <v>9</v>
      </c>
      <c r="G2414">
        <v>4</v>
      </c>
      <c r="H2414">
        <v>4.5238073222308604</v>
      </c>
      <c r="I2414" t="s">
        <v>957</v>
      </c>
      <c r="J2414" t="s">
        <v>4034</v>
      </c>
      <c r="K2414" t="s">
        <v>4035</v>
      </c>
      <c r="L2414" t="s">
        <v>2024</v>
      </c>
      <c r="M2414">
        <v>5.8394160583941597</v>
      </c>
      <c r="N2414" t="s">
        <v>987</v>
      </c>
      <c r="O2414" t="s">
        <v>5017</v>
      </c>
      <c r="P2414">
        <v>0</v>
      </c>
      <c r="Q2414">
        <v>0</v>
      </c>
      <c r="R2414">
        <v>0</v>
      </c>
    </row>
    <row r="2415" spans="1:18" ht="16" x14ac:dyDescent="0.2">
      <c r="A2415" s="130" t="s">
        <v>3909</v>
      </c>
      <c r="B2415" t="s">
        <v>572</v>
      </c>
      <c r="C2415" t="s">
        <v>2233</v>
      </c>
      <c r="D2415" t="s">
        <v>2234</v>
      </c>
      <c r="E2415">
        <v>3</v>
      </c>
      <c r="F2415">
        <v>3</v>
      </c>
      <c r="G2415">
        <v>1</v>
      </c>
      <c r="H2415">
        <v>2.0085888063495898</v>
      </c>
      <c r="I2415" t="s">
        <v>957</v>
      </c>
      <c r="J2415" t="s">
        <v>4856</v>
      </c>
      <c r="K2415">
        <v>0.16428571428571401</v>
      </c>
      <c r="L2415" t="s">
        <v>959</v>
      </c>
      <c r="M2415">
        <v>8.0291970802919703</v>
      </c>
      <c r="N2415" t="s">
        <v>960</v>
      </c>
      <c r="O2415" t="s">
        <v>5017</v>
      </c>
      <c r="P2415">
        <v>0</v>
      </c>
      <c r="Q2415">
        <v>0</v>
      </c>
      <c r="R2415">
        <v>0</v>
      </c>
    </row>
    <row r="2416" spans="1:18" ht="16" x14ac:dyDescent="0.2">
      <c r="A2416" s="130" t="s">
        <v>3909</v>
      </c>
      <c r="B2416" t="s">
        <v>572</v>
      </c>
      <c r="C2416" t="s">
        <v>2419</v>
      </c>
      <c r="D2416" t="s">
        <v>2420</v>
      </c>
      <c r="E2416" t="s">
        <v>1102</v>
      </c>
      <c r="F2416">
        <v>4</v>
      </c>
      <c r="G2416">
        <v>2</v>
      </c>
      <c r="H2416">
        <v>3.4601815056803198</v>
      </c>
      <c r="I2416" t="s">
        <v>957</v>
      </c>
      <c r="J2416" t="s">
        <v>4332</v>
      </c>
      <c r="K2416">
        <v>0.17857142857142899</v>
      </c>
      <c r="L2416" t="s">
        <v>959</v>
      </c>
      <c r="M2416">
        <v>9.4890510948905096</v>
      </c>
      <c r="N2416" t="s">
        <v>960</v>
      </c>
      <c r="O2416" t="s">
        <v>5017</v>
      </c>
      <c r="P2416">
        <v>0</v>
      </c>
      <c r="Q2416">
        <v>0</v>
      </c>
      <c r="R2416">
        <v>0</v>
      </c>
    </row>
    <row r="2417" spans="1:18" ht="16" x14ac:dyDescent="0.2">
      <c r="A2417" s="130" t="s">
        <v>3909</v>
      </c>
      <c r="B2417" t="s">
        <v>572</v>
      </c>
      <c r="C2417" t="s">
        <v>2665</v>
      </c>
      <c r="D2417" t="s">
        <v>2666</v>
      </c>
      <c r="E2417">
        <v>4</v>
      </c>
      <c r="F2417">
        <v>4</v>
      </c>
      <c r="G2417">
        <v>1</v>
      </c>
      <c r="H2417">
        <v>2.2613824962559299</v>
      </c>
      <c r="I2417" t="s">
        <v>957</v>
      </c>
      <c r="J2417" t="s">
        <v>4803</v>
      </c>
      <c r="K2417">
        <v>5.7142857142857099E-2</v>
      </c>
      <c r="L2417" t="s">
        <v>959</v>
      </c>
      <c r="M2417">
        <v>2.9197080291970798</v>
      </c>
      <c r="N2417" t="s">
        <v>960</v>
      </c>
      <c r="O2417" t="s">
        <v>5017</v>
      </c>
      <c r="P2417">
        <v>0</v>
      </c>
      <c r="Q2417">
        <v>0</v>
      </c>
      <c r="R2417">
        <v>0</v>
      </c>
    </row>
    <row r="2418" spans="1:18" ht="16" x14ac:dyDescent="0.2">
      <c r="A2418" s="130" t="s">
        <v>3909</v>
      </c>
      <c r="B2418" t="s">
        <v>572</v>
      </c>
      <c r="C2418" t="s">
        <v>1398</v>
      </c>
      <c r="D2418" t="s">
        <v>1399</v>
      </c>
      <c r="E2418">
        <v>3</v>
      </c>
      <c r="F2418">
        <v>3</v>
      </c>
      <c r="G2418">
        <v>1</v>
      </c>
      <c r="H2418">
        <v>2.7079574330202898</v>
      </c>
      <c r="I2418" t="s">
        <v>957</v>
      </c>
      <c r="J2418" t="s">
        <v>4668</v>
      </c>
      <c r="K2418">
        <v>0.17857142857142899</v>
      </c>
      <c r="L2418" t="s">
        <v>959</v>
      </c>
      <c r="M2418">
        <v>7.2992700729926998</v>
      </c>
      <c r="N2418" t="s">
        <v>987</v>
      </c>
      <c r="O2418" t="s">
        <v>5017</v>
      </c>
      <c r="P2418">
        <v>0</v>
      </c>
      <c r="Q2418">
        <v>0</v>
      </c>
      <c r="R2418">
        <v>0</v>
      </c>
    </row>
    <row r="2419" spans="1:18" ht="16" x14ac:dyDescent="0.2">
      <c r="A2419" s="130" t="s">
        <v>3909</v>
      </c>
      <c r="B2419" t="s">
        <v>572</v>
      </c>
      <c r="C2419" t="s">
        <v>1869</v>
      </c>
      <c r="D2419" t="s">
        <v>1870</v>
      </c>
      <c r="E2419">
        <v>3</v>
      </c>
      <c r="F2419">
        <v>3</v>
      </c>
      <c r="G2419">
        <v>1</v>
      </c>
      <c r="H2419">
        <v>2.29289179379691</v>
      </c>
      <c r="I2419" t="s">
        <v>957</v>
      </c>
      <c r="J2419" t="s">
        <v>4133</v>
      </c>
      <c r="K2419">
        <v>0.13571428571428601</v>
      </c>
      <c r="L2419" t="s">
        <v>959</v>
      </c>
      <c r="M2419">
        <v>6.5693430656934302</v>
      </c>
      <c r="N2419" t="s">
        <v>987</v>
      </c>
      <c r="O2419" t="s">
        <v>5017</v>
      </c>
      <c r="P2419">
        <v>0</v>
      </c>
      <c r="Q2419">
        <v>0</v>
      </c>
      <c r="R2419">
        <v>0</v>
      </c>
    </row>
    <row r="2420" spans="1:18" ht="16" x14ac:dyDescent="0.2">
      <c r="A2420" s="130" t="s">
        <v>3909</v>
      </c>
      <c r="B2420" t="s">
        <v>572</v>
      </c>
      <c r="C2420" t="s">
        <v>3301</v>
      </c>
      <c r="D2420" t="s">
        <v>3302</v>
      </c>
      <c r="E2420">
        <v>3</v>
      </c>
      <c r="F2420">
        <v>3</v>
      </c>
      <c r="G2420">
        <v>1</v>
      </c>
      <c r="H2420">
        <v>1.6863305021082</v>
      </c>
      <c r="I2420" t="s">
        <v>957</v>
      </c>
      <c r="J2420" t="s">
        <v>4099</v>
      </c>
      <c r="K2420">
        <v>0.128571428571429</v>
      </c>
      <c r="L2420" t="s">
        <v>959</v>
      </c>
      <c r="M2420">
        <v>7.2992700729926998</v>
      </c>
      <c r="N2420" t="s">
        <v>960</v>
      </c>
      <c r="O2420" t="s">
        <v>5017</v>
      </c>
      <c r="P2420">
        <v>0</v>
      </c>
      <c r="Q2420">
        <v>0</v>
      </c>
      <c r="R2420">
        <v>0</v>
      </c>
    </row>
    <row r="2421" spans="1:18" ht="16" x14ac:dyDescent="0.2">
      <c r="A2421" s="130" t="s">
        <v>3909</v>
      </c>
      <c r="B2421" t="s">
        <v>572</v>
      </c>
      <c r="C2421" t="s">
        <v>2821</v>
      </c>
      <c r="D2421" t="s">
        <v>2822</v>
      </c>
      <c r="E2421">
        <v>3</v>
      </c>
      <c r="F2421">
        <v>3</v>
      </c>
      <c r="G2421">
        <v>1</v>
      </c>
      <c r="H2421">
        <v>2.1667485774801101</v>
      </c>
      <c r="I2421" t="s">
        <v>957</v>
      </c>
      <c r="J2421" t="s">
        <v>4092</v>
      </c>
      <c r="K2421">
        <v>0.157142857142857</v>
      </c>
      <c r="L2421" t="s">
        <v>959</v>
      </c>
      <c r="M2421">
        <v>6.5693430656934302</v>
      </c>
      <c r="N2421" t="s">
        <v>960</v>
      </c>
      <c r="O2421" t="s">
        <v>5017</v>
      </c>
      <c r="P2421">
        <v>0</v>
      </c>
      <c r="Q2421">
        <v>0</v>
      </c>
      <c r="R2421">
        <v>0</v>
      </c>
    </row>
    <row r="2422" spans="1:18" ht="16" x14ac:dyDescent="0.2">
      <c r="A2422" s="130" t="s">
        <v>3909</v>
      </c>
      <c r="B2422" t="s">
        <v>572</v>
      </c>
      <c r="C2422" t="s">
        <v>2464</v>
      </c>
      <c r="D2422" t="s">
        <v>2465</v>
      </c>
      <c r="E2422" t="s">
        <v>1022</v>
      </c>
      <c r="F2422">
        <v>3</v>
      </c>
      <c r="G2422">
        <v>2</v>
      </c>
      <c r="H2422">
        <v>1.2165799426761299</v>
      </c>
      <c r="I2422" t="s">
        <v>957</v>
      </c>
      <c r="J2422" t="s">
        <v>4126</v>
      </c>
      <c r="K2422">
        <v>0.16428571428571401</v>
      </c>
      <c r="L2422" t="s">
        <v>959</v>
      </c>
      <c r="M2422">
        <v>6.5693430656934302</v>
      </c>
      <c r="N2422" t="s">
        <v>960</v>
      </c>
      <c r="O2422" t="s">
        <v>5017</v>
      </c>
      <c r="P2422">
        <v>0</v>
      </c>
      <c r="Q2422">
        <v>0</v>
      </c>
      <c r="R2422">
        <v>0</v>
      </c>
    </row>
    <row r="2423" spans="1:18" ht="16" x14ac:dyDescent="0.2">
      <c r="A2423" s="130" t="s">
        <v>3909</v>
      </c>
      <c r="B2423" t="s">
        <v>572</v>
      </c>
      <c r="C2423" t="s">
        <v>2818</v>
      </c>
      <c r="D2423" t="s">
        <v>2819</v>
      </c>
      <c r="E2423">
        <v>3</v>
      </c>
      <c r="F2423">
        <v>3</v>
      </c>
      <c r="G2423">
        <v>1</v>
      </c>
      <c r="H2423">
        <v>2.8084722912370799</v>
      </c>
      <c r="I2423" t="s">
        <v>957</v>
      </c>
      <c r="J2423" t="s">
        <v>4414</v>
      </c>
      <c r="K2423">
        <v>0.13571428571428601</v>
      </c>
      <c r="L2423" t="s">
        <v>959</v>
      </c>
      <c r="M2423">
        <v>5.10948905109489</v>
      </c>
      <c r="N2423" t="s">
        <v>987</v>
      </c>
      <c r="O2423" t="s">
        <v>5017</v>
      </c>
      <c r="P2423">
        <v>0</v>
      </c>
      <c r="Q2423">
        <v>0</v>
      </c>
      <c r="R2423">
        <v>0</v>
      </c>
    </row>
    <row r="2424" spans="1:18" ht="16" x14ac:dyDescent="0.2">
      <c r="A2424" s="130" t="s">
        <v>3909</v>
      </c>
      <c r="B2424" t="s">
        <v>572</v>
      </c>
      <c r="C2424" t="s">
        <v>1712</v>
      </c>
      <c r="D2424" t="s">
        <v>1713</v>
      </c>
      <c r="E2424" t="s">
        <v>1442</v>
      </c>
      <c r="F2424">
        <v>5</v>
      </c>
      <c r="G2424">
        <v>2</v>
      </c>
      <c r="H2424">
        <v>4.0753518037558001</v>
      </c>
      <c r="I2424" t="s">
        <v>957</v>
      </c>
      <c r="J2424" t="s">
        <v>4582</v>
      </c>
      <c r="K2424">
        <v>0.20689655172413801</v>
      </c>
      <c r="L2424" t="s">
        <v>972</v>
      </c>
      <c r="M2424">
        <v>2.1897810218978102</v>
      </c>
      <c r="N2424" t="s">
        <v>973</v>
      </c>
      <c r="O2424" t="s">
        <v>5017</v>
      </c>
      <c r="P2424">
        <v>0</v>
      </c>
      <c r="Q2424">
        <v>0</v>
      </c>
      <c r="R2424">
        <v>0</v>
      </c>
    </row>
    <row r="2425" spans="1:18" ht="16" x14ac:dyDescent="0.2">
      <c r="A2425" s="130" t="s">
        <v>3909</v>
      </c>
      <c r="B2425" t="s">
        <v>572</v>
      </c>
      <c r="C2425" t="s">
        <v>1611</v>
      </c>
      <c r="D2425" t="s">
        <v>1612</v>
      </c>
      <c r="E2425" t="s">
        <v>1059</v>
      </c>
      <c r="F2425">
        <v>4</v>
      </c>
      <c r="G2425">
        <v>2</v>
      </c>
      <c r="H2425">
        <v>3.5429817148441098</v>
      </c>
      <c r="I2425" t="s">
        <v>957</v>
      </c>
      <c r="J2425" t="s">
        <v>4287</v>
      </c>
      <c r="K2425">
        <v>0.114285714285714</v>
      </c>
      <c r="L2425" t="s">
        <v>959</v>
      </c>
      <c r="M2425">
        <v>2.9197080291970798</v>
      </c>
      <c r="N2425" t="s">
        <v>960</v>
      </c>
      <c r="O2425" t="s">
        <v>5017</v>
      </c>
      <c r="P2425">
        <v>0</v>
      </c>
      <c r="Q2425">
        <v>0</v>
      </c>
      <c r="R2425">
        <v>0</v>
      </c>
    </row>
    <row r="2426" spans="1:18" ht="16" x14ac:dyDescent="0.2">
      <c r="A2426" s="130" t="s">
        <v>3909</v>
      </c>
      <c r="B2426" t="s">
        <v>572</v>
      </c>
      <c r="C2426" t="s">
        <v>3437</v>
      </c>
      <c r="D2426" t="s">
        <v>3438</v>
      </c>
      <c r="E2426">
        <v>3</v>
      </c>
      <c r="F2426">
        <v>3</v>
      </c>
      <c r="G2426">
        <v>1</v>
      </c>
      <c r="H2426">
        <v>3.2059211558678902</v>
      </c>
      <c r="I2426" t="s">
        <v>957</v>
      </c>
      <c r="J2426" t="s">
        <v>4627</v>
      </c>
      <c r="K2426">
        <v>0.107142857142857</v>
      </c>
      <c r="L2426" t="s">
        <v>959</v>
      </c>
      <c r="M2426">
        <v>3.6496350364963499</v>
      </c>
      <c r="N2426" t="s">
        <v>987</v>
      </c>
      <c r="O2426" t="s">
        <v>5017</v>
      </c>
      <c r="P2426">
        <v>0</v>
      </c>
      <c r="Q2426">
        <v>0</v>
      </c>
      <c r="R2426">
        <v>0</v>
      </c>
    </row>
    <row r="2427" spans="1:18" ht="16" x14ac:dyDescent="0.2">
      <c r="A2427" s="130" t="s">
        <v>3909</v>
      </c>
      <c r="B2427" t="s">
        <v>572</v>
      </c>
      <c r="C2427" t="s">
        <v>1944</v>
      </c>
      <c r="D2427" t="s">
        <v>1945</v>
      </c>
      <c r="E2427" t="s">
        <v>1974</v>
      </c>
      <c r="F2427">
        <v>5</v>
      </c>
      <c r="G2427">
        <v>2</v>
      </c>
      <c r="H2427">
        <v>3.3056847754846399</v>
      </c>
      <c r="I2427" t="s">
        <v>957</v>
      </c>
      <c r="J2427" t="s">
        <v>4403</v>
      </c>
      <c r="K2427">
        <v>0.15</v>
      </c>
      <c r="L2427" t="s">
        <v>959</v>
      </c>
      <c r="M2427">
        <v>5.10948905109489</v>
      </c>
      <c r="N2427" t="s">
        <v>960</v>
      </c>
      <c r="O2427" t="s">
        <v>5017</v>
      </c>
      <c r="P2427">
        <v>0</v>
      </c>
      <c r="Q2427">
        <v>0</v>
      </c>
      <c r="R2427">
        <v>0</v>
      </c>
    </row>
    <row r="2428" spans="1:18" ht="16" x14ac:dyDescent="0.2">
      <c r="A2428" s="130" t="s">
        <v>3909</v>
      </c>
      <c r="B2428" t="s">
        <v>575</v>
      </c>
      <c r="C2428" t="s">
        <v>2356</v>
      </c>
      <c r="D2428" t="s">
        <v>2357</v>
      </c>
      <c r="E2428">
        <v>3</v>
      </c>
      <c r="F2428">
        <v>3</v>
      </c>
      <c r="G2428">
        <v>1</v>
      </c>
      <c r="H2428">
        <v>3.8993727878345199</v>
      </c>
      <c r="I2428" t="s">
        <v>957</v>
      </c>
      <c r="J2428" t="s">
        <v>4802</v>
      </c>
      <c r="K2428">
        <v>0.15</v>
      </c>
      <c r="L2428" t="s">
        <v>959</v>
      </c>
      <c r="M2428">
        <v>2.9197080291970798</v>
      </c>
      <c r="N2428" t="s">
        <v>960</v>
      </c>
      <c r="O2428" t="s">
        <v>5017</v>
      </c>
      <c r="P2428">
        <v>0</v>
      </c>
      <c r="Q2428">
        <v>0</v>
      </c>
      <c r="R2428">
        <v>0</v>
      </c>
    </row>
    <row r="2429" spans="1:18" ht="16" x14ac:dyDescent="0.2">
      <c r="A2429" s="130" t="s">
        <v>3909</v>
      </c>
      <c r="B2429" t="s">
        <v>575</v>
      </c>
      <c r="C2429" t="s">
        <v>1744</v>
      </c>
      <c r="D2429" t="s">
        <v>1745</v>
      </c>
      <c r="E2429">
        <v>3</v>
      </c>
      <c r="F2429">
        <v>3</v>
      </c>
      <c r="G2429">
        <v>1</v>
      </c>
      <c r="H2429">
        <v>1.33086577544878</v>
      </c>
      <c r="I2429" t="s">
        <v>957</v>
      </c>
      <c r="J2429" t="s">
        <v>4881</v>
      </c>
      <c r="K2429">
        <v>3.5714285714285698E-2</v>
      </c>
      <c r="L2429" t="s">
        <v>959</v>
      </c>
      <c r="M2429">
        <v>2.1897810218978102</v>
      </c>
      <c r="N2429" t="s">
        <v>960</v>
      </c>
      <c r="O2429" t="s">
        <v>5017</v>
      </c>
      <c r="P2429">
        <v>0</v>
      </c>
      <c r="Q2429">
        <v>0</v>
      </c>
      <c r="R2429">
        <v>0</v>
      </c>
    </row>
    <row r="2430" spans="1:18" ht="16" x14ac:dyDescent="0.2">
      <c r="A2430" s="130" t="s">
        <v>3909</v>
      </c>
      <c r="B2430" t="s">
        <v>575</v>
      </c>
      <c r="C2430" t="s">
        <v>1547</v>
      </c>
      <c r="D2430" t="s">
        <v>1548</v>
      </c>
      <c r="E2430">
        <v>6</v>
      </c>
      <c r="F2430">
        <v>6</v>
      </c>
      <c r="G2430">
        <v>1</v>
      </c>
      <c r="H2430">
        <v>2.0206388942021398</v>
      </c>
      <c r="I2430" t="s">
        <v>957</v>
      </c>
      <c r="J2430" t="s">
        <v>4215</v>
      </c>
      <c r="K2430">
        <v>5.7142857142857099E-2</v>
      </c>
      <c r="L2430" t="s">
        <v>959</v>
      </c>
      <c r="M2430">
        <v>8.0291970802919703</v>
      </c>
      <c r="N2430" t="s">
        <v>960</v>
      </c>
      <c r="O2430" t="s">
        <v>5017</v>
      </c>
      <c r="P2430">
        <v>0</v>
      </c>
      <c r="Q2430">
        <v>0</v>
      </c>
      <c r="R2430">
        <v>0</v>
      </c>
    </row>
    <row r="2431" spans="1:18" ht="16" x14ac:dyDescent="0.2">
      <c r="A2431" s="130" t="s">
        <v>3909</v>
      </c>
      <c r="B2431" t="s">
        <v>575</v>
      </c>
      <c r="C2431" t="s">
        <v>2921</v>
      </c>
      <c r="D2431" t="s">
        <v>2922</v>
      </c>
      <c r="E2431" t="s">
        <v>1052</v>
      </c>
      <c r="F2431">
        <v>2</v>
      </c>
      <c r="G2431">
        <v>2</v>
      </c>
      <c r="H2431">
        <v>2.4836410547213101</v>
      </c>
      <c r="I2431" t="s">
        <v>957</v>
      </c>
      <c r="J2431" t="s">
        <v>4534</v>
      </c>
      <c r="K2431">
        <v>0.05</v>
      </c>
      <c r="L2431" t="s">
        <v>959</v>
      </c>
      <c r="M2431">
        <v>2.1897810218978102</v>
      </c>
      <c r="N2431" t="s">
        <v>960</v>
      </c>
      <c r="O2431" t="s">
        <v>5017</v>
      </c>
      <c r="P2431">
        <v>0</v>
      </c>
      <c r="Q2431">
        <v>0</v>
      </c>
      <c r="R2431">
        <v>0</v>
      </c>
    </row>
    <row r="2432" spans="1:18" ht="16" x14ac:dyDescent="0.2">
      <c r="A2432" s="130" t="s">
        <v>3909</v>
      </c>
      <c r="B2432" t="s">
        <v>575</v>
      </c>
      <c r="C2432" t="s">
        <v>1512</v>
      </c>
      <c r="D2432" t="s">
        <v>1513</v>
      </c>
      <c r="E2432">
        <v>3</v>
      </c>
      <c r="F2432">
        <v>3</v>
      </c>
      <c r="G2432">
        <v>1</v>
      </c>
      <c r="H2432">
        <v>2.0975856447007599</v>
      </c>
      <c r="I2432" t="s">
        <v>957</v>
      </c>
      <c r="J2432" t="s">
        <v>4793</v>
      </c>
      <c r="K2432">
        <v>0.185714285714286</v>
      </c>
      <c r="L2432" t="s">
        <v>959</v>
      </c>
      <c r="M2432">
        <v>9.4890510948905096</v>
      </c>
      <c r="N2432" t="s">
        <v>960</v>
      </c>
      <c r="O2432" t="s">
        <v>5017</v>
      </c>
      <c r="P2432">
        <v>0</v>
      </c>
      <c r="Q2432">
        <v>0</v>
      </c>
      <c r="R2432">
        <v>0</v>
      </c>
    </row>
    <row r="2433" spans="1:18" ht="16" x14ac:dyDescent="0.2">
      <c r="A2433" s="130" t="s">
        <v>3909</v>
      </c>
      <c r="B2433" t="s">
        <v>575</v>
      </c>
      <c r="C2433" t="s">
        <v>3549</v>
      </c>
      <c r="D2433" t="s">
        <v>3550</v>
      </c>
      <c r="E2433">
        <v>3</v>
      </c>
      <c r="F2433">
        <v>3</v>
      </c>
      <c r="G2433">
        <v>1</v>
      </c>
      <c r="H2433">
        <v>3.8337108655274599</v>
      </c>
      <c r="I2433" t="s">
        <v>957</v>
      </c>
      <c r="J2433" t="s">
        <v>5008</v>
      </c>
      <c r="K2433">
        <v>0.15</v>
      </c>
      <c r="L2433" t="s">
        <v>959</v>
      </c>
      <c r="M2433">
        <v>2.9197080291970798</v>
      </c>
      <c r="N2433" t="s">
        <v>960</v>
      </c>
      <c r="O2433" t="s">
        <v>5017</v>
      </c>
      <c r="P2433">
        <v>0</v>
      </c>
      <c r="Q2433">
        <v>0</v>
      </c>
      <c r="R2433">
        <v>0</v>
      </c>
    </row>
    <row r="2434" spans="1:18" ht="16" x14ac:dyDescent="0.2">
      <c r="A2434" s="130" t="s">
        <v>3909</v>
      </c>
      <c r="B2434" t="s">
        <v>578</v>
      </c>
      <c r="C2434" t="s">
        <v>1326</v>
      </c>
      <c r="D2434" t="s">
        <v>1327</v>
      </c>
      <c r="E2434">
        <v>3</v>
      </c>
      <c r="F2434">
        <v>3</v>
      </c>
      <c r="G2434">
        <v>1</v>
      </c>
      <c r="H2434">
        <v>3.5187952247473402</v>
      </c>
      <c r="I2434" t="s">
        <v>957</v>
      </c>
      <c r="J2434" t="s">
        <v>1861</v>
      </c>
      <c r="K2434">
        <v>0.17857142857142899</v>
      </c>
      <c r="L2434" t="s">
        <v>959</v>
      </c>
      <c r="M2434">
        <v>4.3795620437956204</v>
      </c>
      <c r="N2434" t="s">
        <v>960</v>
      </c>
      <c r="O2434" t="s">
        <v>5017</v>
      </c>
      <c r="P2434">
        <v>0</v>
      </c>
      <c r="Q2434">
        <v>0</v>
      </c>
      <c r="R2434">
        <v>0</v>
      </c>
    </row>
    <row r="2435" spans="1:18" ht="16" x14ac:dyDescent="0.2">
      <c r="A2435" s="130" t="s">
        <v>3909</v>
      </c>
      <c r="B2435" t="s">
        <v>578</v>
      </c>
      <c r="C2435" t="s">
        <v>2088</v>
      </c>
      <c r="D2435" t="s">
        <v>2089</v>
      </c>
      <c r="E2435">
        <v>5</v>
      </c>
      <c r="F2435">
        <v>5</v>
      </c>
      <c r="G2435">
        <v>1</v>
      </c>
      <c r="H2435">
        <v>3.8682546894900902</v>
      </c>
      <c r="I2435" t="s">
        <v>957</v>
      </c>
      <c r="J2435" t="s">
        <v>4620</v>
      </c>
      <c r="K2435">
        <v>0.17647058823529399</v>
      </c>
      <c r="L2435" t="s">
        <v>1099</v>
      </c>
      <c r="M2435">
        <v>5.8394160583941597</v>
      </c>
      <c r="N2435" t="s">
        <v>973</v>
      </c>
      <c r="O2435" t="s">
        <v>5017</v>
      </c>
      <c r="P2435">
        <v>0</v>
      </c>
      <c r="Q2435">
        <v>0</v>
      </c>
      <c r="R2435">
        <v>0</v>
      </c>
    </row>
    <row r="2436" spans="1:18" ht="16" x14ac:dyDescent="0.2">
      <c r="A2436" s="130" t="s">
        <v>3909</v>
      </c>
      <c r="B2436" t="s">
        <v>578</v>
      </c>
      <c r="C2436" t="s">
        <v>2422</v>
      </c>
      <c r="E2436">
        <v>4</v>
      </c>
      <c r="F2436">
        <v>4</v>
      </c>
      <c r="G2436">
        <v>1</v>
      </c>
      <c r="H2436">
        <v>3.5998235721460801</v>
      </c>
      <c r="I2436" t="s">
        <v>957</v>
      </c>
      <c r="J2436" t="s">
        <v>4146</v>
      </c>
      <c r="K2436">
        <v>0.11764705882352899</v>
      </c>
      <c r="L2436" t="s">
        <v>1099</v>
      </c>
      <c r="M2436">
        <v>3.6496350364963499</v>
      </c>
      <c r="N2436" t="s">
        <v>973</v>
      </c>
      <c r="O2436" t="s">
        <v>5017</v>
      </c>
      <c r="P2436">
        <v>0</v>
      </c>
      <c r="Q2436">
        <v>0</v>
      </c>
      <c r="R2436">
        <v>0</v>
      </c>
    </row>
    <row r="2437" spans="1:18" ht="16" x14ac:dyDescent="0.2">
      <c r="A2437" s="130" t="s">
        <v>3909</v>
      </c>
      <c r="B2437" t="s">
        <v>578</v>
      </c>
      <c r="C2437" t="s">
        <v>997</v>
      </c>
      <c r="D2437" t="s">
        <v>998</v>
      </c>
      <c r="E2437">
        <v>4</v>
      </c>
      <c r="F2437">
        <v>4</v>
      </c>
      <c r="G2437">
        <v>1</v>
      </c>
      <c r="H2437">
        <v>3.19892445761726</v>
      </c>
      <c r="I2437" t="s">
        <v>957</v>
      </c>
      <c r="J2437" t="s">
        <v>3950</v>
      </c>
      <c r="K2437">
        <v>0.11764705882352899</v>
      </c>
      <c r="L2437" t="s">
        <v>1099</v>
      </c>
      <c r="M2437">
        <v>8.0291970802919703</v>
      </c>
      <c r="N2437" t="s">
        <v>973</v>
      </c>
      <c r="O2437" t="s">
        <v>5017</v>
      </c>
      <c r="P2437">
        <v>0</v>
      </c>
      <c r="Q2437">
        <v>0</v>
      </c>
      <c r="R2437">
        <v>0</v>
      </c>
    </row>
    <row r="2438" spans="1:18" ht="16" x14ac:dyDescent="0.2">
      <c r="A2438" s="130" t="s">
        <v>3909</v>
      </c>
      <c r="B2438" t="s">
        <v>578</v>
      </c>
      <c r="C2438" t="s">
        <v>1547</v>
      </c>
      <c r="D2438" t="s">
        <v>1548</v>
      </c>
      <c r="E2438">
        <v>7</v>
      </c>
      <c r="F2438">
        <v>7</v>
      </c>
      <c r="G2438">
        <v>1</v>
      </c>
      <c r="H2438">
        <v>3.8591271564531402</v>
      </c>
      <c r="I2438" t="s">
        <v>957</v>
      </c>
      <c r="J2438" t="s">
        <v>4334</v>
      </c>
      <c r="K2438">
        <v>0.11764705882352899</v>
      </c>
      <c r="L2438" t="s">
        <v>1099</v>
      </c>
      <c r="M2438">
        <v>8.0291970802919703</v>
      </c>
      <c r="N2438" t="s">
        <v>973</v>
      </c>
      <c r="O2438" t="s">
        <v>5017</v>
      </c>
      <c r="P2438">
        <v>0</v>
      </c>
      <c r="Q2438">
        <v>0</v>
      </c>
      <c r="R2438">
        <v>0</v>
      </c>
    </row>
    <row r="2439" spans="1:18" ht="16" x14ac:dyDescent="0.2">
      <c r="A2439" s="130" t="s">
        <v>3909</v>
      </c>
      <c r="B2439" t="s">
        <v>578</v>
      </c>
      <c r="C2439" t="s">
        <v>2589</v>
      </c>
      <c r="D2439" t="s">
        <v>2590</v>
      </c>
      <c r="E2439">
        <v>6</v>
      </c>
      <c r="F2439">
        <v>6</v>
      </c>
      <c r="G2439">
        <v>1</v>
      </c>
      <c r="H2439">
        <v>2.4120374572274099</v>
      </c>
      <c r="I2439" t="s">
        <v>957</v>
      </c>
      <c r="J2439" t="s">
        <v>4777</v>
      </c>
      <c r="K2439">
        <v>0.11764705882352899</v>
      </c>
      <c r="L2439" t="s">
        <v>1099</v>
      </c>
      <c r="M2439">
        <v>7.2992700729926998</v>
      </c>
      <c r="N2439" t="s">
        <v>973</v>
      </c>
      <c r="O2439" t="s">
        <v>5017</v>
      </c>
      <c r="P2439">
        <v>0</v>
      </c>
      <c r="Q2439">
        <v>0</v>
      </c>
      <c r="R2439">
        <v>0</v>
      </c>
    </row>
    <row r="2440" spans="1:18" ht="16" x14ac:dyDescent="0.2">
      <c r="A2440" s="130" t="s">
        <v>3909</v>
      </c>
      <c r="B2440" t="s">
        <v>578</v>
      </c>
      <c r="C2440" t="s">
        <v>3258</v>
      </c>
      <c r="D2440" t="s">
        <v>3259</v>
      </c>
      <c r="E2440">
        <v>4</v>
      </c>
      <c r="F2440">
        <v>4</v>
      </c>
      <c r="G2440">
        <v>1</v>
      </c>
      <c r="H2440">
        <v>3.1528908176305501</v>
      </c>
      <c r="I2440" t="s">
        <v>957</v>
      </c>
      <c r="J2440" t="s">
        <v>4122</v>
      </c>
      <c r="K2440">
        <v>0.17647058823529399</v>
      </c>
      <c r="L2440" t="s">
        <v>1099</v>
      </c>
      <c r="M2440">
        <v>2.1897810218978102</v>
      </c>
      <c r="N2440" t="s">
        <v>973</v>
      </c>
      <c r="O2440" t="s">
        <v>5017</v>
      </c>
      <c r="P2440">
        <v>0</v>
      </c>
      <c r="Q2440">
        <v>0</v>
      </c>
      <c r="R2440">
        <v>0</v>
      </c>
    </row>
    <row r="2441" spans="1:18" ht="16" x14ac:dyDescent="0.2">
      <c r="A2441" s="130" t="s">
        <v>3909</v>
      </c>
      <c r="B2441" t="s">
        <v>578</v>
      </c>
      <c r="C2441" t="s">
        <v>1124</v>
      </c>
      <c r="D2441" t="s">
        <v>1125</v>
      </c>
      <c r="E2441">
        <v>3</v>
      </c>
      <c r="F2441">
        <v>3</v>
      </c>
      <c r="G2441">
        <v>1</v>
      </c>
      <c r="H2441">
        <v>2.4325382108965101</v>
      </c>
      <c r="I2441" t="s">
        <v>957</v>
      </c>
      <c r="J2441" t="s">
        <v>4580</v>
      </c>
      <c r="K2441">
        <v>0.29411764705882398</v>
      </c>
      <c r="L2441" t="s">
        <v>1099</v>
      </c>
      <c r="M2441">
        <v>8.7591240875912408</v>
      </c>
      <c r="N2441" t="s">
        <v>973</v>
      </c>
      <c r="O2441" t="s">
        <v>5017</v>
      </c>
      <c r="P2441">
        <v>0</v>
      </c>
      <c r="Q2441">
        <v>0</v>
      </c>
      <c r="R2441">
        <v>0</v>
      </c>
    </row>
    <row r="2442" spans="1:18" ht="16" x14ac:dyDescent="0.2">
      <c r="A2442" s="130" t="s">
        <v>3909</v>
      </c>
      <c r="B2442" t="s">
        <v>578</v>
      </c>
      <c r="C2442" t="s">
        <v>1430</v>
      </c>
      <c r="D2442" t="s">
        <v>1431</v>
      </c>
      <c r="E2442" t="s">
        <v>1039</v>
      </c>
      <c r="F2442">
        <v>3</v>
      </c>
      <c r="G2442">
        <v>2</v>
      </c>
      <c r="H2442">
        <v>2.2736690218135398</v>
      </c>
      <c r="I2442" t="s">
        <v>957</v>
      </c>
      <c r="J2442" t="s">
        <v>2498</v>
      </c>
      <c r="K2442">
        <v>0.15</v>
      </c>
      <c r="L2442" t="s">
        <v>959</v>
      </c>
      <c r="M2442">
        <v>6.5693430656934302</v>
      </c>
      <c r="N2442" t="s">
        <v>960</v>
      </c>
      <c r="O2442" t="s">
        <v>5017</v>
      </c>
      <c r="P2442">
        <v>0</v>
      </c>
      <c r="Q2442">
        <v>0</v>
      </c>
      <c r="R2442">
        <v>0</v>
      </c>
    </row>
    <row r="2443" spans="1:18" ht="16" x14ac:dyDescent="0.2">
      <c r="A2443" s="130" t="s">
        <v>3909</v>
      </c>
      <c r="B2443" t="s">
        <v>578</v>
      </c>
      <c r="C2443" t="s">
        <v>4078</v>
      </c>
      <c r="D2443" t="s">
        <v>4478</v>
      </c>
      <c r="E2443">
        <v>5</v>
      </c>
      <c r="F2443">
        <v>5</v>
      </c>
      <c r="G2443">
        <v>1</v>
      </c>
      <c r="H2443">
        <v>3.4878406109161499</v>
      </c>
      <c r="I2443" t="s">
        <v>957</v>
      </c>
      <c r="J2443" t="s">
        <v>4479</v>
      </c>
      <c r="K2443">
        <v>0.11764705882352899</v>
      </c>
      <c r="L2443" t="s">
        <v>1099</v>
      </c>
      <c r="M2443">
        <v>4.3795620437956204</v>
      </c>
      <c r="N2443" t="s">
        <v>973</v>
      </c>
      <c r="O2443" t="s">
        <v>5017</v>
      </c>
      <c r="P2443">
        <v>0</v>
      </c>
      <c r="Q2443">
        <v>0</v>
      </c>
      <c r="R2443">
        <v>0</v>
      </c>
    </row>
    <row r="2444" spans="1:18" ht="16" x14ac:dyDescent="0.2">
      <c r="A2444" s="130" t="s">
        <v>3909</v>
      </c>
      <c r="B2444" t="s">
        <v>578</v>
      </c>
      <c r="C2444" t="s">
        <v>2904</v>
      </c>
      <c r="D2444" t="s">
        <v>2905</v>
      </c>
      <c r="E2444">
        <v>3</v>
      </c>
      <c r="F2444">
        <v>3</v>
      </c>
      <c r="G2444">
        <v>1</v>
      </c>
      <c r="H2444">
        <v>0.39189217837645302</v>
      </c>
      <c r="I2444" t="s">
        <v>957</v>
      </c>
      <c r="J2444" t="s">
        <v>4942</v>
      </c>
      <c r="K2444">
        <v>0.23529411764705899</v>
      </c>
      <c r="L2444" t="s">
        <v>1099</v>
      </c>
      <c r="M2444">
        <v>7.2992700729926998</v>
      </c>
      <c r="N2444" t="s">
        <v>987</v>
      </c>
      <c r="O2444" t="s">
        <v>5017</v>
      </c>
      <c r="P2444">
        <v>0</v>
      </c>
      <c r="Q2444">
        <v>0</v>
      </c>
      <c r="R2444">
        <v>0</v>
      </c>
    </row>
    <row r="2445" spans="1:18" ht="16" x14ac:dyDescent="0.2">
      <c r="A2445" s="130" t="s">
        <v>3909</v>
      </c>
      <c r="B2445" t="s">
        <v>578</v>
      </c>
      <c r="C2445" t="s">
        <v>2249</v>
      </c>
      <c r="D2445" t="s">
        <v>2250</v>
      </c>
      <c r="E2445" t="s">
        <v>1052</v>
      </c>
      <c r="F2445">
        <v>2</v>
      </c>
      <c r="G2445">
        <v>2</v>
      </c>
      <c r="H2445">
        <v>2.94180338569101</v>
      </c>
      <c r="I2445" t="s">
        <v>957</v>
      </c>
      <c r="J2445" t="s">
        <v>4567</v>
      </c>
      <c r="K2445">
        <v>0.17857142857142899</v>
      </c>
      <c r="L2445" t="s">
        <v>959</v>
      </c>
      <c r="M2445">
        <v>6.5693430656934302</v>
      </c>
      <c r="N2445" t="s">
        <v>960</v>
      </c>
      <c r="O2445" t="s">
        <v>5017</v>
      </c>
      <c r="P2445">
        <v>0</v>
      </c>
      <c r="Q2445">
        <v>0</v>
      </c>
      <c r="R2445">
        <v>0</v>
      </c>
    </row>
    <row r="2446" spans="1:18" ht="16" x14ac:dyDescent="0.2">
      <c r="A2446" s="130" t="s">
        <v>3909</v>
      </c>
      <c r="B2446" t="s">
        <v>578</v>
      </c>
      <c r="C2446" t="s">
        <v>4190</v>
      </c>
      <c r="D2446" t="s">
        <v>4373</v>
      </c>
      <c r="E2446">
        <v>3</v>
      </c>
      <c r="F2446">
        <v>3</v>
      </c>
      <c r="G2446">
        <v>1</v>
      </c>
      <c r="H2446">
        <v>0.31714170017211202</v>
      </c>
      <c r="I2446" t="s">
        <v>957</v>
      </c>
      <c r="J2446" t="s">
        <v>4374</v>
      </c>
      <c r="K2446">
        <v>0.35294117647058798</v>
      </c>
      <c r="L2446" t="s">
        <v>1099</v>
      </c>
      <c r="M2446">
        <v>4.3795620437956204</v>
      </c>
      <c r="N2446" t="s">
        <v>973</v>
      </c>
      <c r="O2446" t="s">
        <v>5017</v>
      </c>
      <c r="P2446">
        <v>0</v>
      </c>
      <c r="Q2446">
        <v>0</v>
      </c>
      <c r="R2446">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589D-AEB6-B848-AE4E-0C9D8DED3F2E}">
  <dimension ref="A1:V143"/>
  <sheetViews>
    <sheetView workbookViewId="0">
      <selection activeCell="D15" sqref="D15"/>
    </sheetView>
  </sheetViews>
  <sheetFormatPr baseColWidth="10" defaultRowHeight="15" x14ac:dyDescent="0.2"/>
  <sheetData>
    <row r="1" spans="1:22" ht="22" thickBot="1" x14ac:dyDescent="0.25">
      <c r="A1" s="131" t="s">
        <v>5020</v>
      </c>
      <c r="B1" s="132"/>
      <c r="C1" s="132"/>
      <c r="D1" s="132"/>
      <c r="E1" s="132"/>
      <c r="F1" s="132"/>
      <c r="G1" s="132"/>
      <c r="H1" s="132"/>
      <c r="I1" s="132"/>
      <c r="J1" s="132"/>
      <c r="K1" s="132"/>
      <c r="L1" s="132"/>
      <c r="M1" s="132"/>
      <c r="N1" s="132"/>
      <c r="O1" s="132"/>
      <c r="P1" s="132"/>
      <c r="Q1" s="132"/>
      <c r="R1" s="133"/>
      <c r="S1" s="132"/>
      <c r="T1" s="132"/>
      <c r="U1" s="132"/>
      <c r="V1" s="132"/>
    </row>
    <row r="2" spans="1:22" ht="43" customHeight="1" thickBot="1" x14ac:dyDescent="0.25">
      <c r="A2" s="134" t="s">
        <v>897</v>
      </c>
      <c r="B2" s="135" t="s">
        <v>1</v>
      </c>
      <c r="C2" s="134" t="s">
        <v>6</v>
      </c>
      <c r="D2" s="136" t="s">
        <v>5021</v>
      </c>
      <c r="E2" s="137" t="s">
        <v>5022</v>
      </c>
      <c r="F2" s="137" t="s">
        <v>5023</v>
      </c>
      <c r="G2" s="137" t="s">
        <v>5024</v>
      </c>
      <c r="H2" s="137" t="s">
        <v>5025</v>
      </c>
      <c r="I2" s="137" t="s">
        <v>5026</v>
      </c>
      <c r="J2" s="136" t="s">
        <v>5027</v>
      </c>
      <c r="K2" s="138" t="s">
        <v>5028</v>
      </c>
      <c r="L2" s="138" t="s">
        <v>5029</v>
      </c>
      <c r="M2" s="138" t="s">
        <v>5030</v>
      </c>
      <c r="N2" s="138" t="s">
        <v>5031</v>
      </c>
      <c r="O2" s="138" t="s">
        <v>5032</v>
      </c>
      <c r="P2" s="138" t="s">
        <v>5033</v>
      </c>
      <c r="Q2" s="138" t="s">
        <v>5034</v>
      </c>
      <c r="R2" s="139" t="s">
        <v>5035</v>
      </c>
      <c r="S2" s="135" t="s">
        <v>5036</v>
      </c>
      <c r="T2" s="135" t="s">
        <v>5037</v>
      </c>
      <c r="U2" s="135" t="s">
        <v>5038</v>
      </c>
      <c r="V2" s="134" t="s">
        <v>5039</v>
      </c>
    </row>
    <row r="3" spans="1:22" ht="16" x14ac:dyDescent="0.2">
      <c r="A3" s="133" t="s">
        <v>8</v>
      </c>
      <c r="B3" s="133" t="s">
        <v>10</v>
      </c>
      <c r="C3" s="133" t="s">
        <v>14</v>
      </c>
      <c r="D3" s="140" t="s">
        <v>5040</v>
      </c>
      <c r="E3" s="141">
        <v>17116687</v>
      </c>
      <c r="F3" s="142"/>
      <c r="G3" s="141"/>
      <c r="H3" s="133"/>
      <c r="I3" s="141"/>
      <c r="J3" s="143" t="s">
        <v>5040</v>
      </c>
      <c r="K3" s="144" t="s">
        <v>5041</v>
      </c>
      <c r="L3" s="144" t="s">
        <v>5042</v>
      </c>
      <c r="M3" s="144" t="s">
        <v>5043</v>
      </c>
      <c r="N3" s="145" t="s">
        <v>5044</v>
      </c>
      <c r="O3" s="145" t="s">
        <v>5045</v>
      </c>
      <c r="P3" s="145" t="s">
        <v>5046</v>
      </c>
      <c r="Q3" s="132"/>
      <c r="R3" s="146" t="s">
        <v>5047</v>
      </c>
      <c r="S3" s="133" t="s">
        <v>5040</v>
      </c>
      <c r="T3" s="133"/>
      <c r="U3" s="133"/>
      <c r="V3" s="147"/>
    </row>
    <row r="4" spans="1:22" ht="16" x14ac:dyDescent="0.2">
      <c r="A4" s="133" t="s">
        <v>15</v>
      </c>
      <c r="B4" s="133" t="s">
        <v>17</v>
      </c>
      <c r="C4" s="133" t="s">
        <v>20</v>
      </c>
      <c r="D4" s="140" t="s">
        <v>5040</v>
      </c>
      <c r="E4" s="133">
        <v>11546812</v>
      </c>
      <c r="F4" s="142" t="s">
        <v>5048</v>
      </c>
      <c r="G4" s="141">
        <v>9891067</v>
      </c>
      <c r="H4" s="133"/>
      <c r="I4" s="141"/>
      <c r="J4" s="143" t="s">
        <v>5049</v>
      </c>
      <c r="K4" s="144" t="s">
        <v>5046</v>
      </c>
      <c r="L4" s="144" t="s">
        <v>5050</v>
      </c>
      <c r="M4" s="144" t="s">
        <v>5046</v>
      </c>
      <c r="N4" s="145" t="s">
        <v>5051</v>
      </c>
      <c r="O4" s="145" t="s">
        <v>5052</v>
      </c>
      <c r="P4" s="145" t="s">
        <v>5041</v>
      </c>
      <c r="Q4" s="132"/>
      <c r="R4" s="146" t="s">
        <v>5053</v>
      </c>
      <c r="S4" s="133" t="s">
        <v>5040</v>
      </c>
      <c r="T4" s="133" t="s">
        <v>5054</v>
      </c>
      <c r="U4" s="133"/>
      <c r="V4" s="147"/>
    </row>
    <row r="5" spans="1:22" ht="16" x14ac:dyDescent="0.2">
      <c r="A5" s="133" t="s">
        <v>21</v>
      </c>
      <c r="B5" s="133" t="s">
        <v>17</v>
      </c>
      <c r="C5" s="133" t="s">
        <v>24</v>
      </c>
      <c r="D5" s="140" t="s">
        <v>5055</v>
      </c>
      <c r="E5" s="133">
        <v>15033976</v>
      </c>
      <c r="F5" s="148" t="s">
        <v>5056</v>
      </c>
      <c r="G5" s="133">
        <v>16085057</v>
      </c>
      <c r="H5" s="133"/>
      <c r="I5" s="133"/>
      <c r="J5" s="143" t="s">
        <v>5057</v>
      </c>
      <c r="K5" s="144" t="s">
        <v>5046</v>
      </c>
      <c r="L5" s="144" t="s">
        <v>5042</v>
      </c>
      <c r="M5" s="144" t="s">
        <v>5043</v>
      </c>
      <c r="N5" s="145" t="s">
        <v>5044</v>
      </c>
      <c r="O5" s="145" t="s">
        <v>5058</v>
      </c>
      <c r="P5" s="145" t="s">
        <v>5059</v>
      </c>
      <c r="Q5" s="132"/>
      <c r="R5" s="149"/>
      <c r="S5" s="133" t="s">
        <v>5060</v>
      </c>
      <c r="T5" s="133"/>
      <c r="U5" s="133"/>
      <c r="V5" s="147" t="s">
        <v>5061</v>
      </c>
    </row>
    <row r="6" spans="1:22" ht="16" x14ac:dyDescent="0.2">
      <c r="A6" s="133" t="s">
        <v>26</v>
      </c>
      <c r="B6" s="133" t="s">
        <v>28</v>
      </c>
      <c r="C6" s="133" t="s">
        <v>30</v>
      </c>
      <c r="D6" s="140" t="s">
        <v>5062</v>
      </c>
      <c r="E6" s="133">
        <v>11804590</v>
      </c>
      <c r="F6" s="142" t="s">
        <v>5055</v>
      </c>
      <c r="G6" s="133">
        <v>18939958</v>
      </c>
      <c r="H6" s="142" t="s">
        <v>5063</v>
      </c>
      <c r="I6" s="133">
        <v>22573888</v>
      </c>
      <c r="J6" s="143" t="s">
        <v>5064</v>
      </c>
      <c r="K6" s="144" t="s">
        <v>5059</v>
      </c>
      <c r="L6" s="144" t="s">
        <v>5065</v>
      </c>
      <c r="M6" s="144" t="s">
        <v>5046</v>
      </c>
      <c r="N6" s="145" t="s">
        <v>5044</v>
      </c>
      <c r="O6" s="145" t="s">
        <v>5066</v>
      </c>
      <c r="P6" s="145" t="s">
        <v>5046</v>
      </c>
      <c r="Q6" s="132"/>
      <c r="R6" s="149"/>
      <c r="S6" s="133" t="s">
        <v>5040</v>
      </c>
      <c r="T6" s="133" t="s">
        <v>5054</v>
      </c>
      <c r="U6" s="133" t="s">
        <v>5067</v>
      </c>
      <c r="V6" s="147" t="s">
        <v>5068</v>
      </c>
    </row>
    <row r="7" spans="1:22" ht="16" x14ac:dyDescent="0.2">
      <c r="A7" s="133" t="s">
        <v>32</v>
      </c>
      <c r="B7" s="133" t="s">
        <v>34</v>
      </c>
      <c r="C7" s="133" t="s">
        <v>5069</v>
      </c>
      <c r="D7" s="140" t="s">
        <v>5070</v>
      </c>
      <c r="E7" s="133">
        <v>17077126</v>
      </c>
      <c r="F7" s="142" t="s">
        <v>5055</v>
      </c>
      <c r="G7" s="133">
        <v>25225293</v>
      </c>
      <c r="H7" s="133"/>
      <c r="I7" s="133"/>
      <c r="J7" s="143" t="s">
        <v>5071</v>
      </c>
      <c r="K7" s="144" t="s">
        <v>5046</v>
      </c>
      <c r="L7" s="144" t="s">
        <v>5072</v>
      </c>
      <c r="M7" s="144" t="s">
        <v>5059</v>
      </c>
      <c r="N7" s="145" t="s">
        <v>5044</v>
      </c>
      <c r="O7" s="145" t="s">
        <v>5073</v>
      </c>
      <c r="P7" s="145" t="s">
        <v>5041</v>
      </c>
      <c r="Q7" s="132"/>
      <c r="R7" s="149"/>
      <c r="S7" s="133" t="s">
        <v>5074</v>
      </c>
      <c r="T7" s="133"/>
      <c r="U7" s="133"/>
      <c r="V7" s="133" t="s">
        <v>5075</v>
      </c>
    </row>
    <row r="8" spans="1:22" ht="16" x14ac:dyDescent="0.2">
      <c r="A8" s="133" t="s">
        <v>37</v>
      </c>
      <c r="B8" s="133" t="s">
        <v>28</v>
      </c>
      <c r="C8" s="133" t="s">
        <v>40</v>
      </c>
      <c r="D8" s="140" t="s">
        <v>5040</v>
      </c>
      <c r="E8" s="133">
        <v>11804589</v>
      </c>
      <c r="F8" s="142"/>
      <c r="G8" s="133"/>
      <c r="H8" s="133"/>
      <c r="I8" s="133"/>
      <c r="J8" s="143" t="s">
        <v>5040</v>
      </c>
      <c r="K8" s="144" t="s">
        <v>5059</v>
      </c>
      <c r="L8" s="144" t="s">
        <v>5076</v>
      </c>
      <c r="M8" s="144" t="s">
        <v>5046</v>
      </c>
      <c r="N8" s="145" t="s">
        <v>5077</v>
      </c>
      <c r="O8" s="145"/>
      <c r="P8" s="145" t="s">
        <v>5043</v>
      </c>
      <c r="Q8" s="132"/>
      <c r="R8" s="149"/>
      <c r="S8" s="133" t="s">
        <v>5078</v>
      </c>
      <c r="T8" s="133"/>
      <c r="U8" s="133"/>
      <c r="V8" s="133" t="s">
        <v>5079</v>
      </c>
    </row>
    <row r="9" spans="1:22" ht="16" x14ac:dyDescent="0.2">
      <c r="A9" s="133" t="s">
        <v>41</v>
      </c>
      <c r="B9" s="133" t="s">
        <v>28</v>
      </c>
      <c r="C9" s="133" t="s">
        <v>44</v>
      </c>
      <c r="D9" s="140" t="s">
        <v>5055</v>
      </c>
      <c r="E9" s="133">
        <v>16380373</v>
      </c>
      <c r="F9" s="142"/>
      <c r="G9" s="133"/>
      <c r="H9" s="133"/>
      <c r="I9" s="133"/>
      <c r="J9" s="143" t="s">
        <v>5055</v>
      </c>
      <c r="K9" s="144" t="s">
        <v>5041</v>
      </c>
      <c r="L9" s="144" t="s">
        <v>5080</v>
      </c>
      <c r="M9" s="144" t="s">
        <v>5059</v>
      </c>
      <c r="N9" s="145" t="s">
        <v>5051</v>
      </c>
      <c r="O9" s="145" t="s">
        <v>5081</v>
      </c>
      <c r="P9" s="145" t="s">
        <v>5041</v>
      </c>
      <c r="Q9" s="132"/>
      <c r="R9" s="146" t="s">
        <v>5047</v>
      </c>
      <c r="S9" s="133" t="s">
        <v>5055</v>
      </c>
      <c r="T9" s="133"/>
      <c r="U9" s="133"/>
      <c r="V9" s="133" t="s">
        <v>5082</v>
      </c>
    </row>
    <row r="10" spans="1:22" ht="16" x14ac:dyDescent="0.2">
      <c r="A10" s="133" t="s">
        <v>45</v>
      </c>
      <c r="B10" s="133" t="s">
        <v>28</v>
      </c>
      <c r="C10" s="133" t="s">
        <v>48</v>
      </c>
      <c r="D10" s="140" t="s">
        <v>5083</v>
      </c>
      <c r="E10" s="133">
        <v>12414125</v>
      </c>
      <c r="F10" s="142"/>
      <c r="G10" s="133"/>
      <c r="H10" s="133"/>
      <c r="I10" s="133"/>
      <c r="J10" s="143" t="s">
        <v>5083</v>
      </c>
      <c r="K10" s="144" t="s">
        <v>5059</v>
      </c>
      <c r="L10" s="144" t="s">
        <v>5084</v>
      </c>
      <c r="M10" s="144" t="s">
        <v>5041</v>
      </c>
      <c r="N10" s="145" t="s">
        <v>5044</v>
      </c>
      <c r="O10" s="145" t="s">
        <v>5085</v>
      </c>
      <c r="P10" s="145" t="s">
        <v>5059</v>
      </c>
      <c r="Q10" s="132"/>
      <c r="R10" s="149"/>
      <c r="S10" s="133" t="s">
        <v>5040</v>
      </c>
      <c r="T10" s="133" t="s">
        <v>5054</v>
      </c>
      <c r="U10" s="133"/>
      <c r="V10" s="147"/>
    </row>
    <row r="11" spans="1:22" ht="16" x14ac:dyDescent="0.2">
      <c r="A11" s="133" t="s">
        <v>49</v>
      </c>
      <c r="B11" s="133" t="s">
        <v>28</v>
      </c>
      <c r="C11" s="133" t="s">
        <v>52</v>
      </c>
      <c r="D11" s="140" t="s">
        <v>5086</v>
      </c>
      <c r="E11" s="133">
        <v>26368311</v>
      </c>
      <c r="F11" s="142"/>
      <c r="G11" s="133"/>
      <c r="H11" s="133"/>
      <c r="I11" s="133"/>
      <c r="J11" s="143" t="s">
        <v>5086</v>
      </c>
      <c r="K11" s="144" t="s">
        <v>5059</v>
      </c>
      <c r="L11" s="144" t="s">
        <v>5087</v>
      </c>
      <c r="M11" s="144" t="s">
        <v>5059</v>
      </c>
      <c r="N11" s="145" t="s">
        <v>5051</v>
      </c>
      <c r="O11" s="145" t="s">
        <v>5088</v>
      </c>
      <c r="P11" s="145" t="s">
        <v>5059</v>
      </c>
      <c r="Q11" s="132" t="s">
        <v>5089</v>
      </c>
      <c r="R11" s="149"/>
      <c r="S11" s="133" t="s">
        <v>5078</v>
      </c>
      <c r="T11" s="133"/>
      <c r="U11" s="133"/>
      <c r="V11" s="133" t="s">
        <v>5090</v>
      </c>
    </row>
    <row r="12" spans="1:22" ht="16" x14ac:dyDescent="0.2">
      <c r="A12" s="133" t="s">
        <v>53</v>
      </c>
      <c r="B12" s="133" t="s">
        <v>28</v>
      </c>
      <c r="C12" s="133" t="s">
        <v>56</v>
      </c>
      <c r="D12" s="140" t="s">
        <v>5063</v>
      </c>
      <c r="E12" s="133">
        <v>10699171</v>
      </c>
      <c r="F12" s="142"/>
      <c r="G12" s="150"/>
      <c r="H12" s="133"/>
      <c r="I12" s="150"/>
      <c r="J12" s="143" t="s">
        <v>5063</v>
      </c>
      <c r="K12" s="144" t="s">
        <v>5059</v>
      </c>
      <c r="L12" s="144" t="s">
        <v>5091</v>
      </c>
      <c r="M12" s="144" t="s">
        <v>5041</v>
      </c>
      <c r="N12" s="145" t="s">
        <v>5077</v>
      </c>
      <c r="O12" s="145"/>
      <c r="P12" s="145" t="s">
        <v>5043</v>
      </c>
      <c r="Q12" s="132"/>
      <c r="R12" s="146" t="s">
        <v>5047</v>
      </c>
      <c r="S12" s="133" t="s">
        <v>5040</v>
      </c>
      <c r="T12" s="133"/>
      <c r="U12" s="133"/>
      <c r="V12" s="133"/>
    </row>
    <row r="13" spans="1:22" ht="16" x14ac:dyDescent="0.2">
      <c r="A13" s="133" t="s">
        <v>57</v>
      </c>
      <c r="B13" s="133" t="s">
        <v>28</v>
      </c>
      <c r="C13" s="133" t="s">
        <v>60</v>
      </c>
      <c r="D13" s="140" t="s">
        <v>5040</v>
      </c>
      <c r="E13" s="133">
        <v>12944407</v>
      </c>
      <c r="F13" s="142"/>
      <c r="G13" s="133"/>
      <c r="H13" s="133"/>
      <c r="I13" s="133"/>
      <c r="J13" s="143" t="s">
        <v>5040</v>
      </c>
      <c r="K13" s="144" t="s">
        <v>5041</v>
      </c>
      <c r="L13" s="144" t="s">
        <v>5042</v>
      </c>
      <c r="M13" s="144" t="s">
        <v>5043</v>
      </c>
      <c r="N13" s="145" t="s">
        <v>5044</v>
      </c>
      <c r="O13" s="145" t="s">
        <v>5092</v>
      </c>
      <c r="P13" s="145" t="s">
        <v>5059</v>
      </c>
      <c r="Q13" s="132"/>
      <c r="R13" s="149"/>
      <c r="S13" s="133" t="s">
        <v>5093</v>
      </c>
      <c r="T13" s="133"/>
      <c r="U13" s="133"/>
      <c r="V13" s="133" t="s">
        <v>5094</v>
      </c>
    </row>
    <row r="14" spans="1:22" ht="16" x14ac:dyDescent="0.2">
      <c r="A14" s="133" t="s">
        <v>61</v>
      </c>
      <c r="B14" s="133" t="s">
        <v>28</v>
      </c>
      <c r="C14" s="133" t="s">
        <v>64</v>
      </c>
      <c r="D14" s="140" t="s">
        <v>5095</v>
      </c>
      <c r="E14" s="133"/>
      <c r="F14" s="142"/>
      <c r="G14" s="133"/>
      <c r="H14" s="133"/>
      <c r="I14" s="133"/>
      <c r="J14" s="143" t="s">
        <v>5095</v>
      </c>
      <c r="K14" s="144" t="s">
        <v>5043</v>
      </c>
      <c r="L14" s="144" t="s">
        <v>5042</v>
      </c>
      <c r="M14" s="144" t="s">
        <v>5043</v>
      </c>
      <c r="N14" s="145" t="s">
        <v>5077</v>
      </c>
      <c r="O14" s="145"/>
      <c r="P14" s="145" t="s">
        <v>5043</v>
      </c>
      <c r="Q14" s="132"/>
      <c r="R14" s="149"/>
      <c r="S14" s="133" t="s">
        <v>5096</v>
      </c>
      <c r="T14" s="133" t="s">
        <v>5067</v>
      </c>
      <c r="U14" s="133" t="s">
        <v>5067</v>
      </c>
      <c r="V14" s="133" t="s">
        <v>5097</v>
      </c>
    </row>
    <row r="15" spans="1:22" ht="16" x14ac:dyDescent="0.2">
      <c r="A15" s="133" t="s">
        <v>65</v>
      </c>
      <c r="B15" s="133" t="s">
        <v>28</v>
      </c>
      <c r="C15" s="133" t="s">
        <v>68</v>
      </c>
      <c r="D15" s="140" t="s">
        <v>5095</v>
      </c>
      <c r="E15" s="151"/>
      <c r="F15" s="142"/>
      <c r="G15" s="133"/>
      <c r="H15" s="133"/>
      <c r="I15" s="133"/>
      <c r="J15" s="143" t="s">
        <v>5095</v>
      </c>
      <c r="K15" s="144" t="s">
        <v>5043</v>
      </c>
      <c r="L15" s="144" t="s">
        <v>5098</v>
      </c>
      <c r="M15" s="144" t="s">
        <v>5046</v>
      </c>
      <c r="N15" s="145" t="s">
        <v>5044</v>
      </c>
      <c r="O15" s="145" t="s">
        <v>5099</v>
      </c>
      <c r="P15" s="145" t="s">
        <v>5046</v>
      </c>
      <c r="Q15" s="132"/>
      <c r="R15" s="149"/>
      <c r="S15" s="133" t="s">
        <v>5040</v>
      </c>
      <c r="T15" s="133"/>
      <c r="U15" s="133"/>
      <c r="V15" s="133" t="s">
        <v>5100</v>
      </c>
    </row>
    <row r="16" spans="1:22" ht="16" x14ac:dyDescent="0.2">
      <c r="A16" s="133" t="s">
        <v>70</v>
      </c>
      <c r="B16" s="133" t="s">
        <v>28</v>
      </c>
      <c r="C16" s="133" t="s">
        <v>73</v>
      </c>
      <c r="D16" s="140" t="s">
        <v>5095</v>
      </c>
      <c r="E16" s="133"/>
      <c r="F16" s="142"/>
      <c r="G16" s="133"/>
      <c r="H16" s="133"/>
      <c r="I16" s="133"/>
      <c r="J16" s="143" t="s">
        <v>5095</v>
      </c>
      <c r="K16" s="144" t="s">
        <v>5043</v>
      </c>
      <c r="L16" s="144" t="s">
        <v>5042</v>
      </c>
      <c r="M16" s="144" t="s">
        <v>5043</v>
      </c>
      <c r="N16" s="145" t="s">
        <v>5044</v>
      </c>
      <c r="O16" s="145" t="s">
        <v>5101</v>
      </c>
      <c r="P16" s="145" t="s">
        <v>5046</v>
      </c>
      <c r="Q16" s="132"/>
      <c r="R16" s="146" t="s">
        <v>5053</v>
      </c>
      <c r="S16" s="133" t="s">
        <v>5102</v>
      </c>
      <c r="T16" s="133"/>
      <c r="U16" s="133"/>
      <c r="V16" s="133" t="s">
        <v>5090</v>
      </c>
    </row>
    <row r="17" spans="1:22" ht="16" x14ac:dyDescent="0.2">
      <c r="A17" s="133" t="s">
        <v>74</v>
      </c>
      <c r="B17" s="133" t="s">
        <v>28</v>
      </c>
      <c r="C17" s="133" t="s">
        <v>77</v>
      </c>
      <c r="D17" s="140" t="s">
        <v>5095</v>
      </c>
      <c r="E17" s="133"/>
      <c r="F17" s="142"/>
      <c r="G17" s="133"/>
      <c r="H17" s="133"/>
      <c r="I17" s="133"/>
      <c r="J17" s="143" t="s">
        <v>5095</v>
      </c>
      <c r="K17" s="144" t="s">
        <v>5043</v>
      </c>
      <c r="L17" s="144" t="s">
        <v>5042</v>
      </c>
      <c r="M17" s="144" t="s">
        <v>5043</v>
      </c>
      <c r="N17" s="145" t="s">
        <v>5044</v>
      </c>
      <c r="O17" s="145" t="s">
        <v>5081</v>
      </c>
      <c r="P17" s="145" t="s">
        <v>5059</v>
      </c>
      <c r="Q17" s="132"/>
      <c r="R17" s="146" t="s">
        <v>5103</v>
      </c>
      <c r="S17" s="133" t="s">
        <v>5104</v>
      </c>
      <c r="T17" s="133" t="s">
        <v>5067</v>
      </c>
      <c r="U17" s="133"/>
      <c r="V17" s="133" t="s">
        <v>5105</v>
      </c>
    </row>
    <row r="18" spans="1:22" ht="16" x14ac:dyDescent="0.2">
      <c r="A18" s="133" t="s">
        <v>78</v>
      </c>
      <c r="B18" s="133" t="s">
        <v>28</v>
      </c>
      <c r="C18" s="133" t="s">
        <v>81</v>
      </c>
      <c r="D18" s="140" t="s">
        <v>5048</v>
      </c>
      <c r="E18" s="133">
        <v>18241859</v>
      </c>
      <c r="F18" s="142"/>
      <c r="G18" s="133"/>
      <c r="H18" s="133"/>
      <c r="I18" s="133"/>
      <c r="J18" s="143" t="s">
        <v>5048</v>
      </c>
      <c r="K18" s="144" t="s">
        <v>5046</v>
      </c>
      <c r="L18" s="144" t="s">
        <v>5042</v>
      </c>
      <c r="M18" s="144" t="s">
        <v>5043</v>
      </c>
      <c r="N18" s="145" t="s">
        <v>5077</v>
      </c>
      <c r="O18" s="145"/>
      <c r="P18" s="145" t="s">
        <v>5043</v>
      </c>
      <c r="Q18" s="132"/>
      <c r="R18" s="149"/>
      <c r="S18" s="133" t="s">
        <v>5106</v>
      </c>
      <c r="T18" s="133"/>
      <c r="U18" s="133" t="s">
        <v>5067</v>
      </c>
      <c r="V18" s="133" t="s">
        <v>5107</v>
      </c>
    </row>
    <row r="19" spans="1:22" ht="16" x14ac:dyDescent="0.2">
      <c r="A19" s="133" t="s">
        <v>82</v>
      </c>
      <c r="B19" s="133" t="s">
        <v>28</v>
      </c>
      <c r="C19" s="133" t="s">
        <v>85</v>
      </c>
      <c r="D19" s="140" t="s">
        <v>5048</v>
      </c>
      <c r="E19" s="133">
        <v>12650940</v>
      </c>
      <c r="F19" s="142"/>
      <c r="G19" s="133"/>
      <c r="H19" s="133"/>
      <c r="I19" s="133"/>
      <c r="J19" s="143" t="s">
        <v>5048</v>
      </c>
      <c r="K19" s="144" t="s">
        <v>5059</v>
      </c>
      <c r="L19" s="144" t="s">
        <v>5108</v>
      </c>
      <c r="M19" s="144" t="s">
        <v>5046</v>
      </c>
      <c r="N19" s="145" t="s">
        <v>5109</v>
      </c>
      <c r="O19" s="145" t="s">
        <v>5110</v>
      </c>
      <c r="P19" s="145" t="s">
        <v>5059</v>
      </c>
      <c r="Q19" s="132"/>
      <c r="R19" s="149"/>
      <c r="S19" s="133" t="s">
        <v>5040</v>
      </c>
      <c r="T19" s="133" t="s">
        <v>5054</v>
      </c>
      <c r="U19" s="133"/>
      <c r="V19" s="133"/>
    </row>
    <row r="20" spans="1:22" ht="16" x14ac:dyDescent="0.2">
      <c r="A20" s="133" t="s">
        <v>86</v>
      </c>
      <c r="B20" s="133" t="s">
        <v>28</v>
      </c>
      <c r="C20" s="133" t="s">
        <v>89</v>
      </c>
      <c r="D20" s="140" t="s">
        <v>5048</v>
      </c>
      <c r="E20" s="133">
        <v>16678097</v>
      </c>
      <c r="F20" s="142" t="s">
        <v>5111</v>
      </c>
      <c r="G20" s="133">
        <v>15240152</v>
      </c>
      <c r="H20" s="133"/>
      <c r="I20" s="133"/>
      <c r="J20" s="143" t="s">
        <v>5112</v>
      </c>
      <c r="K20" s="144" t="s">
        <v>5046</v>
      </c>
      <c r="L20" s="144" t="s">
        <v>5113</v>
      </c>
      <c r="M20" s="144" t="s">
        <v>5046</v>
      </c>
      <c r="N20" s="145" t="s">
        <v>5044</v>
      </c>
      <c r="O20" s="145" t="s">
        <v>5114</v>
      </c>
      <c r="P20" s="145" t="s">
        <v>5059</v>
      </c>
      <c r="Q20" s="132"/>
      <c r="R20" s="146" t="s">
        <v>5047</v>
      </c>
      <c r="S20" s="133" t="s">
        <v>5115</v>
      </c>
      <c r="T20" s="133"/>
      <c r="U20" s="133" t="s">
        <v>5067</v>
      </c>
      <c r="V20" s="133" t="s">
        <v>5116</v>
      </c>
    </row>
    <row r="21" spans="1:22" ht="16" x14ac:dyDescent="0.2">
      <c r="A21" s="133" t="s">
        <v>90</v>
      </c>
      <c r="B21" s="133" t="s">
        <v>28</v>
      </c>
      <c r="C21" s="133" t="s">
        <v>93</v>
      </c>
      <c r="D21" s="152" t="s">
        <v>5117</v>
      </c>
      <c r="E21" s="133">
        <v>28251925</v>
      </c>
      <c r="F21" s="142"/>
      <c r="G21" s="133"/>
      <c r="H21" s="133"/>
      <c r="I21" s="133"/>
      <c r="J21" s="143" t="s">
        <v>5117</v>
      </c>
      <c r="K21" s="144" t="s">
        <v>5059</v>
      </c>
      <c r="L21" s="144" t="s">
        <v>5118</v>
      </c>
      <c r="M21" s="144" t="s">
        <v>5041</v>
      </c>
      <c r="N21" s="145" t="s">
        <v>5044</v>
      </c>
      <c r="O21" s="145" t="s">
        <v>5119</v>
      </c>
      <c r="P21" s="145" t="s">
        <v>5046</v>
      </c>
      <c r="Q21" s="132"/>
      <c r="R21" s="149"/>
      <c r="S21" s="133" t="s">
        <v>5040</v>
      </c>
      <c r="T21" s="133"/>
      <c r="U21" s="133"/>
      <c r="V21" s="133"/>
    </row>
    <row r="22" spans="1:22" ht="16" x14ac:dyDescent="0.2">
      <c r="A22" s="133" t="s">
        <v>94</v>
      </c>
      <c r="B22" s="133" t="s">
        <v>28</v>
      </c>
      <c r="C22" s="133" t="s">
        <v>97</v>
      </c>
      <c r="D22" s="140" t="s">
        <v>5120</v>
      </c>
      <c r="E22" s="133">
        <v>17454002</v>
      </c>
      <c r="F22" s="142"/>
      <c r="G22" s="141"/>
      <c r="H22" s="133"/>
      <c r="I22" s="141"/>
      <c r="J22" s="143" t="s">
        <v>5120</v>
      </c>
      <c r="K22" s="144" t="s">
        <v>5041</v>
      </c>
      <c r="L22" s="144" t="s">
        <v>5121</v>
      </c>
      <c r="M22" s="144" t="s">
        <v>5041</v>
      </c>
      <c r="N22" s="145" t="s">
        <v>5051</v>
      </c>
      <c r="O22" s="145" t="s">
        <v>5122</v>
      </c>
      <c r="P22" s="145" t="s">
        <v>5059</v>
      </c>
      <c r="Q22" s="132"/>
      <c r="R22" s="149"/>
      <c r="S22" s="133" t="s">
        <v>5120</v>
      </c>
      <c r="T22" s="133"/>
      <c r="U22" s="133"/>
      <c r="V22" s="133"/>
    </row>
    <row r="23" spans="1:22" ht="16" x14ac:dyDescent="0.2">
      <c r="A23" s="133" t="s">
        <v>98</v>
      </c>
      <c r="B23" s="133" t="s">
        <v>28</v>
      </c>
      <c r="C23" s="133" t="s">
        <v>101</v>
      </c>
      <c r="D23" s="140" t="s">
        <v>5048</v>
      </c>
      <c r="E23" s="133">
        <v>21169361</v>
      </c>
      <c r="F23" s="153"/>
      <c r="G23" s="154"/>
      <c r="H23" s="133"/>
      <c r="I23" s="154"/>
      <c r="J23" s="143" t="s">
        <v>5048</v>
      </c>
      <c r="K23" s="144" t="s">
        <v>5041</v>
      </c>
      <c r="L23" s="144" t="s">
        <v>5042</v>
      </c>
      <c r="M23" s="144" t="s">
        <v>5043</v>
      </c>
      <c r="N23" s="145" t="s">
        <v>5044</v>
      </c>
      <c r="O23" s="145" t="s">
        <v>5123</v>
      </c>
      <c r="P23" s="145" t="s">
        <v>5059</v>
      </c>
      <c r="Q23" s="132"/>
      <c r="R23" s="149"/>
      <c r="S23" s="133" t="s">
        <v>5048</v>
      </c>
      <c r="T23" s="133"/>
      <c r="U23" s="133"/>
      <c r="V23" s="133"/>
    </row>
    <row r="24" spans="1:22" ht="16" x14ac:dyDescent="0.2">
      <c r="A24" s="133" t="s">
        <v>102</v>
      </c>
      <c r="B24" s="133" t="s">
        <v>28</v>
      </c>
      <c r="C24" s="133" t="s">
        <v>105</v>
      </c>
      <c r="D24" s="140" t="s">
        <v>5062</v>
      </c>
      <c r="E24" s="133">
        <v>15793564</v>
      </c>
      <c r="F24" s="142" t="s">
        <v>5086</v>
      </c>
      <c r="G24" s="133">
        <v>16184169</v>
      </c>
      <c r="H24" s="133"/>
      <c r="I24" s="133"/>
      <c r="J24" s="143" t="s">
        <v>5124</v>
      </c>
      <c r="K24" s="144" t="s">
        <v>5041</v>
      </c>
      <c r="L24" s="144" t="s">
        <v>5125</v>
      </c>
      <c r="M24" s="144" t="s">
        <v>5046</v>
      </c>
      <c r="N24" s="145" t="s">
        <v>5051</v>
      </c>
      <c r="O24" s="145" t="s">
        <v>5126</v>
      </c>
      <c r="P24" s="145" t="s">
        <v>5046</v>
      </c>
      <c r="Q24" s="132"/>
      <c r="R24" s="149"/>
      <c r="S24" s="133" t="s">
        <v>5127</v>
      </c>
      <c r="T24" s="133"/>
      <c r="U24" s="133"/>
      <c r="V24" s="133" t="s">
        <v>5128</v>
      </c>
    </row>
    <row r="25" spans="1:22" ht="16" x14ac:dyDescent="0.2">
      <c r="A25" s="133" t="s">
        <v>106</v>
      </c>
      <c r="B25" s="133" t="s">
        <v>28</v>
      </c>
      <c r="C25" s="133" t="s">
        <v>109</v>
      </c>
      <c r="D25" s="140" t="s">
        <v>5055</v>
      </c>
      <c r="E25" s="133">
        <v>24933155</v>
      </c>
      <c r="F25" s="142" t="s">
        <v>5040</v>
      </c>
      <c r="G25" s="133">
        <v>14966113</v>
      </c>
      <c r="H25" s="133"/>
      <c r="I25" s="133"/>
      <c r="J25" s="143" t="s">
        <v>5129</v>
      </c>
      <c r="K25" s="144" t="s">
        <v>5059</v>
      </c>
      <c r="L25" s="144" t="s">
        <v>5130</v>
      </c>
      <c r="M25" s="144" t="s">
        <v>5059</v>
      </c>
      <c r="N25" s="145" t="s">
        <v>5051</v>
      </c>
      <c r="O25" s="145" t="s">
        <v>5131</v>
      </c>
      <c r="P25" s="145" t="s">
        <v>5046</v>
      </c>
      <c r="Q25" s="132"/>
      <c r="R25" s="149"/>
      <c r="S25" s="133" t="s">
        <v>5132</v>
      </c>
      <c r="T25" s="133" t="s">
        <v>5054</v>
      </c>
      <c r="U25" s="133"/>
      <c r="V25" s="133" t="s">
        <v>5133</v>
      </c>
    </row>
    <row r="26" spans="1:22" ht="16" x14ac:dyDescent="0.2">
      <c r="A26" s="133" t="s">
        <v>110</v>
      </c>
      <c r="B26" s="133" t="s">
        <v>28</v>
      </c>
      <c r="C26" s="133" t="s">
        <v>113</v>
      </c>
      <c r="D26" s="140" t="s">
        <v>5095</v>
      </c>
      <c r="E26" s="133"/>
      <c r="F26" s="142"/>
      <c r="G26" s="133"/>
      <c r="H26" s="133"/>
      <c r="I26" s="133"/>
      <c r="J26" s="143" t="s">
        <v>5095</v>
      </c>
      <c r="K26" s="144" t="s">
        <v>5043</v>
      </c>
      <c r="L26" s="144" t="s">
        <v>5042</v>
      </c>
      <c r="M26" s="144" t="s">
        <v>5043</v>
      </c>
      <c r="N26" s="145" t="s">
        <v>5044</v>
      </c>
      <c r="O26" s="145" t="s">
        <v>5131</v>
      </c>
      <c r="P26" s="145" t="s">
        <v>5046</v>
      </c>
      <c r="Q26" s="132"/>
      <c r="R26" s="149"/>
      <c r="S26" s="133" t="s">
        <v>5106</v>
      </c>
      <c r="T26" s="133"/>
      <c r="U26" s="133"/>
      <c r="V26" s="133" t="s">
        <v>5134</v>
      </c>
    </row>
    <row r="27" spans="1:22" ht="16" x14ac:dyDescent="0.2">
      <c r="A27" s="133" t="s">
        <v>114</v>
      </c>
      <c r="B27" s="133" t="s">
        <v>28</v>
      </c>
      <c r="C27" s="133" t="s">
        <v>117</v>
      </c>
      <c r="D27" s="152" t="s">
        <v>5135</v>
      </c>
      <c r="E27" s="133">
        <v>15611138</v>
      </c>
      <c r="F27" s="142" t="s">
        <v>5086</v>
      </c>
      <c r="G27" s="133">
        <v>25908853</v>
      </c>
      <c r="H27" s="133"/>
      <c r="I27" s="155"/>
      <c r="J27" s="143" t="s">
        <v>5136</v>
      </c>
      <c r="K27" s="144" t="s">
        <v>5046</v>
      </c>
      <c r="L27" s="144" t="s">
        <v>5137</v>
      </c>
      <c r="M27" s="144" t="s">
        <v>5046</v>
      </c>
      <c r="N27" s="145" t="s">
        <v>5044</v>
      </c>
      <c r="O27" s="145" t="s">
        <v>5138</v>
      </c>
      <c r="P27" s="145" t="s">
        <v>5059</v>
      </c>
      <c r="Q27" s="132" t="s">
        <v>5139</v>
      </c>
      <c r="R27" s="149"/>
      <c r="S27" s="133" t="s">
        <v>5063</v>
      </c>
      <c r="T27" s="133" t="s">
        <v>5054</v>
      </c>
      <c r="U27" s="133"/>
      <c r="V27" s="133" t="s">
        <v>5140</v>
      </c>
    </row>
    <row r="28" spans="1:22" ht="16" x14ac:dyDescent="0.2">
      <c r="A28" s="133" t="s">
        <v>118</v>
      </c>
      <c r="B28" s="133" t="s">
        <v>28</v>
      </c>
      <c r="C28" s="133" t="s">
        <v>121</v>
      </c>
      <c r="D28" s="140" t="s">
        <v>5040</v>
      </c>
      <c r="E28" s="133">
        <v>22096251</v>
      </c>
      <c r="F28" s="142"/>
      <c r="G28" s="133"/>
      <c r="H28" s="133"/>
      <c r="I28" s="133"/>
      <c r="J28" s="143" t="s">
        <v>5040</v>
      </c>
      <c r="K28" s="144" t="s">
        <v>5041</v>
      </c>
      <c r="L28" s="144" t="s">
        <v>5042</v>
      </c>
      <c r="M28" s="144" t="s">
        <v>5043</v>
      </c>
      <c r="N28" s="145" t="s">
        <v>5044</v>
      </c>
      <c r="O28" s="145" t="s">
        <v>5141</v>
      </c>
      <c r="P28" s="145" t="s">
        <v>5059</v>
      </c>
      <c r="Q28" s="132"/>
      <c r="R28" s="146" t="s">
        <v>5047</v>
      </c>
      <c r="S28" s="133" t="s">
        <v>5040</v>
      </c>
      <c r="T28" s="133"/>
      <c r="U28" s="133"/>
      <c r="V28" s="147"/>
    </row>
    <row r="29" spans="1:22" ht="16" x14ac:dyDescent="0.2">
      <c r="A29" s="133" t="s">
        <v>122</v>
      </c>
      <c r="B29" s="133" t="s">
        <v>28</v>
      </c>
      <c r="C29" s="133" t="s">
        <v>125</v>
      </c>
      <c r="D29" s="156" t="s">
        <v>5142</v>
      </c>
      <c r="E29" s="133">
        <v>25189622</v>
      </c>
      <c r="F29" s="142" t="s">
        <v>5070</v>
      </c>
      <c r="G29" s="133">
        <v>21965292</v>
      </c>
      <c r="H29" s="142" t="s">
        <v>5143</v>
      </c>
      <c r="I29" s="133">
        <v>8649427</v>
      </c>
      <c r="J29" s="143" t="s">
        <v>5144</v>
      </c>
      <c r="K29" s="144" t="s">
        <v>5059</v>
      </c>
      <c r="L29" s="144" t="s">
        <v>5145</v>
      </c>
      <c r="M29" s="144" t="s">
        <v>5059</v>
      </c>
      <c r="N29" s="145" t="s">
        <v>5044</v>
      </c>
      <c r="O29" s="145" t="s">
        <v>5052</v>
      </c>
      <c r="P29" s="145" t="s">
        <v>5059</v>
      </c>
      <c r="Q29" s="132" t="s">
        <v>5139</v>
      </c>
      <c r="R29" s="146" t="s">
        <v>5103</v>
      </c>
      <c r="S29" s="133" t="s">
        <v>5111</v>
      </c>
      <c r="T29" s="133" t="s">
        <v>5054</v>
      </c>
      <c r="U29" s="133"/>
      <c r="V29" s="133" t="s">
        <v>5146</v>
      </c>
    </row>
    <row r="30" spans="1:22" ht="16" x14ac:dyDescent="0.2">
      <c r="A30" s="133" t="s">
        <v>126</v>
      </c>
      <c r="B30" s="133" t="s">
        <v>28</v>
      </c>
      <c r="C30" s="133" t="s">
        <v>5147</v>
      </c>
      <c r="D30" s="140" t="s">
        <v>5040</v>
      </c>
      <c r="E30" s="133">
        <v>15147912</v>
      </c>
      <c r="F30" s="142"/>
      <c r="G30" s="133"/>
      <c r="H30" s="133"/>
      <c r="I30" s="133"/>
      <c r="J30" s="143" t="s">
        <v>5040</v>
      </c>
      <c r="K30" s="144" t="s">
        <v>5041</v>
      </c>
      <c r="L30" s="144" t="s">
        <v>5148</v>
      </c>
      <c r="M30" s="144" t="s">
        <v>5046</v>
      </c>
      <c r="N30" s="145" t="s">
        <v>5051</v>
      </c>
      <c r="O30" s="145" t="s">
        <v>5114</v>
      </c>
      <c r="P30" s="145" t="s">
        <v>5046</v>
      </c>
      <c r="Q30" s="132"/>
      <c r="R30" s="149"/>
      <c r="S30" s="133" t="s">
        <v>5040</v>
      </c>
      <c r="T30" s="133"/>
      <c r="U30" s="133" t="s">
        <v>5067</v>
      </c>
      <c r="V30" s="133" t="s">
        <v>5149</v>
      </c>
    </row>
    <row r="31" spans="1:22" ht="16" x14ac:dyDescent="0.2">
      <c r="A31" s="133" t="s">
        <v>130</v>
      </c>
      <c r="B31" s="133" t="s">
        <v>28</v>
      </c>
      <c r="C31" s="133" t="s">
        <v>133</v>
      </c>
      <c r="D31" s="140" t="s">
        <v>5095</v>
      </c>
      <c r="E31" s="133"/>
      <c r="F31" s="142"/>
      <c r="G31" s="133"/>
      <c r="H31" s="133"/>
      <c r="I31" s="133"/>
      <c r="J31" s="143" t="s">
        <v>5095</v>
      </c>
      <c r="K31" s="144" t="s">
        <v>5043</v>
      </c>
      <c r="L31" s="144" t="s">
        <v>5042</v>
      </c>
      <c r="M31" s="144" t="s">
        <v>5043</v>
      </c>
      <c r="N31" s="145" t="s">
        <v>5051</v>
      </c>
      <c r="O31" s="145" t="s">
        <v>5150</v>
      </c>
      <c r="P31" s="145" t="s">
        <v>5059</v>
      </c>
      <c r="Q31" s="132"/>
      <c r="R31" s="149"/>
      <c r="S31" s="133" t="s">
        <v>5078</v>
      </c>
      <c r="T31" s="133"/>
      <c r="U31" s="133"/>
      <c r="V31" s="133" t="s">
        <v>5151</v>
      </c>
    </row>
    <row r="32" spans="1:22" ht="16" x14ac:dyDescent="0.2">
      <c r="A32" s="133" t="s">
        <v>134</v>
      </c>
      <c r="B32" s="133" t="s">
        <v>28</v>
      </c>
      <c r="C32" s="133" t="s">
        <v>137</v>
      </c>
      <c r="D32" s="140" t="s">
        <v>5048</v>
      </c>
      <c r="E32" s="133">
        <v>25963656</v>
      </c>
      <c r="F32" s="142" t="s">
        <v>5040</v>
      </c>
      <c r="G32" s="133">
        <v>15752761</v>
      </c>
      <c r="H32" s="133"/>
      <c r="I32" s="133"/>
      <c r="J32" s="143" t="s">
        <v>5152</v>
      </c>
      <c r="K32" s="144" t="s">
        <v>5046</v>
      </c>
      <c r="L32" s="144" t="s">
        <v>5042</v>
      </c>
      <c r="M32" s="144" t="s">
        <v>5043</v>
      </c>
      <c r="N32" s="145" t="s">
        <v>5044</v>
      </c>
      <c r="O32" s="145" t="s">
        <v>5153</v>
      </c>
      <c r="P32" s="145" t="s">
        <v>5046</v>
      </c>
      <c r="Q32" s="132"/>
      <c r="R32" s="149"/>
      <c r="S32" s="133" t="s">
        <v>5154</v>
      </c>
      <c r="T32" s="133"/>
      <c r="U32" s="133"/>
      <c r="V32" s="133" t="s">
        <v>5090</v>
      </c>
    </row>
    <row r="33" spans="1:22" ht="16" x14ac:dyDescent="0.2">
      <c r="A33" s="133" t="s">
        <v>138</v>
      </c>
      <c r="B33" s="133" t="s">
        <v>28</v>
      </c>
      <c r="C33" s="133" t="s">
        <v>141</v>
      </c>
      <c r="D33" s="140" t="s">
        <v>5055</v>
      </c>
      <c r="E33" s="133">
        <v>21565175</v>
      </c>
      <c r="F33" s="142"/>
      <c r="G33" s="150"/>
      <c r="H33" s="133"/>
      <c r="I33" s="150"/>
      <c r="J33" s="143" t="s">
        <v>5055</v>
      </c>
      <c r="K33" s="144" t="s">
        <v>5059</v>
      </c>
      <c r="L33" s="144" t="s">
        <v>5155</v>
      </c>
      <c r="M33" s="144" t="s">
        <v>5059</v>
      </c>
      <c r="N33" s="145" t="s">
        <v>5051</v>
      </c>
      <c r="O33" s="145" t="s">
        <v>5081</v>
      </c>
      <c r="P33" s="145" t="s">
        <v>5059</v>
      </c>
      <c r="Q33" s="132"/>
      <c r="R33" s="146" t="s">
        <v>5103</v>
      </c>
      <c r="S33" s="133" t="s">
        <v>5040</v>
      </c>
      <c r="T33" s="133"/>
      <c r="U33" s="133"/>
      <c r="V33" s="133"/>
    </row>
    <row r="34" spans="1:22" ht="16" x14ac:dyDescent="0.2">
      <c r="A34" s="133" t="s">
        <v>142</v>
      </c>
      <c r="B34" s="133" t="s">
        <v>28</v>
      </c>
      <c r="C34" s="133" t="s">
        <v>145</v>
      </c>
      <c r="D34" s="140" t="s">
        <v>5070</v>
      </c>
      <c r="E34" s="133">
        <v>16860736</v>
      </c>
      <c r="F34" s="142"/>
      <c r="G34" s="133"/>
      <c r="H34" s="133"/>
      <c r="I34" s="133"/>
      <c r="J34" s="143" t="s">
        <v>5070</v>
      </c>
      <c r="K34" s="144" t="s">
        <v>5046</v>
      </c>
      <c r="L34" s="144" t="s">
        <v>5156</v>
      </c>
      <c r="M34" s="144" t="s">
        <v>5046</v>
      </c>
      <c r="N34" s="145" t="s">
        <v>5077</v>
      </c>
      <c r="O34" s="145"/>
      <c r="P34" s="145" t="s">
        <v>5043</v>
      </c>
      <c r="Q34" s="132"/>
      <c r="R34" s="149"/>
      <c r="S34" s="133" t="s">
        <v>5157</v>
      </c>
      <c r="T34" s="133" t="s">
        <v>5054</v>
      </c>
      <c r="U34" s="133"/>
      <c r="V34" s="133" t="s">
        <v>5158</v>
      </c>
    </row>
    <row r="35" spans="1:22" ht="16" x14ac:dyDescent="0.2">
      <c r="A35" s="133" t="s">
        <v>146</v>
      </c>
      <c r="B35" s="133" t="s">
        <v>28</v>
      </c>
      <c r="C35" s="133" t="s">
        <v>149</v>
      </c>
      <c r="D35" s="152" t="s">
        <v>5159</v>
      </c>
      <c r="E35" s="133">
        <v>17663722</v>
      </c>
      <c r="F35" s="142"/>
      <c r="G35" s="150"/>
      <c r="H35" s="133"/>
      <c r="I35" s="150"/>
      <c r="J35" s="143" t="s">
        <v>5159</v>
      </c>
      <c r="K35" s="144" t="s">
        <v>5059</v>
      </c>
      <c r="L35" s="144" t="s">
        <v>5160</v>
      </c>
      <c r="M35" s="144" t="s">
        <v>5046</v>
      </c>
      <c r="N35" s="145" t="s">
        <v>5044</v>
      </c>
      <c r="O35" s="145" t="s">
        <v>5161</v>
      </c>
      <c r="P35" s="145" t="s">
        <v>5059</v>
      </c>
      <c r="Q35" s="132" t="s">
        <v>5089</v>
      </c>
      <c r="R35" s="149"/>
      <c r="S35" s="133" t="s">
        <v>5162</v>
      </c>
      <c r="T35" s="133" t="s">
        <v>5054</v>
      </c>
      <c r="U35" s="133" t="s">
        <v>5067</v>
      </c>
      <c r="V35" s="133" t="s">
        <v>5163</v>
      </c>
    </row>
    <row r="36" spans="1:22" ht="16" x14ac:dyDescent="0.2">
      <c r="A36" s="133" t="s">
        <v>150</v>
      </c>
      <c r="B36" s="133" t="s">
        <v>28</v>
      </c>
      <c r="C36" s="133" t="s">
        <v>153</v>
      </c>
      <c r="D36" s="140" t="s">
        <v>5040</v>
      </c>
      <c r="E36" s="133">
        <v>12773384</v>
      </c>
      <c r="F36" s="142"/>
      <c r="G36" s="133"/>
      <c r="H36" s="133"/>
      <c r="I36" s="133"/>
      <c r="J36" s="143" t="s">
        <v>5040</v>
      </c>
      <c r="K36" s="144" t="s">
        <v>5059</v>
      </c>
      <c r="L36" s="144" t="s">
        <v>5042</v>
      </c>
      <c r="M36" s="144" t="s">
        <v>5043</v>
      </c>
      <c r="N36" s="145" t="s">
        <v>5044</v>
      </c>
      <c r="O36" s="145" t="s">
        <v>5164</v>
      </c>
      <c r="P36" s="145" t="s">
        <v>5046</v>
      </c>
      <c r="Q36" s="132"/>
      <c r="R36" s="146" t="s">
        <v>5047</v>
      </c>
      <c r="S36" s="133" t="s">
        <v>5165</v>
      </c>
      <c r="T36" s="133"/>
      <c r="U36" s="133"/>
      <c r="V36" s="133" t="s">
        <v>5166</v>
      </c>
    </row>
    <row r="37" spans="1:22" ht="16" x14ac:dyDescent="0.2">
      <c r="A37" s="133" t="s">
        <v>154</v>
      </c>
      <c r="B37" s="133" t="s">
        <v>28</v>
      </c>
      <c r="C37" s="133" t="s">
        <v>157</v>
      </c>
      <c r="D37" s="140" t="s">
        <v>5070</v>
      </c>
      <c r="E37" s="155">
        <v>19435801</v>
      </c>
      <c r="F37" s="142" t="s">
        <v>5040</v>
      </c>
      <c r="G37" s="133">
        <v>18541700</v>
      </c>
      <c r="H37" s="133" t="s">
        <v>5167</v>
      </c>
      <c r="I37" s="133">
        <v>21474314</v>
      </c>
      <c r="J37" s="143" t="s">
        <v>5168</v>
      </c>
      <c r="K37" s="144" t="s">
        <v>5046</v>
      </c>
      <c r="L37" s="144" t="s">
        <v>5169</v>
      </c>
      <c r="M37" s="144" t="s">
        <v>5046</v>
      </c>
      <c r="N37" s="145" t="s">
        <v>5051</v>
      </c>
      <c r="O37" s="145" t="s">
        <v>5170</v>
      </c>
      <c r="P37" s="145" t="s">
        <v>5059</v>
      </c>
      <c r="Q37" s="132" t="s">
        <v>5139</v>
      </c>
      <c r="R37" s="149"/>
      <c r="S37" s="133" t="s">
        <v>5171</v>
      </c>
      <c r="T37" s="133"/>
      <c r="U37" s="133" t="s">
        <v>5067</v>
      </c>
      <c r="V37" s="133" t="s">
        <v>5172</v>
      </c>
    </row>
    <row r="38" spans="1:22" ht="16" x14ac:dyDescent="0.2">
      <c r="A38" s="133" t="s">
        <v>158</v>
      </c>
      <c r="B38" s="133" t="s">
        <v>34</v>
      </c>
      <c r="C38" s="133" t="s">
        <v>161</v>
      </c>
      <c r="D38" s="140" t="s">
        <v>5173</v>
      </c>
      <c r="E38" s="155">
        <v>27713425</v>
      </c>
      <c r="F38" s="142"/>
      <c r="G38" s="133"/>
      <c r="H38" s="133"/>
      <c r="I38" s="133"/>
      <c r="J38" s="143" t="s">
        <v>5173</v>
      </c>
      <c r="K38" s="144" t="s">
        <v>5041</v>
      </c>
      <c r="L38" s="144" t="s">
        <v>5042</v>
      </c>
      <c r="M38" s="144" t="s">
        <v>5043</v>
      </c>
      <c r="N38" s="145" t="s">
        <v>5044</v>
      </c>
      <c r="O38" s="145" t="s">
        <v>5174</v>
      </c>
      <c r="P38" s="145" t="s">
        <v>5046</v>
      </c>
      <c r="Q38" s="132"/>
      <c r="R38" s="149"/>
      <c r="S38" s="133" t="s">
        <v>5175</v>
      </c>
      <c r="T38" s="133"/>
      <c r="U38" s="133"/>
      <c r="V38" s="133"/>
    </row>
    <row r="39" spans="1:22" ht="16" x14ac:dyDescent="0.2">
      <c r="A39" s="133" t="s">
        <v>162</v>
      </c>
      <c r="B39" s="133" t="s">
        <v>28</v>
      </c>
      <c r="C39" s="133" t="s">
        <v>165</v>
      </c>
      <c r="D39" s="140" t="s">
        <v>5048</v>
      </c>
      <c r="E39" s="133">
        <v>24656827</v>
      </c>
      <c r="F39" s="142"/>
      <c r="G39" s="133"/>
      <c r="H39" s="133"/>
      <c r="I39" s="133"/>
      <c r="J39" s="143" t="s">
        <v>5048</v>
      </c>
      <c r="K39" s="144" t="s">
        <v>5046</v>
      </c>
      <c r="L39" s="144" t="s">
        <v>5176</v>
      </c>
      <c r="M39" s="144" t="s">
        <v>5046</v>
      </c>
      <c r="N39" s="145" t="s">
        <v>5044</v>
      </c>
      <c r="O39" s="145" t="s">
        <v>5177</v>
      </c>
      <c r="P39" s="145" t="s">
        <v>5059</v>
      </c>
      <c r="Q39" s="132"/>
      <c r="R39" s="149"/>
      <c r="S39" s="133" t="s">
        <v>5178</v>
      </c>
      <c r="T39" s="133" t="s">
        <v>5054</v>
      </c>
      <c r="U39" s="133"/>
      <c r="V39" s="133" t="s">
        <v>5179</v>
      </c>
    </row>
    <row r="40" spans="1:22" ht="16" x14ac:dyDescent="0.2">
      <c r="A40" s="133" t="s">
        <v>166</v>
      </c>
      <c r="B40" s="133" t="s">
        <v>28</v>
      </c>
      <c r="C40" s="133" t="s">
        <v>169</v>
      </c>
      <c r="D40" s="140" t="s">
        <v>5095</v>
      </c>
      <c r="E40" s="133"/>
      <c r="F40" s="142"/>
      <c r="G40" s="133"/>
      <c r="H40" s="133"/>
      <c r="I40" s="133"/>
      <c r="J40" s="143" t="s">
        <v>5095</v>
      </c>
      <c r="K40" s="144" t="s">
        <v>5043</v>
      </c>
      <c r="L40" s="144" t="s">
        <v>5042</v>
      </c>
      <c r="M40" s="144" t="s">
        <v>5043</v>
      </c>
      <c r="N40" s="145" t="s">
        <v>5051</v>
      </c>
      <c r="O40" s="145" t="s">
        <v>5180</v>
      </c>
      <c r="P40" s="145" t="s">
        <v>5046</v>
      </c>
      <c r="Q40" s="132"/>
      <c r="R40" s="149"/>
      <c r="S40" s="133" t="s">
        <v>5040</v>
      </c>
      <c r="T40" s="133"/>
      <c r="U40" s="133"/>
      <c r="V40" s="133"/>
    </row>
    <row r="41" spans="1:22" ht="16" x14ac:dyDescent="0.2">
      <c r="A41" s="133" t="s">
        <v>170</v>
      </c>
      <c r="B41" s="133" t="s">
        <v>28</v>
      </c>
      <c r="C41" s="133" t="s">
        <v>173</v>
      </c>
      <c r="D41" s="140" t="s">
        <v>5063</v>
      </c>
      <c r="E41" s="155">
        <v>28584191</v>
      </c>
      <c r="F41" s="142"/>
      <c r="G41" s="133"/>
      <c r="H41" s="133"/>
      <c r="I41" s="133"/>
      <c r="J41" s="143" t="s">
        <v>5063</v>
      </c>
      <c r="K41" s="144" t="s">
        <v>5041</v>
      </c>
      <c r="L41" s="144" t="s">
        <v>5042</v>
      </c>
      <c r="M41" s="144" t="s">
        <v>5043</v>
      </c>
      <c r="N41" s="145" t="s">
        <v>5044</v>
      </c>
      <c r="O41" s="145" t="s">
        <v>5181</v>
      </c>
      <c r="P41" s="145" t="s">
        <v>5059</v>
      </c>
      <c r="Q41" s="132"/>
      <c r="R41" s="146" t="s">
        <v>5053</v>
      </c>
      <c r="S41" s="133" t="s">
        <v>5063</v>
      </c>
      <c r="T41" s="133"/>
      <c r="U41" s="133"/>
      <c r="V41" s="133" t="s">
        <v>5182</v>
      </c>
    </row>
    <row r="42" spans="1:22" ht="16" x14ac:dyDescent="0.2">
      <c r="A42" s="133" t="s">
        <v>175</v>
      </c>
      <c r="B42" s="133" t="s">
        <v>28</v>
      </c>
      <c r="C42" s="133" t="s">
        <v>178</v>
      </c>
      <c r="D42" s="152" t="s">
        <v>5063</v>
      </c>
      <c r="E42" s="133">
        <v>25498153</v>
      </c>
      <c r="F42" s="142"/>
      <c r="G42" s="133"/>
      <c r="H42" s="133"/>
      <c r="I42" s="133"/>
      <c r="J42" s="143" t="s">
        <v>5063</v>
      </c>
      <c r="K42" s="144" t="s">
        <v>5059</v>
      </c>
      <c r="L42" s="144" t="s">
        <v>5183</v>
      </c>
      <c r="M42" s="144" t="s">
        <v>5059</v>
      </c>
      <c r="N42" s="145" t="s">
        <v>5077</v>
      </c>
      <c r="O42" s="145"/>
      <c r="P42" s="145" t="s">
        <v>5043</v>
      </c>
      <c r="Q42" s="132"/>
      <c r="R42" s="146" t="s">
        <v>5047</v>
      </c>
      <c r="S42" s="133" t="s">
        <v>5040</v>
      </c>
      <c r="T42" s="133" t="s">
        <v>5054</v>
      </c>
      <c r="U42" s="133"/>
      <c r="V42" s="133" t="s">
        <v>5068</v>
      </c>
    </row>
    <row r="43" spans="1:22" ht="16" x14ac:dyDescent="0.2">
      <c r="A43" s="145" t="s">
        <v>582</v>
      </c>
      <c r="B43" s="145" t="s">
        <v>28</v>
      </c>
      <c r="C43" s="133" t="s">
        <v>396</v>
      </c>
      <c r="D43" s="140" t="s">
        <v>5095</v>
      </c>
      <c r="E43" s="133"/>
      <c r="F43" s="142"/>
      <c r="G43" s="133"/>
      <c r="H43" s="133"/>
      <c r="I43" s="133"/>
      <c r="J43" s="143" t="s">
        <v>5095</v>
      </c>
      <c r="K43" s="144" t="s">
        <v>5043</v>
      </c>
      <c r="L43" s="144" t="s">
        <v>5184</v>
      </c>
      <c r="M43" s="144" t="s">
        <v>5046</v>
      </c>
      <c r="N43" s="145" t="s">
        <v>5077</v>
      </c>
      <c r="O43" s="145"/>
      <c r="P43" s="145" t="s">
        <v>5043</v>
      </c>
      <c r="Q43" s="132"/>
      <c r="R43" s="146" t="s">
        <v>5103</v>
      </c>
      <c r="S43" s="133" t="s">
        <v>5040</v>
      </c>
      <c r="T43" s="133"/>
      <c r="U43" s="133"/>
      <c r="V43" s="133"/>
    </row>
    <row r="44" spans="1:22" ht="16" x14ac:dyDescent="0.2">
      <c r="A44" s="133" t="s">
        <v>179</v>
      </c>
      <c r="B44" s="133" t="s">
        <v>17</v>
      </c>
      <c r="C44" s="133" t="s">
        <v>182</v>
      </c>
      <c r="D44" s="152" t="s">
        <v>5040</v>
      </c>
      <c r="E44" s="133">
        <v>10747909</v>
      </c>
      <c r="F44" s="142" t="s">
        <v>5070</v>
      </c>
      <c r="G44" s="150">
        <v>17971419</v>
      </c>
      <c r="H44" s="133"/>
      <c r="I44" s="133"/>
      <c r="J44" s="143" t="s">
        <v>5185</v>
      </c>
      <c r="K44" s="144" t="s">
        <v>5046</v>
      </c>
      <c r="L44" s="144" t="s">
        <v>5186</v>
      </c>
      <c r="M44" s="144" t="s">
        <v>5041</v>
      </c>
      <c r="N44" s="145" t="s">
        <v>5187</v>
      </c>
      <c r="O44" s="145" t="s">
        <v>5138</v>
      </c>
      <c r="P44" s="145" t="s">
        <v>5046</v>
      </c>
      <c r="Q44" s="132"/>
      <c r="R44" s="149"/>
      <c r="S44" s="133" t="s">
        <v>5040</v>
      </c>
      <c r="T44" s="133" t="s">
        <v>5054</v>
      </c>
      <c r="U44" s="133"/>
      <c r="V44" s="133" t="s">
        <v>5188</v>
      </c>
    </row>
    <row r="45" spans="1:22" ht="16" x14ac:dyDescent="0.2">
      <c r="A45" s="133" t="s">
        <v>183</v>
      </c>
      <c r="B45" s="133" t="s">
        <v>17</v>
      </c>
      <c r="C45" s="133" t="s">
        <v>186</v>
      </c>
      <c r="D45" s="140" t="s">
        <v>5117</v>
      </c>
      <c r="E45" s="155">
        <v>9857026</v>
      </c>
      <c r="F45" s="142" t="s">
        <v>5086</v>
      </c>
      <c r="G45" s="133">
        <v>18653465</v>
      </c>
      <c r="H45" s="133" t="s">
        <v>5070</v>
      </c>
      <c r="I45" s="145">
        <v>21572419</v>
      </c>
      <c r="J45" s="143" t="s">
        <v>5189</v>
      </c>
      <c r="K45" s="144" t="s">
        <v>5046</v>
      </c>
      <c r="L45" s="144" t="s">
        <v>5190</v>
      </c>
      <c r="M45" s="144" t="s">
        <v>5046</v>
      </c>
      <c r="N45" s="145" t="s">
        <v>5077</v>
      </c>
      <c r="O45" s="145"/>
      <c r="P45" s="145" t="s">
        <v>5043</v>
      </c>
      <c r="Q45" s="132" t="s">
        <v>5089</v>
      </c>
      <c r="R45" s="149"/>
      <c r="S45" s="133" t="s">
        <v>5117</v>
      </c>
      <c r="T45" s="133" t="s">
        <v>5054</v>
      </c>
      <c r="U45" s="133"/>
      <c r="V45" s="133" t="s">
        <v>5191</v>
      </c>
    </row>
    <row r="46" spans="1:22" ht="16" x14ac:dyDescent="0.2">
      <c r="A46" s="133" t="s">
        <v>187</v>
      </c>
      <c r="B46" s="133" t="s">
        <v>17</v>
      </c>
      <c r="C46" s="133" t="s">
        <v>190</v>
      </c>
      <c r="D46" s="140" t="s">
        <v>5095</v>
      </c>
      <c r="E46" s="133"/>
      <c r="F46" s="142"/>
      <c r="G46" s="133"/>
      <c r="H46" s="133"/>
      <c r="I46" s="133"/>
      <c r="J46" s="143" t="s">
        <v>5095</v>
      </c>
      <c r="K46" s="144" t="s">
        <v>5043</v>
      </c>
      <c r="L46" s="144" t="s">
        <v>5072</v>
      </c>
      <c r="M46" s="144" t="s">
        <v>5059</v>
      </c>
      <c r="N46" s="145" t="s">
        <v>5044</v>
      </c>
      <c r="O46" s="145" t="s">
        <v>5052</v>
      </c>
      <c r="P46" s="145" t="s">
        <v>5059</v>
      </c>
      <c r="Q46" s="132"/>
      <c r="R46" s="146" t="s">
        <v>5047</v>
      </c>
      <c r="S46" s="133" t="s">
        <v>5192</v>
      </c>
      <c r="T46" s="133"/>
      <c r="U46" s="133"/>
      <c r="V46" s="133" t="s">
        <v>5193</v>
      </c>
    </row>
    <row r="47" spans="1:22" ht="16" x14ac:dyDescent="0.2">
      <c r="A47" s="133" t="s">
        <v>191</v>
      </c>
      <c r="B47" s="133" t="s">
        <v>17</v>
      </c>
      <c r="C47" s="133" t="s">
        <v>194</v>
      </c>
      <c r="D47" s="140" t="s">
        <v>5048</v>
      </c>
      <c r="E47" s="133">
        <v>17292853</v>
      </c>
      <c r="F47" s="142" t="s">
        <v>5040</v>
      </c>
      <c r="G47" s="133">
        <v>17704816</v>
      </c>
      <c r="H47" s="133"/>
      <c r="I47" s="133"/>
      <c r="J47" s="143" t="s">
        <v>5152</v>
      </c>
      <c r="K47" s="144" t="s">
        <v>5046</v>
      </c>
      <c r="L47" s="144" t="s">
        <v>5194</v>
      </c>
      <c r="M47" s="144" t="s">
        <v>5046</v>
      </c>
      <c r="N47" s="145" t="s">
        <v>5077</v>
      </c>
      <c r="O47" s="145"/>
      <c r="P47" s="145" t="s">
        <v>5043</v>
      </c>
      <c r="Q47" s="132"/>
      <c r="R47" s="149"/>
      <c r="S47" s="133" t="s">
        <v>5040</v>
      </c>
      <c r="T47" s="133"/>
      <c r="U47" s="133"/>
      <c r="V47" s="133"/>
    </row>
    <row r="48" spans="1:22" ht="16" x14ac:dyDescent="0.2">
      <c r="A48" s="133" t="s">
        <v>195</v>
      </c>
      <c r="B48" s="133" t="s">
        <v>17</v>
      </c>
      <c r="C48" s="133" t="s">
        <v>198</v>
      </c>
      <c r="D48" s="152" t="s">
        <v>5195</v>
      </c>
      <c r="E48" s="133">
        <v>14662653</v>
      </c>
      <c r="F48" s="148" t="s">
        <v>5196</v>
      </c>
      <c r="G48" s="133">
        <v>21525037</v>
      </c>
      <c r="H48" s="133"/>
      <c r="I48" s="133"/>
      <c r="J48" s="143" t="s">
        <v>5197</v>
      </c>
      <c r="K48" s="144" t="s">
        <v>5046</v>
      </c>
      <c r="L48" s="144" t="s">
        <v>5198</v>
      </c>
      <c r="M48" s="144" t="s">
        <v>5046</v>
      </c>
      <c r="N48" s="145" t="s">
        <v>5044</v>
      </c>
      <c r="O48" s="145" t="s">
        <v>5131</v>
      </c>
      <c r="P48" s="145" t="s">
        <v>5046</v>
      </c>
      <c r="Q48" s="132"/>
      <c r="R48" s="149"/>
      <c r="S48" s="133" t="s">
        <v>5040</v>
      </c>
      <c r="T48" s="133"/>
      <c r="U48" s="133" t="s">
        <v>5054</v>
      </c>
      <c r="V48" s="133" t="s">
        <v>5199</v>
      </c>
    </row>
    <row r="49" spans="1:22" ht="16" x14ac:dyDescent="0.2">
      <c r="A49" s="133" t="s">
        <v>199</v>
      </c>
      <c r="B49" s="133" t="s">
        <v>17</v>
      </c>
      <c r="C49" s="133" t="s">
        <v>202</v>
      </c>
      <c r="D49" s="140" t="s">
        <v>5070</v>
      </c>
      <c r="E49" s="133">
        <v>9659915</v>
      </c>
      <c r="F49" s="142" t="s">
        <v>5040</v>
      </c>
      <c r="G49" s="133">
        <v>12499396</v>
      </c>
      <c r="H49" s="133"/>
      <c r="I49" s="133"/>
      <c r="J49" s="143" t="s">
        <v>5200</v>
      </c>
      <c r="K49" s="144" t="s">
        <v>5046</v>
      </c>
      <c r="L49" s="144" t="s">
        <v>5201</v>
      </c>
      <c r="M49" s="144" t="s">
        <v>5046</v>
      </c>
      <c r="N49" s="145" t="s">
        <v>5044</v>
      </c>
      <c r="O49" s="145" t="s">
        <v>5052</v>
      </c>
      <c r="P49" s="145" t="s">
        <v>5059</v>
      </c>
      <c r="Q49" s="132" t="s">
        <v>5139</v>
      </c>
      <c r="R49" s="149"/>
      <c r="S49" s="133" t="s">
        <v>5202</v>
      </c>
      <c r="T49" s="133"/>
      <c r="U49" s="133"/>
      <c r="V49" s="133" t="s">
        <v>5203</v>
      </c>
    </row>
    <row r="50" spans="1:22" ht="16" x14ac:dyDescent="0.2">
      <c r="A50" s="133" t="s">
        <v>203</v>
      </c>
      <c r="B50" s="133" t="s">
        <v>17</v>
      </c>
      <c r="C50" s="133" t="s">
        <v>206</v>
      </c>
      <c r="D50" s="140" t="s">
        <v>5055</v>
      </c>
      <c r="E50" s="141">
        <v>16787945</v>
      </c>
      <c r="F50" s="142" t="s">
        <v>5070</v>
      </c>
      <c r="G50" s="133">
        <v>16492808</v>
      </c>
      <c r="H50" s="133"/>
      <c r="I50" s="141"/>
      <c r="J50" s="143" t="s">
        <v>5204</v>
      </c>
      <c r="K50" s="144" t="s">
        <v>5046</v>
      </c>
      <c r="L50" s="144" t="s">
        <v>5205</v>
      </c>
      <c r="M50" s="144" t="s">
        <v>5046</v>
      </c>
      <c r="N50" s="145" t="s">
        <v>5077</v>
      </c>
      <c r="O50" s="145"/>
      <c r="P50" s="145" t="s">
        <v>5043</v>
      </c>
      <c r="Q50" s="132" t="s">
        <v>5139</v>
      </c>
      <c r="R50" s="146" t="s">
        <v>5047</v>
      </c>
      <c r="S50" s="133" t="s">
        <v>5202</v>
      </c>
      <c r="T50" s="133"/>
      <c r="U50" s="133" t="s">
        <v>5067</v>
      </c>
      <c r="V50" s="133" t="s">
        <v>5203</v>
      </c>
    </row>
    <row r="51" spans="1:22" ht="16" x14ac:dyDescent="0.2">
      <c r="A51" s="133" t="s">
        <v>207</v>
      </c>
      <c r="B51" s="133" t="s">
        <v>17</v>
      </c>
      <c r="C51" s="133" t="s">
        <v>210</v>
      </c>
      <c r="D51" s="140" t="s">
        <v>5040</v>
      </c>
      <c r="E51" s="133">
        <v>10607391</v>
      </c>
      <c r="F51" s="142"/>
      <c r="G51" s="133"/>
      <c r="H51" s="133"/>
      <c r="I51" s="133"/>
      <c r="J51" s="143" t="s">
        <v>5040</v>
      </c>
      <c r="K51" s="144" t="s">
        <v>5041</v>
      </c>
      <c r="L51" s="144" t="s">
        <v>5206</v>
      </c>
      <c r="M51" s="144" t="s">
        <v>5046</v>
      </c>
      <c r="N51" s="145" t="s">
        <v>5051</v>
      </c>
      <c r="O51" s="145" t="s">
        <v>5052</v>
      </c>
      <c r="P51" s="145" t="s">
        <v>5041</v>
      </c>
      <c r="Q51" s="132"/>
      <c r="R51" s="149"/>
      <c r="S51" s="133" t="s">
        <v>5040</v>
      </c>
      <c r="T51" s="133"/>
      <c r="U51" s="133"/>
      <c r="V51" s="133"/>
    </row>
    <row r="52" spans="1:22" ht="16" x14ac:dyDescent="0.2">
      <c r="A52" s="133" t="s">
        <v>211</v>
      </c>
      <c r="B52" s="133" t="s">
        <v>17</v>
      </c>
      <c r="C52" s="133" t="s">
        <v>214</v>
      </c>
      <c r="D52" s="140" t="s">
        <v>5040</v>
      </c>
      <c r="E52" s="133">
        <v>21719701</v>
      </c>
      <c r="F52" s="142" t="s">
        <v>5056</v>
      </c>
      <c r="G52" s="133">
        <v>19635168</v>
      </c>
      <c r="H52" s="142" t="s">
        <v>5120</v>
      </c>
      <c r="I52" s="150">
        <v>16896804</v>
      </c>
      <c r="J52" s="143" t="s">
        <v>5207</v>
      </c>
      <c r="K52" s="144" t="s">
        <v>5046</v>
      </c>
      <c r="L52" s="144" t="s">
        <v>5042</v>
      </c>
      <c r="M52" s="144" t="s">
        <v>5043</v>
      </c>
      <c r="N52" s="145" t="s">
        <v>5044</v>
      </c>
      <c r="O52" s="145" t="s">
        <v>5208</v>
      </c>
      <c r="P52" s="145" t="s">
        <v>5059</v>
      </c>
      <c r="Q52" s="132"/>
      <c r="R52" s="146" t="s">
        <v>5053</v>
      </c>
      <c r="S52" s="133" t="s">
        <v>5040</v>
      </c>
      <c r="T52" s="133"/>
      <c r="U52" s="133"/>
      <c r="V52" s="133"/>
    </row>
    <row r="53" spans="1:22" ht="16" x14ac:dyDescent="0.2">
      <c r="A53" s="133" t="s">
        <v>215</v>
      </c>
      <c r="B53" s="133" t="s">
        <v>17</v>
      </c>
      <c r="C53" s="133" t="s">
        <v>218</v>
      </c>
      <c r="D53" s="140" t="s">
        <v>5040</v>
      </c>
      <c r="E53" s="133">
        <v>16112081</v>
      </c>
      <c r="F53" s="142"/>
      <c r="G53" s="133"/>
      <c r="H53" s="133"/>
      <c r="I53" s="133"/>
      <c r="J53" s="143" t="s">
        <v>5040</v>
      </c>
      <c r="K53" s="144" t="s">
        <v>5041</v>
      </c>
      <c r="L53" s="144" t="s">
        <v>5209</v>
      </c>
      <c r="M53" s="144" t="s">
        <v>5041</v>
      </c>
      <c r="N53" s="145" t="s">
        <v>5044</v>
      </c>
      <c r="O53" s="145" t="s">
        <v>5210</v>
      </c>
      <c r="P53" s="145" t="s">
        <v>5046</v>
      </c>
      <c r="Q53" s="132"/>
      <c r="R53" s="146" t="s">
        <v>5053</v>
      </c>
      <c r="S53" s="133" t="s">
        <v>5040</v>
      </c>
      <c r="T53" s="133"/>
      <c r="U53" s="133"/>
      <c r="V53" s="133"/>
    </row>
    <row r="54" spans="1:22" ht="16" x14ac:dyDescent="0.2">
      <c r="A54" s="133" t="s">
        <v>219</v>
      </c>
      <c r="B54" s="133" t="s">
        <v>17</v>
      </c>
      <c r="C54" s="133" t="s">
        <v>222</v>
      </c>
      <c r="D54" s="140" t="s">
        <v>5063</v>
      </c>
      <c r="E54" s="155">
        <v>19618964</v>
      </c>
      <c r="F54" s="142" t="s">
        <v>5070</v>
      </c>
      <c r="G54" s="150">
        <v>18303050</v>
      </c>
      <c r="H54" s="142" t="s">
        <v>5086</v>
      </c>
      <c r="I54" s="133">
        <v>22665792</v>
      </c>
      <c r="J54" s="143" t="s">
        <v>5136</v>
      </c>
      <c r="K54" s="144" t="s">
        <v>5046</v>
      </c>
      <c r="L54" s="144" t="s">
        <v>5211</v>
      </c>
      <c r="M54" s="144" t="s">
        <v>5046</v>
      </c>
      <c r="N54" s="145" t="s">
        <v>5044</v>
      </c>
      <c r="O54" s="145" t="s">
        <v>5212</v>
      </c>
      <c r="P54" s="145" t="s">
        <v>5046</v>
      </c>
      <c r="Q54" s="132"/>
      <c r="R54" s="149"/>
      <c r="S54" s="133" t="s">
        <v>5213</v>
      </c>
      <c r="T54" s="133" t="s">
        <v>5054</v>
      </c>
      <c r="U54" s="133"/>
      <c r="V54" s="133" t="s">
        <v>5214</v>
      </c>
    </row>
    <row r="55" spans="1:22" ht="16" x14ac:dyDescent="0.2">
      <c r="A55" s="133" t="s">
        <v>223</v>
      </c>
      <c r="B55" s="133" t="s">
        <v>17</v>
      </c>
      <c r="C55" s="133" t="s">
        <v>226</v>
      </c>
      <c r="D55" s="152" t="s">
        <v>5040</v>
      </c>
      <c r="E55" s="155">
        <v>17609419</v>
      </c>
      <c r="F55" s="142" t="s">
        <v>5070</v>
      </c>
      <c r="G55" s="150">
        <v>17971419</v>
      </c>
      <c r="H55" s="133"/>
      <c r="I55" s="133"/>
      <c r="J55" s="143" t="s">
        <v>5185</v>
      </c>
      <c r="K55" s="144" t="s">
        <v>5046</v>
      </c>
      <c r="L55" s="144" t="s">
        <v>5215</v>
      </c>
      <c r="M55" s="144" t="s">
        <v>5046</v>
      </c>
      <c r="N55" s="145" t="s">
        <v>5044</v>
      </c>
      <c r="O55" s="145" t="s">
        <v>5131</v>
      </c>
      <c r="P55" s="145" t="s">
        <v>5046</v>
      </c>
      <c r="Q55" s="132" t="s">
        <v>5089</v>
      </c>
      <c r="R55" s="149"/>
      <c r="S55" s="133" t="s">
        <v>5040</v>
      </c>
      <c r="T55" s="133" t="s">
        <v>5054</v>
      </c>
      <c r="U55" s="133"/>
      <c r="V55" s="133" t="s">
        <v>5188</v>
      </c>
    </row>
    <row r="56" spans="1:22" ht="16" x14ac:dyDescent="0.2">
      <c r="A56" s="133" t="s">
        <v>227</v>
      </c>
      <c r="B56" s="133" t="s">
        <v>17</v>
      </c>
      <c r="C56" s="133" t="s">
        <v>230</v>
      </c>
      <c r="D56" s="140" t="s">
        <v>5095</v>
      </c>
      <c r="E56" s="133"/>
      <c r="F56" s="142"/>
      <c r="G56" s="133"/>
      <c r="H56" s="133"/>
      <c r="I56" s="133"/>
      <c r="J56" s="143" t="s">
        <v>5095</v>
      </c>
      <c r="K56" s="144" t="s">
        <v>5043</v>
      </c>
      <c r="L56" s="144" t="s">
        <v>5216</v>
      </c>
      <c r="M56" s="144" t="s">
        <v>5059</v>
      </c>
      <c r="N56" s="145" t="s">
        <v>5051</v>
      </c>
      <c r="O56" s="145" t="s">
        <v>5122</v>
      </c>
      <c r="P56" s="145" t="s">
        <v>5059</v>
      </c>
      <c r="Q56" s="132"/>
      <c r="R56" s="149"/>
      <c r="S56" s="133" t="s">
        <v>5063</v>
      </c>
      <c r="T56" s="133"/>
      <c r="U56" s="133"/>
      <c r="V56" s="133" t="s">
        <v>5217</v>
      </c>
    </row>
    <row r="57" spans="1:22" ht="16" x14ac:dyDescent="0.2">
      <c r="A57" s="133" t="s">
        <v>231</v>
      </c>
      <c r="B57" s="133" t="s">
        <v>17</v>
      </c>
      <c r="C57" s="133" t="s">
        <v>234</v>
      </c>
      <c r="D57" s="140" t="s">
        <v>5040</v>
      </c>
      <c r="E57" s="133">
        <v>25063526</v>
      </c>
      <c r="F57" s="142"/>
      <c r="G57" s="133"/>
      <c r="H57" s="133"/>
      <c r="I57" s="133"/>
      <c r="J57" s="143" t="s">
        <v>5040</v>
      </c>
      <c r="K57" s="144" t="s">
        <v>5046</v>
      </c>
      <c r="L57" s="144" t="s">
        <v>5218</v>
      </c>
      <c r="M57" s="144" t="s">
        <v>5046</v>
      </c>
      <c r="N57" s="145" t="s">
        <v>5077</v>
      </c>
      <c r="O57" s="145"/>
      <c r="P57" s="145" t="s">
        <v>5043</v>
      </c>
      <c r="Q57" s="132"/>
      <c r="R57" s="146" t="s">
        <v>5047</v>
      </c>
      <c r="S57" s="133" t="s">
        <v>5219</v>
      </c>
      <c r="T57" s="133"/>
      <c r="U57" s="133"/>
      <c r="V57" s="133" t="s">
        <v>5220</v>
      </c>
    </row>
    <row r="58" spans="1:22" ht="16" x14ac:dyDescent="0.2">
      <c r="A58" s="133" t="s">
        <v>235</v>
      </c>
      <c r="B58" s="133" t="s">
        <v>17</v>
      </c>
      <c r="C58" s="133" t="s">
        <v>238</v>
      </c>
      <c r="D58" s="140" t="s">
        <v>5063</v>
      </c>
      <c r="E58" s="155">
        <v>22911862</v>
      </c>
      <c r="F58" s="142" t="s">
        <v>5086</v>
      </c>
      <c r="G58" s="133">
        <v>23729734</v>
      </c>
      <c r="H58" s="133"/>
      <c r="I58" s="155"/>
      <c r="J58" s="143" t="s">
        <v>5221</v>
      </c>
      <c r="K58" s="144" t="s">
        <v>5046</v>
      </c>
      <c r="L58" s="144" t="s">
        <v>5042</v>
      </c>
      <c r="M58" s="144" t="s">
        <v>5043</v>
      </c>
      <c r="N58" s="145" t="s">
        <v>5044</v>
      </c>
      <c r="O58" s="145" t="s">
        <v>5052</v>
      </c>
      <c r="P58" s="145" t="s">
        <v>5059</v>
      </c>
      <c r="Q58" s="132"/>
      <c r="R58" s="146" t="s">
        <v>5053</v>
      </c>
      <c r="S58" s="133" t="s">
        <v>5222</v>
      </c>
      <c r="T58" s="133"/>
      <c r="U58" s="133"/>
      <c r="V58" s="133" t="s">
        <v>5223</v>
      </c>
    </row>
    <row r="59" spans="1:22" ht="16" x14ac:dyDescent="0.2">
      <c r="A59" s="133" t="s">
        <v>239</v>
      </c>
      <c r="B59" s="133" t="s">
        <v>17</v>
      </c>
      <c r="C59" s="133" t="s">
        <v>242</v>
      </c>
      <c r="D59" s="140" t="s">
        <v>5063</v>
      </c>
      <c r="E59" s="133">
        <v>15558029</v>
      </c>
      <c r="F59" s="142" t="s">
        <v>5086</v>
      </c>
      <c r="G59" s="133">
        <v>21258369</v>
      </c>
      <c r="H59" s="133"/>
      <c r="I59" s="133"/>
      <c r="J59" s="143" t="s">
        <v>5221</v>
      </c>
      <c r="K59" s="144" t="s">
        <v>5046</v>
      </c>
      <c r="L59" s="144" t="s">
        <v>5224</v>
      </c>
      <c r="M59" s="144" t="s">
        <v>5046</v>
      </c>
      <c r="N59" s="145" t="s">
        <v>5187</v>
      </c>
      <c r="O59" s="145" t="s">
        <v>5052</v>
      </c>
      <c r="P59" s="145" t="s">
        <v>5059</v>
      </c>
      <c r="Q59" s="132"/>
      <c r="R59" s="146" t="s">
        <v>5053</v>
      </c>
      <c r="S59" s="133" t="s">
        <v>5063</v>
      </c>
      <c r="T59" s="133"/>
      <c r="U59" s="133"/>
      <c r="V59" s="133" t="s">
        <v>5225</v>
      </c>
    </row>
    <row r="60" spans="1:22" ht="16" x14ac:dyDescent="0.2">
      <c r="A60" s="133" t="s">
        <v>243</v>
      </c>
      <c r="B60" s="133" t="s">
        <v>17</v>
      </c>
      <c r="C60" s="133" t="s">
        <v>246</v>
      </c>
      <c r="D60" s="140" t="s">
        <v>5048</v>
      </c>
      <c r="E60" s="133">
        <v>15485661</v>
      </c>
      <c r="F60" s="142"/>
      <c r="G60" s="133"/>
      <c r="H60" s="133"/>
      <c r="I60" s="133"/>
      <c r="J60" s="143" t="s">
        <v>5048</v>
      </c>
      <c r="K60" s="144" t="s">
        <v>5046</v>
      </c>
      <c r="L60" s="144" t="s">
        <v>5042</v>
      </c>
      <c r="M60" s="144" t="s">
        <v>5043</v>
      </c>
      <c r="N60" s="145" t="s">
        <v>5044</v>
      </c>
      <c r="O60" s="145" t="s">
        <v>5226</v>
      </c>
      <c r="P60" s="145" t="s">
        <v>5059</v>
      </c>
      <c r="Q60" s="132"/>
      <c r="R60" s="149"/>
      <c r="S60" s="133" t="s">
        <v>5227</v>
      </c>
      <c r="T60" s="133"/>
      <c r="U60" s="133"/>
      <c r="V60" s="133" t="s">
        <v>5228</v>
      </c>
    </row>
    <row r="61" spans="1:22" ht="16" x14ac:dyDescent="0.2">
      <c r="A61" s="133" t="s">
        <v>247</v>
      </c>
      <c r="B61" s="133" t="s">
        <v>17</v>
      </c>
      <c r="C61" s="133" t="s">
        <v>250</v>
      </c>
      <c r="D61" s="140" t="s">
        <v>5048</v>
      </c>
      <c r="E61" s="155">
        <v>21832057</v>
      </c>
      <c r="F61" s="142"/>
      <c r="G61" s="133"/>
      <c r="H61" s="133"/>
      <c r="I61" s="133"/>
      <c r="J61" s="143" t="s">
        <v>5048</v>
      </c>
      <c r="K61" s="144" t="s">
        <v>5041</v>
      </c>
      <c r="L61" s="144" t="s">
        <v>5229</v>
      </c>
      <c r="M61" s="144" t="s">
        <v>5046</v>
      </c>
      <c r="N61" s="145" t="s">
        <v>5044</v>
      </c>
      <c r="O61" s="145" t="s">
        <v>5081</v>
      </c>
      <c r="P61" s="145" t="s">
        <v>5059</v>
      </c>
      <c r="Q61" s="132"/>
      <c r="R61" s="146" t="s">
        <v>5103</v>
      </c>
      <c r="S61" s="133" t="s">
        <v>5230</v>
      </c>
      <c r="T61" s="133"/>
      <c r="U61" s="133"/>
      <c r="V61" s="133" t="s">
        <v>5231</v>
      </c>
    </row>
    <row r="62" spans="1:22" ht="16" x14ac:dyDescent="0.2">
      <c r="A62" s="133" t="s">
        <v>252</v>
      </c>
      <c r="B62" s="133" t="s">
        <v>17</v>
      </c>
      <c r="C62" s="133" t="s">
        <v>255</v>
      </c>
      <c r="D62" s="140" t="s">
        <v>5063</v>
      </c>
      <c r="E62" s="155">
        <v>15133129</v>
      </c>
      <c r="F62" s="142"/>
      <c r="G62" s="133"/>
      <c r="H62" s="133"/>
      <c r="I62" s="133"/>
      <c r="J62" s="143" t="s">
        <v>5063</v>
      </c>
      <c r="K62" s="144" t="s">
        <v>5041</v>
      </c>
      <c r="L62" s="144" t="s">
        <v>5232</v>
      </c>
      <c r="M62" s="144" t="s">
        <v>5059</v>
      </c>
      <c r="N62" s="145" t="s">
        <v>5051</v>
      </c>
      <c r="O62" s="145" t="s">
        <v>5233</v>
      </c>
      <c r="P62" s="145" t="s">
        <v>5059</v>
      </c>
      <c r="Q62" s="132"/>
      <c r="R62" s="146" t="s">
        <v>5047</v>
      </c>
      <c r="S62" s="133" t="s">
        <v>5063</v>
      </c>
      <c r="T62" s="133"/>
      <c r="U62" s="133" t="s">
        <v>5067</v>
      </c>
      <c r="V62" s="133" t="s">
        <v>5234</v>
      </c>
    </row>
    <row r="63" spans="1:22" ht="16" x14ac:dyDescent="0.2">
      <c r="A63" s="133" t="s">
        <v>256</v>
      </c>
      <c r="B63" s="133" t="s">
        <v>17</v>
      </c>
      <c r="C63" s="133" t="s">
        <v>259</v>
      </c>
      <c r="D63" s="140" t="s">
        <v>5070</v>
      </c>
      <c r="E63" s="155">
        <v>18195107</v>
      </c>
      <c r="F63" s="142" t="s">
        <v>5167</v>
      </c>
      <c r="G63" s="133">
        <v>21474314</v>
      </c>
      <c r="H63" s="133" t="s">
        <v>5235</v>
      </c>
      <c r="I63" s="145">
        <v>11058585</v>
      </c>
      <c r="J63" s="143" t="s">
        <v>5236</v>
      </c>
      <c r="K63" s="144" t="s">
        <v>5059</v>
      </c>
      <c r="L63" s="144" t="s">
        <v>5237</v>
      </c>
      <c r="M63" s="144" t="s">
        <v>5046</v>
      </c>
      <c r="N63" s="145" t="s">
        <v>5044</v>
      </c>
      <c r="O63" s="145" t="s">
        <v>5238</v>
      </c>
      <c r="P63" s="145" t="s">
        <v>5046</v>
      </c>
      <c r="Q63" s="132"/>
      <c r="R63" s="146" t="s">
        <v>5053</v>
      </c>
      <c r="S63" s="133" t="s">
        <v>5040</v>
      </c>
      <c r="T63" s="133" t="s">
        <v>5054</v>
      </c>
      <c r="U63" s="133"/>
      <c r="V63" s="133" t="s">
        <v>5188</v>
      </c>
    </row>
    <row r="64" spans="1:22" ht="16" x14ac:dyDescent="0.2">
      <c r="A64" s="133" t="s">
        <v>260</v>
      </c>
      <c r="B64" s="133" t="s">
        <v>17</v>
      </c>
      <c r="C64" s="133" t="s">
        <v>263</v>
      </c>
      <c r="D64" s="140" t="s">
        <v>5095</v>
      </c>
      <c r="E64" s="133"/>
      <c r="F64" s="142"/>
      <c r="G64" s="133"/>
      <c r="H64" s="133"/>
      <c r="I64" s="133"/>
      <c r="J64" s="143" t="s">
        <v>5095</v>
      </c>
      <c r="K64" s="144" t="s">
        <v>5043</v>
      </c>
      <c r="L64" s="144" t="s">
        <v>5239</v>
      </c>
      <c r="M64" s="144" t="s">
        <v>5046</v>
      </c>
      <c r="N64" s="145" t="s">
        <v>5077</v>
      </c>
      <c r="O64" s="145"/>
      <c r="P64" s="145" t="s">
        <v>5043</v>
      </c>
      <c r="Q64" s="132"/>
      <c r="R64" s="149"/>
      <c r="S64" s="133" t="s">
        <v>5240</v>
      </c>
      <c r="T64" s="133" t="s">
        <v>5054</v>
      </c>
      <c r="U64" s="133"/>
      <c r="V64" s="133" t="s">
        <v>5241</v>
      </c>
    </row>
    <row r="65" spans="1:22" ht="16" x14ac:dyDescent="0.2">
      <c r="A65" s="133" t="s">
        <v>264</v>
      </c>
      <c r="B65" s="133" t="s">
        <v>17</v>
      </c>
      <c r="C65" s="133" t="s">
        <v>267</v>
      </c>
      <c r="D65" s="156" t="s">
        <v>5242</v>
      </c>
      <c r="E65" s="155">
        <v>26823019</v>
      </c>
      <c r="F65" s="142" t="s">
        <v>5040</v>
      </c>
      <c r="G65" s="150">
        <v>16143467</v>
      </c>
      <c r="H65" s="142" t="s">
        <v>5048</v>
      </c>
      <c r="I65" s="133">
        <v>15107133</v>
      </c>
      <c r="J65" s="143" t="s">
        <v>5243</v>
      </c>
      <c r="K65" s="144" t="s">
        <v>5046</v>
      </c>
      <c r="L65" s="144" t="s">
        <v>5244</v>
      </c>
      <c r="M65" s="144" t="s">
        <v>5059</v>
      </c>
      <c r="N65" s="145" t="s">
        <v>5077</v>
      </c>
      <c r="O65" s="145"/>
      <c r="P65" s="145" t="s">
        <v>5043</v>
      </c>
      <c r="Q65" s="132"/>
      <c r="R65" s="146" t="s">
        <v>5047</v>
      </c>
      <c r="S65" s="133" t="s">
        <v>5245</v>
      </c>
      <c r="T65" s="133" t="s">
        <v>5054</v>
      </c>
      <c r="U65" s="133"/>
      <c r="V65" s="133" t="s">
        <v>5246</v>
      </c>
    </row>
    <row r="66" spans="1:22" ht="16" x14ac:dyDescent="0.2">
      <c r="A66" s="133" t="s">
        <v>268</v>
      </c>
      <c r="B66" s="133" t="s">
        <v>10</v>
      </c>
      <c r="C66" s="133" t="s">
        <v>271</v>
      </c>
      <c r="D66" s="140" t="s">
        <v>5048</v>
      </c>
      <c r="E66" s="133">
        <v>12808105</v>
      </c>
      <c r="F66" s="142" t="s">
        <v>5062</v>
      </c>
      <c r="G66" s="133">
        <v>15494376</v>
      </c>
      <c r="H66" s="142" t="s">
        <v>5040</v>
      </c>
      <c r="I66" s="141">
        <v>17116687</v>
      </c>
      <c r="J66" s="143" t="s">
        <v>5247</v>
      </c>
      <c r="K66" s="144" t="s">
        <v>5046</v>
      </c>
      <c r="L66" s="144" t="s">
        <v>5248</v>
      </c>
      <c r="M66" s="144" t="s">
        <v>5059</v>
      </c>
      <c r="N66" s="145" t="s">
        <v>5044</v>
      </c>
      <c r="O66" s="145" t="s">
        <v>5045</v>
      </c>
      <c r="P66" s="145" t="s">
        <v>5059</v>
      </c>
      <c r="Q66" s="132"/>
      <c r="R66" s="146" t="s">
        <v>5047</v>
      </c>
      <c r="S66" s="133" t="s">
        <v>5249</v>
      </c>
      <c r="T66" s="133"/>
      <c r="U66" s="133" t="s">
        <v>5067</v>
      </c>
      <c r="V66" s="133" t="s">
        <v>5250</v>
      </c>
    </row>
    <row r="67" spans="1:22" ht="16" x14ac:dyDescent="0.2">
      <c r="A67" s="133" t="s">
        <v>272</v>
      </c>
      <c r="B67" s="133" t="s">
        <v>28</v>
      </c>
      <c r="C67" s="133" t="s">
        <v>275</v>
      </c>
      <c r="D67" s="152" t="s">
        <v>5040</v>
      </c>
      <c r="E67" s="155">
        <v>18826946</v>
      </c>
      <c r="F67" s="142"/>
      <c r="G67" s="133"/>
      <c r="H67" s="133"/>
      <c r="I67" s="133"/>
      <c r="J67" s="143" t="s">
        <v>5040</v>
      </c>
      <c r="K67" s="144" t="s">
        <v>5046</v>
      </c>
      <c r="L67" s="144" t="s">
        <v>5042</v>
      </c>
      <c r="M67" s="144" t="s">
        <v>5043</v>
      </c>
      <c r="N67" s="145" t="s">
        <v>5044</v>
      </c>
      <c r="O67" s="145" t="s">
        <v>5052</v>
      </c>
      <c r="P67" s="145" t="s">
        <v>5046</v>
      </c>
      <c r="Q67" s="132"/>
      <c r="R67" s="149"/>
      <c r="S67" s="133" t="s">
        <v>5251</v>
      </c>
      <c r="T67" s="133"/>
      <c r="U67" s="133"/>
      <c r="V67" s="133" t="s">
        <v>5252</v>
      </c>
    </row>
    <row r="68" spans="1:22" ht="16" x14ac:dyDescent="0.2">
      <c r="A68" s="133" t="s">
        <v>277</v>
      </c>
      <c r="B68" s="133" t="s">
        <v>28</v>
      </c>
      <c r="C68" s="133" t="s">
        <v>280</v>
      </c>
      <c r="D68" s="152" t="s">
        <v>5040</v>
      </c>
      <c r="E68" s="155">
        <v>11278894</v>
      </c>
      <c r="F68" s="142" t="s">
        <v>5062</v>
      </c>
      <c r="G68" s="133"/>
      <c r="H68" s="133"/>
      <c r="I68" s="133"/>
      <c r="J68" s="143" t="s">
        <v>5253</v>
      </c>
      <c r="K68" s="144" t="s">
        <v>5059</v>
      </c>
      <c r="L68" s="144" t="s">
        <v>5254</v>
      </c>
      <c r="M68" s="144" t="s">
        <v>5059</v>
      </c>
      <c r="N68" s="145" t="s">
        <v>5044</v>
      </c>
      <c r="O68" s="145" t="s">
        <v>5092</v>
      </c>
      <c r="P68" s="145" t="s">
        <v>5059</v>
      </c>
      <c r="Q68" s="132"/>
      <c r="R68" s="149"/>
      <c r="S68" s="133" t="s">
        <v>5202</v>
      </c>
      <c r="T68" s="133"/>
      <c r="U68" s="133"/>
      <c r="V68" s="133" t="s">
        <v>5203</v>
      </c>
    </row>
    <row r="69" spans="1:22" ht="16" x14ac:dyDescent="0.2">
      <c r="A69" s="133" t="s">
        <v>281</v>
      </c>
      <c r="B69" s="133" t="s">
        <v>34</v>
      </c>
      <c r="C69" s="133" t="s">
        <v>284</v>
      </c>
      <c r="D69" s="140" t="s">
        <v>5120</v>
      </c>
      <c r="E69" s="133">
        <v>17452976</v>
      </c>
      <c r="F69" s="142"/>
      <c r="G69" s="133"/>
      <c r="H69" s="133"/>
      <c r="I69" s="133"/>
      <c r="J69" s="143" t="s">
        <v>5120</v>
      </c>
      <c r="K69" s="144" t="s">
        <v>5059</v>
      </c>
      <c r="L69" s="144" t="s">
        <v>5255</v>
      </c>
      <c r="M69" s="144" t="s">
        <v>5059</v>
      </c>
      <c r="N69" s="145" t="s">
        <v>5051</v>
      </c>
      <c r="O69" s="145" t="s">
        <v>5256</v>
      </c>
      <c r="P69" s="145" t="s">
        <v>5059</v>
      </c>
      <c r="Q69" s="132"/>
      <c r="R69" s="149"/>
      <c r="S69" s="133" t="s">
        <v>5040</v>
      </c>
      <c r="T69" s="133"/>
      <c r="U69" s="133"/>
      <c r="V69" s="133"/>
    </row>
    <row r="70" spans="1:22" ht="16" x14ac:dyDescent="0.2">
      <c r="A70" s="133" t="s">
        <v>285</v>
      </c>
      <c r="B70" s="133" t="s">
        <v>34</v>
      </c>
      <c r="C70" s="133" t="s">
        <v>288</v>
      </c>
      <c r="D70" s="140" t="s">
        <v>5048</v>
      </c>
      <c r="E70" s="155">
        <v>5458010</v>
      </c>
      <c r="F70" s="142"/>
      <c r="G70" s="133"/>
      <c r="H70" s="133"/>
      <c r="I70" s="133"/>
      <c r="J70" s="143" t="s">
        <v>5048</v>
      </c>
      <c r="K70" s="144" t="s">
        <v>5041</v>
      </c>
      <c r="L70" s="144" t="s">
        <v>5042</v>
      </c>
      <c r="M70" s="144" t="s">
        <v>5043</v>
      </c>
      <c r="N70" s="145" t="s">
        <v>5044</v>
      </c>
      <c r="O70" s="145" t="s">
        <v>5257</v>
      </c>
      <c r="P70" s="145" t="s">
        <v>5059</v>
      </c>
      <c r="Q70" s="132"/>
      <c r="R70" s="149"/>
      <c r="S70" s="133" t="s">
        <v>5048</v>
      </c>
      <c r="T70" s="133"/>
      <c r="U70" s="133"/>
      <c r="V70" s="133"/>
    </row>
    <row r="71" spans="1:22" ht="16" x14ac:dyDescent="0.2">
      <c r="A71" s="133" t="s">
        <v>289</v>
      </c>
      <c r="B71" s="133" t="s">
        <v>28</v>
      </c>
      <c r="C71" s="133" t="s">
        <v>292</v>
      </c>
      <c r="D71" s="140" t="s">
        <v>5070</v>
      </c>
      <c r="E71" s="155">
        <v>19170769</v>
      </c>
      <c r="F71" s="142" t="s">
        <v>5086</v>
      </c>
      <c r="G71" s="145">
        <v>22473989</v>
      </c>
      <c r="H71" s="133"/>
      <c r="I71" s="155"/>
      <c r="J71" s="143" t="s">
        <v>5258</v>
      </c>
      <c r="K71" s="144" t="s">
        <v>5046</v>
      </c>
      <c r="L71" s="144" t="s">
        <v>5259</v>
      </c>
      <c r="M71" s="144" t="s">
        <v>5059</v>
      </c>
      <c r="N71" s="145" t="s">
        <v>5044</v>
      </c>
      <c r="O71" s="145" t="s">
        <v>5110</v>
      </c>
      <c r="P71" s="145" t="s">
        <v>5059</v>
      </c>
      <c r="Q71" s="132" t="s">
        <v>5139</v>
      </c>
      <c r="R71" s="149"/>
      <c r="S71" s="133" t="s">
        <v>5202</v>
      </c>
      <c r="T71" s="133"/>
      <c r="U71" s="133"/>
      <c r="V71" s="133" t="s">
        <v>5203</v>
      </c>
    </row>
    <row r="72" spans="1:22" ht="16" x14ac:dyDescent="0.2">
      <c r="A72" s="133" t="s">
        <v>293</v>
      </c>
      <c r="B72" s="133" t="s">
        <v>17</v>
      </c>
      <c r="C72" s="133" t="s">
        <v>296</v>
      </c>
      <c r="D72" s="140" t="s">
        <v>5086</v>
      </c>
      <c r="E72" s="133">
        <v>17015620</v>
      </c>
      <c r="F72" s="142"/>
      <c r="G72" s="133"/>
      <c r="H72" s="133"/>
      <c r="I72" s="133"/>
      <c r="J72" s="143" t="s">
        <v>5086</v>
      </c>
      <c r="K72" s="144" t="s">
        <v>5046</v>
      </c>
      <c r="L72" s="144" t="s">
        <v>5260</v>
      </c>
      <c r="M72" s="144" t="s">
        <v>5046</v>
      </c>
      <c r="N72" s="145" t="s">
        <v>5044</v>
      </c>
      <c r="O72" s="145" t="s">
        <v>5261</v>
      </c>
      <c r="P72" s="145" t="s">
        <v>5046</v>
      </c>
      <c r="Q72" s="132"/>
      <c r="R72" s="149"/>
      <c r="S72" s="133" t="s">
        <v>5262</v>
      </c>
      <c r="T72" s="133"/>
      <c r="U72" s="133"/>
      <c r="V72" s="133" t="s">
        <v>5263</v>
      </c>
    </row>
    <row r="73" spans="1:22" ht="16" x14ac:dyDescent="0.2">
      <c r="A73" s="133" t="s">
        <v>297</v>
      </c>
      <c r="B73" s="133" t="s">
        <v>17</v>
      </c>
      <c r="C73" s="133" t="s">
        <v>299</v>
      </c>
      <c r="D73" s="140" t="s">
        <v>5120</v>
      </c>
      <c r="E73" s="150">
        <v>15288806</v>
      </c>
      <c r="F73" s="142" t="s">
        <v>5040</v>
      </c>
      <c r="G73" s="133">
        <v>16025104</v>
      </c>
      <c r="H73" s="142" t="s">
        <v>5070</v>
      </c>
      <c r="I73" s="155">
        <v>9733740</v>
      </c>
      <c r="J73" s="143" t="s">
        <v>5264</v>
      </c>
      <c r="K73" s="144" t="s">
        <v>5046</v>
      </c>
      <c r="L73" s="144" t="s">
        <v>5265</v>
      </c>
      <c r="M73" s="144" t="s">
        <v>5046</v>
      </c>
      <c r="N73" s="145" t="s">
        <v>5187</v>
      </c>
      <c r="O73" s="145" t="s">
        <v>5092</v>
      </c>
      <c r="P73" s="145" t="s">
        <v>5059</v>
      </c>
      <c r="Q73" s="132" t="s">
        <v>5139</v>
      </c>
      <c r="R73" s="149"/>
      <c r="S73" s="133" t="s">
        <v>5266</v>
      </c>
      <c r="T73" s="133"/>
      <c r="U73" s="133" t="s">
        <v>5067</v>
      </c>
      <c r="V73" s="133" t="s">
        <v>5267</v>
      </c>
    </row>
    <row r="74" spans="1:22" ht="16" x14ac:dyDescent="0.2">
      <c r="A74" s="133" t="s">
        <v>302</v>
      </c>
      <c r="B74" s="133" t="s">
        <v>17</v>
      </c>
      <c r="C74" s="133" t="s">
        <v>305</v>
      </c>
      <c r="D74" s="140" t="s">
        <v>5040</v>
      </c>
      <c r="E74" s="155">
        <v>19325080</v>
      </c>
      <c r="F74" s="142"/>
      <c r="G74" s="133"/>
      <c r="H74" s="133"/>
      <c r="I74" s="133"/>
      <c r="J74" s="143" t="s">
        <v>5040</v>
      </c>
      <c r="K74" s="144" t="s">
        <v>5041</v>
      </c>
      <c r="L74" s="144" t="s">
        <v>5268</v>
      </c>
      <c r="M74" s="144" t="s">
        <v>5046</v>
      </c>
      <c r="N74" s="145" t="s">
        <v>5077</v>
      </c>
      <c r="O74" s="145"/>
      <c r="P74" s="145" t="s">
        <v>5043</v>
      </c>
      <c r="Q74" s="132"/>
      <c r="R74" s="146" t="s">
        <v>5047</v>
      </c>
      <c r="S74" s="133" t="s">
        <v>5040</v>
      </c>
      <c r="T74" s="133"/>
      <c r="U74" s="133"/>
      <c r="V74" s="133" t="s">
        <v>5269</v>
      </c>
    </row>
    <row r="75" spans="1:22" ht="16" x14ac:dyDescent="0.2">
      <c r="A75" s="133" t="s">
        <v>306</v>
      </c>
      <c r="B75" s="133" t="s">
        <v>17</v>
      </c>
      <c r="C75" s="133" t="s">
        <v>309</v>
      </c>
      <c r="D75" s="140" t="s">
        <v>5040</v>
      </c>
      <c r="E75" s="133">
        <v>22219288</v>
      </c>
      <c r="F75" s="142" t="s">
        <v>5048</v>
      </c>
      <c r="G75" s="150">
        <v>15647471</v>
      </c>
      <c r="H75" s="133"/>
      <c r="I75" s="133"/>
      <c r="J75" s="143" t="s">
        <v>5049</v>
      </c>
      <c r="K75" s="144" t="s">
        <v>5046</v>
      </c>
      <c r="L75" s="144" t="s">
        <v>5072</v>
      </c>
      <c r="M75" s="144" t="s">
        <v>5059</v>
      </c>
      <c r="N75" s="145" t="s">
        <v>5187</v>
      </c>
      <c r="O75" s="145" t="s">
        <v>5052</v>
      </c>
      <c r="P75" s="145" t="s">
        <v>5059</v>
      </c>
      <c r="Q75" s="132"/>
      <c r="R75" s="149"/>
      <c r="S75" s="133" t="s">
        <v>5270</v>
      </c>
      <c r="T75" s="133" t="s">
        <v>5054</v>
      </c>
      <c r="U75" s="133"/>
      <c r="V75" s="133" t="s">
        <v>5271</v>
      </c>
    </row>
    <row r="76" spans="1:22" ht="16" x14ac:dyDescent="0.2">
      <c r="A76" s="133" t="s">
        <v>310</v>
      </c>
      <c r="B76" s="133" t="s">
        <v>17</v>
      </c>
      <c r="C76" s="133" t="s">
        <v>313</v>
      </c>
      <c r="D76" s="140" t="s">
        <v>5048</v>
      </c>
      <c r="E76" s="133">
        <v>12628187</v>
      </c>
      <c r="F76" s="142" t="s">
        <v>5040</v>
      </c>
      <c r="G76" s="133">
        <v>17027967</v>
      </c>
      <c r="H76" s="133"/>
      <c r="I76" s="133"/>
      <c r="J76" s="143" t="s">
        <v>5152</v>
      </c>
      <c r="K76" s="144" t="s">
        <v>5046</v>
      </c>
      <c r="L76" s="144" t="s">
        <v>5272</v>
      </c>
      <c r="M76" s="144" t="s">
        <v>5059</v>
      </c>
      <c r="N76" s="145" t="s">
        <v>5044</v>
      </c>
      <c r="O76" s="145" t="s">
        <v>5273</v>
      </c>
      <c r="P76" s="145" t="s">
        <v>5046</v>
      </c>
      <c r="Q76" s="132"/>
      <c r="R76" s="146" t="s">
        <v>5047</v>
      </c>
      <c r="S76" s="133" t="s">
        <v>5040</v>
      </c>
      <c r="T76" s="133"/>
      <c r="U76" s="133" t="s">
        <v>5067</v>
      </c>
      <c r="V76" s="133"/>
    </row>
    <row r="77" spans="1:22" ht="16" x14ac:dyDescent="0.2">
      <c r="A77" s="133" t="s">
        <v>314</v>
      </c>
      <c r="B77" s="133" t="s">
        <v>17</v>
      </c>
      <c r="C77" s="133" t="s">
        <v>317</v>
      </c>
      <c r="D77" s="140" t="s">
        <v>5048</v>
      </c>
      <c r="E77" s="133">
        <v>19004829</v>
      </c>
      <c r="F77" s="142" t="s">
        <v>5070</v>
      </c>
      <c r="G77" s="155">
        <v>27669437</v>
      </c>
      <c r="H77" s="133"/>
      <c r="I77" s="133"/>
      <c r="J77" s="143" t="s">
        <v>5274</v>
      </c>
      <c r="K77" s="144" t="s">
        <v>5046</v>
      </c>
      <c r="L77" s="144" t="s">
        <v>5275</v>
      </c>
      <c r="M77" s="144" t="s">
        <v>5059</v>
      </c>
      <c r="N77" s="145" t="s">
        <v>5187</v>
      </c>
      <c r="O77" s="145" t="s">
        <v>5052</v>
      </c>
      <c r="P77" s="145" t="s">
        <v>5059</v>
      </c>
      <c r="Q77" s="132"/>
      <c r="R77" s="149"/>
      <c r="S77" s="133" t="s">
        <v>5202</v>
      </c>
      <c r="T77" s="133"/>
      <c r="U77" s="133" t="s">
        <v>5276</v>
      </c>
      <c r="V77" s="133" t="s">
        <v>5203</v>
      </c>
    </row>
    <row r="78" spans="1:22" ht="16" x14ac:dyDescent="0.2">
      <c r="A78" s="133" t="s">
        <v>318</v>
      </c>
      <c r="B78" s="133" t="s">
        <v>17</v>
      </c>
      <c r="C78" s="133" t="s">
        <v>321</v>
      </c>
      <c r="D78" s="140" t="s">
        <v>5040</v>
      </c>
      <c r="E78" s="150">
        <v>17196961</v>
      </c>
      <c r="F78" s="142"/>
      <c r="G78" s="133"/>
      <c r="H78" s="133"/>
      <c r="I78" s="133"/>
      <c r="J78" s="143" t="s">
        <v>5040</v>
      </c>
      <c r="K78" s="144" t="s">
        <v>5041</v>
      </c>
      <c r="L78" s="144" t="s">
        <v>5277</v>
      </c>
      <c r="M78" s="144" t="s">
        <v>5041</v>
      </c>
      <c r="N78" s="145" t="s">
        <v>5051</v>
      </c>
      <c r="O78" s="145" t="s">
        <v>5052</v>
      </c>
      <c r="P78" s="145" t="s">
        <v>5041</v>
      </c>
      <c r="Q78" s="132"/>
      <c r="R78" s="149"/>
      <c r="S78" s="133" t="s">
        <v>5093</v>
      </c>
      <c r="T78" s="133"/>
      <c r="U78" s="133"/>
      <c r="V78" s="133" t="s">
        <v>5278</v>
      </c>
    </row>
    <row r="79" spans="1:22" ht="16" x14ac:dyDescent="0.2">
      <c r="A79" s="133" t="s">
        <v>322</v>
      </c>
      <c r="B79" s="133" t="s">
        <v>17</v>
      </c>
      <c r="C79" s="133" t="s">
        <v>5279</v>
      </c>
      <c r="D79" s="140" t="s">
        <v>5048</v>
      </c>
      <c r="E79" s="150">
        <v>16982419</v>
      </c>
      <c r="F79" s="142"/>
      <c r="G79" s="150"/>
      <c r="H79" s="133"/>
      <c r="I79" s="150"/>
      <c r="J79" s="143" t="s">
        <v>5048</v>
      </c>
      <c r="K79" s="144" t="s">
        <v>5059</v>
      </c>
      <c r="L79" s="144" t="s">
        <v>5280</v>
      </c>
      <c r="M79" s="144" t="s">
        <v>5059</v>
      </c>
      <c r="N79" s="145" t="s">
        <v>5077</v>
      </c>
      <c r="O79" s="145"/>
      <c r="P79" s="145" t="s">
        <v>5043</v>
      </c>
      <c r="Q79" s="132"/>
      <c r="R79" s="149"/>
      <c r="S79" s="133" t="s">
        <v>5093</v>
      </c>
      <c r="T79" s="133"/>
      <c r="U79" s="133"/>
      <c r="V79" s="133" t="s">
        <v>5278</v>
      </c>
    </row>
    <row r="80" spans="1:22" ht="16" x14ac:dyDescent="0.2">
      <c r="A80" s="133" t="s">
        <v>325</v>
      </c>
      <c r="B80" s="133" t="s">
        <v>17</v>
      </c>
      <c r="C80" s="133" t="s">
        <v>328</v>
      </c>
      <c r="D80" s="140" t="s">
        <v>5048</v>
      </c>
      <c r="E80" s="150">
        <v>15304341</v>
      </c>
      <c r="F80" s="142"/>
      <c r="G80" s="150"/>
      <c r="H80" s="133"/>
      <c r="I80" s="150"/>
      <c r="J80" s="143" t="s">
        <v>5048</v>
      </c>
      <c r="K80" s="144" t="s">
        <v>5059</v>
      </c>
      <c r="L80" s="144" t="s">
        <v>5281</v>
      </c>
      <c r="M80" s="144" t="s">
        <v>5046</v>
      </c>
      <c r="N80" s="145" t="s">
        <v>5044</v>
      </c>
      <c r="O80" s="145" t="s">
        <v>5282</v>
      </c>
      <c r="P80" s="145" t="s">
        <v>5046</v>
      </c>
      <c r="Q80" s="132"/>
      <c r="R80" s="149"/>
      <c r="S80" s="133" t="s">
        <v>5093</v>
      </c>
      <c r="T80" s="133"/>
      <c r="U80" s="133"/>
      <c r="V80" s="133" t="s">
        <v>5283</v>
      </c>
    </row>
    <row r="81" spans="1:22" ht="16" x14ac:dyDescent="0.2">
      <c r="A81" s="133" t="s">
        <v>329</v>
      </c>
      <c r="B81" s="133" t="s">
        <v>17</v>
      </c>
      <c r="C81" s="133" t="s">
        <v>332</v>
      </c>
      <c r="D81" s="140" t="s">
        <v>5095</v>
      </c>
      <c r="E81" s="133"/>
      <c r="F81" s="142"/>
      <c r="G81" s="133"/>
      <c r="H81" s="133"/>
      <c r="I81" s="133"/>
      <c r="J81" s="143" t="s">
        <v>5095</v>
      </c>
      <c r="K81" s="144" t="s">
        <v>5043</v>
      </c>
      <c r="L81" s="144" t="s">
        <v>5284</v>
      </c>
      <c r="M81" s="144" t="s">
        <v>5059</v>
      </c>
      <c r="N81" s="145" t="s">
        <v>5077</v>
      </c>
      <c r="O81" s="145"/>
      <c r="P81" s="145" t="s">
        <v>5043</v>
      </c>
      <c r="Q81" s="132"/>
      <c r="R81" s="149"/>
      <c r="S81" s="133" t="s">
        <v>5040</v>
      </c>
      <c r="T81" s="133"/>
      <c r="U81" s="133"/>
      <c r="V81" s="133"/>
    </row>
    <row r="82" spans="1:22" ht="16" x14ac:dyDescent="0.2">
      <c r="A82" s="145" t="s">
        <v>333</v>
      </c>
      <c r="B82" s="145" t="s">
        <v>17</v>
      </c>
      <c r="C82" s="133" t="s">
        <v>336</v>
      </c>
      <c r="D82" s="140" t="s">
        <v>5095</v>
      </c>
      <c r="E82" s="133"/>
      <c r="F82" s="142"/>
      <c r="G82" s="133"/>
      <c r="H82" s="133"/>
      <c r="I82" s="133"/>
      <c r="J82" s="143" t="s">
        <v>5095</v>
      </c>
      <c r="K82" s="144" t="s">
        <v>5043</v>
      </c>
      <c r="L82" s="144" t="s">
        <v>5285</v>
      </c>
      <c r="M82" s="144" t="s">
        <v>5059</v>
      </c>
      <c r="N82" s="145" t="s">
        <v>5051</v>
      </c>
      <c r="O82" s="145" t="s">
        <v>5045</v>
      </c>
      <c r="P82" s="145" t="s">
        <v>5059</v>
      </c>
      <c r="Q82" s="132"/>
      <c r="R82" s="149"/>
      <c r="S82" s="133" t="s">
        <v>5286</v>
      </c>
      <c r="T82" s="133"/>
      <c r="U82" s="133"/>
      <c r="V82" s="133" t="s">
        <v>5287</v>
      </c>
    </row>
    <row r="83" spans="1:22" ht="16" x14ac:dyDescent="0.2">
      <c r="A83" s="145" t="s">
        <v>338</v>
      </c>
      <c r="B83" s="145" t="s">
        <v>17</v>
      </c>
      <c r="C83" s="133" t="s">
        <v>341</v>
      </c>
      <c r="D83" s="140" t="s">
        <v>5040</v>
      </c>
      <c r="E83" s="133">
        <v>16968698</v>
      </c>
      <c r="F83" s="142"/>
      <c r="G83" s="133"/>
      <c r="H83" s="133"/>
      <c r="I83" s="133"/>
      <c r="J83" s="143" t="s">
        <v>5040</v>
      </c>
      <c r="K83" s="144" t="s">
        <v>5041</v>
      </c>
      <c r="L83" s="144" t="s">
        <v>5042</v>
      </c>
      <c r="M83" s="144" t="s">
        <v>5043</v>
      </c>
      <c r="N83" s="145" t="s">
        <v>5044</v>
      </c>
      <c r="O83" s="145" t="s">
        <v>5288</v>
      </c>
      <c r="P83" s="145" t="s">
        <v>5059</v>
      </c>
      <c r="Q83" s="132"/>
      <c r="R83" s="149"/>
      <c r="S83" s="133" t="s">
        <v>5040</v>
      </c>
      <c r="T83" s="133"/>
      <c r="U83" s="133"/>
      <c r="V83" s="133"/>
    </row>
    <row r="84" spans="1:22" ht="16" x14ac:dyDescent="0.2">
      <c r="A84" s="145" t="s">
        <v>343</v>
      </c>
      <c r="B84" s="145" t="s">
        <v>17</v>
      </c>
      <c r="C84" s="133" t="s">
        <v>346</v>
      </c>
      <c r="D84" s="140" t="s">
        <v>5120</v>
      </c>
      <c r="E84" s="155">
        <v>10579713</v>
      </c>
      <c r="F84" s="142" t="s">
        <v>5086</v>
      </c>
      <c r="G84" s="155">
        <v>15254234</v>
      </c>
      <c r="H84" s="133"/>
      <c r="I84" s="133"/>
      <c r="J84" s="143" t="s">
        <v>5289</v>
      </c>
      <c r="K84" s="144" t="s">
        <v>5041</v>
      </c>
      <c r="L84" s="144" t="s">
        <v>5290</v>
      </c>
      <c r="M84" s="144" t="s">
        <v>5046</v>
      </c>
      <c r="N84" s="145" t="s">
        <v>5187</v>
      </c>
      <c r="O84" s="145" t="s">
        <v>5114</v>
      </c>
      <c r="P84" s="145" t="s">
        <v>5046</v>
      </c>
      <c r="Q84" s="132"/>
      <c r="R84" s="149"/>
      <c r="S84" s="133" t="s">
        <v>5192</v>
      </c>
      <c r="T84" s="133"/>
      <c r="U84" s="133"/>
      <c r="V84" s="133" t="s">
        <v>5291</v>
      </c>
    </row>
    <row r="85" spans="1:22" ht="16" x14ac:dyDescent="0.2">
      <c r="A85" s="145" t="s">
        <v>347</v>
      </c>
      <c r="B85" s="145" t="s">
        <v>17</v>
      </c>
      <c r="C85" s="133" t="s">
        <v>350</v>
      </c>
      <c r="D85" s="140" t="s">
        <v>5095</v>
      </c>
      <c r="E85" s="133"/>
      <c r="F85" s="142"/>
      <c r="G85" s="133"/>
      <c r="H85" s="133"/>
      <c r="I85" s="133"/>
      <c r="J85" s="143" t="s">
        <v>5095</v>
      </c>
      <c r="K85" s="144" t="s">
        <v>5043</v>
      </c>
      <c r="L85" s="144" t="s">
        <v>5042</v>
      </c>
      <c r="M85" s="144" t="s">
        <v>5043</v>
      </c>
      <c r="N85" s="145" t="s">
        <v>5077</v>
      </c>
      <c r="O85" s="145"/>
      <c r="P85" s="145" t="s">
        <v>5043</v>
      </c>
      <c r="Q85" s="132"/>
      <c r="R85" s="149"/>
      <c r="S85" s="133" t="s">
        <v>5202</v>
      </c>
      <c r="T85" s="133" t="s">
        <v>5054</v>
      </c>
      <c r="U85" s="133"/>
      <c r="V85" s="133" t="s">
        <v>5292</v>
      </c>
    </row>
    <row r="86" spans="1:22" ht="16" x14ac:dyDescent="0.2">
      <c r="A86" s="145" t="s">
        <v>351</v>
      </c>
      <c r="B86" s="145" t="s">
        <v>28</v>
      </c>
      <c r="C86" s="133" t="s">
        <v>5293</v>
      </c>
      <c r="D86" s="140" t="s">
        <v>5120</v>
      </c>
      <c r="E86" s="133">
        <v>25609086</v>
      </c>
      <c r="F86" s="142"/>
      <c r="G86" s="133"/>
      <c r="H86" s="133"/>
      <c r="I86" s="133"/>
      <c r="J86" s="143" t="s">
        <v>5120</v>
      </c>
      <c r="K86" s="144" t="s">
        <v>5059</v>
      </c>
      <c r="L86" s="144" t="s">
        <v>5042</v>
      </c>
      <c r="M86" s="144" t="s">
        <v>5043</v>
      </c>
      <c r="N86" s="145" t="s">
        <v>5044</v>
      </c>
      <c r="O86" s="145" t="s">
        <v>5294</v>
      </c>
      <c r="P86" s="145" t="s">
        <v>5046</v>
      </c>
      <c r="Q86" s="132"/>
      <c r="R86" s="149"/>
      <c r="S86" s="133" t="s">
        <v>5040</v>
      </c>
      <c r="T86" s="133" t="s">
        <v>5054</v>
      </c>
      <c r="U86" s="133"/>
      <c r="V86" s="133" t="s">
        <v>5295</v>
      </c>
    </row>
    <row r="87" spans="1:22" ht="16" x14ac:dyDescent="0.2">
      <c r="A87" s="145" t="s">
        <v>354</v>
      </c>
      <c r="B87" s="145" t="s">
        <v>34</v>
      </c>
      <c r="C87" s="133" t="s">
        <v>357</v>
      </c>
      <c r="D87" s="140" t="s">
        <v>5095</v>
      </c>
      <c r="E87" s="133"/>
      <c r="F87" s="142"/>
      <c r="G87" s="133"/>
      <c r="H87" s="133"/>
      <c r="I87" s="133"/>
      <c r="J87" s="143" t="s">
        <v>5095</v>
      </c>
      <c r="K87" s="144" t="s">
        <v>5043</v>
      </c>
      <c r="L87" s="144" t="s">
        <v>5042</v>
      </c>
      <c r="M87" s="144" t="s">
        <v>5043</v>
      </c>
      <c r="N87" s="145" t="s">
        <v>5044</v>
      </c>
      <c r="O87" s="145" t="s">
        <v>5208</v>
      </c>
      <c r="P87" s="145" t="s">
        <v>5059</v>
      </c>
      <c r="Q87" s="132"/>
      <c r="R87" s="149"/>
      <c r="S87" s="133" t="s">
        <v>5040</v>
      </c>
      <c r="T87" s="133"/>
      <c r="U87" s="133"/>
      <c r="V87" s="133"/>
    </row>
    <row r="88" spans="1:22" ht="16" x14ac:dyDescent="0.2">
      <c r="A88" s="145" t="s">
        <v>358</v>
      </c>
      <c r="B88" s="145" t="s">
        <v>17</v>
      </c>
      <c r="C88" s="133" t="s">
        <v>361</v>
      </c>
      <c r="D88" s="140" t="s">
        <v>5040</v>
      </c>
      <c r="E88" s="133">
        <v>23209303</v>
      </c>
      <c r="F88" s="142"/>
      <c r="G88" s="133"/>
      <c r="H88" s="133"/>
      <c r="I88" s="133"/>
      <c r="J88" s="143" t="s">
        <v>5040</v>
      </c>
      <c r="K88" s="144" t="s">
        <v>5059</v>
      </c>
      <c r="L88" s="144" t="s">
        <v>5296</v>
      </c>
      <c r="M88" s="144" t="s">
        <v>5041</v>
      </c>
      <c r="N88" s="145" t="s">
        <v>5051</v>
      </c>
      <c r="O88" s="145" t="s">
        <v>5052</v>
      </c>
      <c r="P88" s="145" t="s">
        <v>5059</v>
      </c>
      <c r="Q88" s="132"/>
      <c r="R88" s="146" t="s">
        <v>5053</v>
      </c>
      <c r="S88" s="133" t="s">
        <v>5048</v>
      </c>
      <c r="T88" s="133" t="s">
        <v>5054</v>
      </c>
      <c r="U88" s="133"/>
      <c r="V88" s="133" t="s">
        <v>5297</v>
      </c>
    </row>
    <row r="89" spans="1:22" ht="16" x14ac:dyDescent="0.2">
      <c r="A89" s="145" t="s">
        <v>362</v>
      </c>
      <c r="B89" s="145" t="s">
        <v>17</v>
      </c>
      <c r="C89" s="133" t="s">
        <v>365</v>
      </c>
      <c r="D89" s="140" t="s">
        <v>5040</v>
      </c>
      <c r="E89" s="133">
        <v>12351724</v>
      </c>
      <c r="F89" s="142"/>
      <c r="G89" s="133"/>
      <c r="H89" s="133"/>
      <c r="I89" s="133"/>
      <c r="J89" s="143" t="s">
        <v>5040</v>
      </c>
      <c r="K89" s="144" t="s">
        <v>5059</v>
      </c>
      <c r="L89" s="144" t="s">
        <v>5042</v>
      </c>
      <c r="M89" s="144" t="s">
        <v>5043</v>
      </c>
      <c r="N89" s="145" t="s">
        <v>5044</v>
      </c>
      <c r="O89" s="145" t="s">
        <v>5052</v>
      </c>
      <c r="P89" s="145" t="s">
        <v>5059</v>
      </c>
      <c r="Q89" s="132"/>
      <c r="R89" s="149"/>
      <c r="S89" s="133" t="s">
        <v>5240</v>
      </c>
      <c r="T89" s="133"/>
      <c r="U89" s="133"/>
      <c r="V89" s="133" t="s">
        <v>5298</v>
      </c>
    </row>
    <row r="90" spans="1:22" ht="16" x14ac:dyDescent="0.2">
      <c r="A90" s="145" t="s">
        <v>366</v>
      </c>
      <c r="B90" s="145" t="s">
        <v>17</v>
      </c>
      <c r="C90" s="133" t="s">
        <v>369</v>
      </c>
      <c r="D90" s="152" t="s">
        <v>5299</v>
      </c>
      <c r="E90" s="150">
        <v>11181572</v>
      </c>
      <c r="F90" s="142" t="s">
        <v>5062</v>
      </c>
      <c r="G90" s="133">
        <v>19261807</v>
      </c>
      <c r="H90" s="133"/>
      <c r="I90" s="141"/>
      <c r="J90" s="143" t="s">
        <v>5299</v>
      </c>
      <c r="K90" s="144" t="s">
        <v>5046</v>
      </c>
      <c r="L90" s="144" t="s">
        <v>5300</v>
      </c>
      <c r="M90" s="144" t="s">
        <v>5046</v>
      </c>
      <c r="N90" s="145" t="s">
        <v>5044</v>
      </c>
      <c r="O90" s="145" t="s">
        <v>5138</v>
      </c>
      <c r="P90" s="145" t="s">
        <v>5059</v>
      </c>
      <c r="Q90" s="132"/>
      <c r="R90" s="149"/>
      <c r="S90" s="133" t="s">
        <v>5063</v>
      </c>
      <c r="T90" s="133"/>
      <c r="U90" s="133"/>
      <c r="V90" s="133" t="s">
        <v>5301</v>
      </c>
    </row>
    <row r="91" spans="1:22" ht="16" x14ac:dyDescent="0.2">
      <c r="A91" s="145" t="s">
        <v>370</v>
      </c>
      <c r="B91" s="145" t="s">
        <v>17</v>
      </c>
      <c r="C91" s="133" t="s">
        <v>373</v>
      </c>
      <c r="D91" s="140" t="s">
        <v>5302</v>
      </c>
      <c r="E91" s="133">
        <v>18838382</v>
      </c>
      <c r="F91" s="142"/>
      <c r="G91" s="133"/>
      <c r="H91" s="133"/>
      <c r="I91" s="133"/>
      <c r="J91" s="143" t="s">
        <v>5302</v>
      </c>
      <c r="K91" s="144" t="s">
        <v>5059</v>
      </c>
      <c r="L91" s="144" t="s">
        <v>5303</v>
      </c>
      <c r="M91" s="144" t="s">
        <v>5046</v>
      </c>
      <c r="N91" s="145" t="s">
        <v>5077</v>
      </c>
      <c r="O91" s="145"/>
      <c r="P91" s="145" t="s">
        <v>5043</v>
      </c>
      <c r="Q91" s="132"/>
      <c r="R91" s="149"/>
      <c r="S91" s="133" t="s">
        <v>5063</v>
      </c>
      <c r="T91" s="133" t="s">
        <v>5054</v>
      </c>
      <c r="U91" s="133"/>
      <c r="V91" s="133" t="s">
        <v>5304</v>
      </c>
    </row>
    <row r="92" spans="1:22" ht="16" x14ac:dyDescent="0.2">
      <c r="A92" s="145" t="s">
        <v>374</v>
      </c>
      <c r="B92" s="145" t="s">
        <v>17</v>
      </c>
      <c r="C92" s="133" t="s">
        <v>377</v>
      </c>
      <c r="D92" s="140" t="s">
        <v>5095</v>
      </c>
      <c r="E92" s="133"/>
      <c r="F92" s="142"/>
      <c r="G92" s="133"/>
      <c r="H92" s="133"/>
      <c r="I92" s="133"/>
      <c r="J92" s="143" t="s">
        <v>5095</v>
      </c>
      <c r="K92" s="144" t="s">
        <v>5043</v>
      </c>
      <c r="L92" s="144" t="s">
        <v>5305</v>
      </c>
      <c r="M92" s="144" t="s">
        <v>5046</v>
      </c>
      <c r="N92" s="145" t="s">
        <v>5044</v>
      </c>
      <c r="O92" s="145" t="s">
        <v>5114</v>
      </c>
      <c r="P92" s="145" t="s">
        <v>5046</v>
      </c>
      <c r="Q92" s="132"/>
      <c r="R92" s="149"/>
      <c r="S92" s="133" t="s">
        <v>5040</v>
      </c>
      <c r="T92" s="133"/>
      <c r="U92" s="133"/>
      <c r="V92" s="133" t="s">
        <v>5068</v>
      </c>
    </row>
    <row r="93" spans="1:22" ht="16" x14ac:dyDescent="0.2">
      <c r="A93" s="145" t="s">
        <v>378</v>
      </c>
      <c r="B93" s="145" t="s">
        <v>17</v>
      </c>
      <c r="C93" s="133" t="s">
        <v>381</v>
      </c>
      <c r="D93" s="140" t="s">
        <v>5063</v>
      </c>
      <c r="E93" s="155">
        <v>19618964</v>
      </c>
      <c r="F93" s="142"/>
      <c r="G93" s="133"/>
      <c r="H93" s="133"/>
      <c r="I93" s="133"/>
      <c r="J93" s="143" t="s">
        <v>5063</v>
      </c>
      <c r="K93" s="144" t="s">
        <v>5046</v>
      </c>
      <c r="L93" s="144" t="s">
        <v>5306</v>
      </c>
      <c r="M93" s="144" t="s">
        <v>5046</v>
      </c>
      <c r="N93" s="145" t="s">
        <v>5051</v>
      </c>
      <c r="O93" s="145" t="s">
        <v>5307</v>
      </c>
      <c r="P93" s="145" t="s">
        <v>5046</v>
      </c>
      <c r="Q93" s="132"/>
      <c r="R93" s="146" t="s">
        <v>5047</v>
      </c>
      <c r="S93" s="133" t="s">
        <v>5308</v>
      </c>
      <c r="T93" s="133" t="s">
        <v>5054</v>
      </c>
      <c r="U93" s="133"/>
      <c r="V93" s="133" t="s">
        <v>5309</v>
      </c>
    </row>
    <row r="94" spans="1:22" ht="16" x14ac:dyDescent="0.2">
      <c r="A94" s="145" t="s">
        <v>382</v>
      </c>
      <c r="B94" s="145" t="s">
        <v>17</v>
      </c>
      <c r="C94" s="133" t="s">
        <v>385</v>
      </c>
      <c r="D94" s="152" t="s">
        <v>5310</v>
      </c>
      <c r="E94" s="150">
        <v>22328776</v>
      </c>
      <c r="F94" s="142"/>
      <c r="G94" s="133"/>
      <c r="H94" s="133"/>
      <c r="I94" s="133"/>
      <c r="J94" s="143" t="s">
        <v>5310</v>
      </c>
      <c r="K94" s="144" t="s">
        <v>5059</v>
      </c>
      <c r="L94" s="144" t="s">
        <v>5311</v>
      </c>
      <c r="M94" s="144" t="s">
        <v>5046</v>
      </c>
      <c r="N94" s="145" t="s">
        <v>5077</v>
      </c>
      <c r="O94" s="145"/>
      <c r="P94" s="145" t="s">
        <v>5043</v>
      </c>
      <c r="Q94" s="132"/>
      <c r="R94" s="146" t="s">
        <v>5047</v>
      </c>
      <c r="S94" s="133" t="s">
        <v>5048</v>
      </c>
      <c r="T94" s="133"/>
      <c r="U94" s="133"/>
      <c r="V94" s="133"/>
    </row>
    <row r="95" spans="1:22" ht="16" x14ac:dyDescent="0.2">
      <c r="A95" s="145" t="s">
        <v>386</v>
      </c>
      <c r="B95" s="145" t="s">
        <v>17</v>
      </c>
      <c r="C95" s="133" t="s">
        <v>389</v>
      </c>
      <c r="D95" s="156" t="s">
        <v>5312</v>
      </c>
      <c r="E95" s="133">
        <v>24821726</v>
      </c>
      <c r="F95" s="142"/>
      <c r="G95" s="133"/>
      <c r="H95" s="133"/>
      <c r="I95" s="133"/>
      <c r="J95" s="143" t="s">
        <v>5312</v>
      </c>
      <c r="K95" s="144" t="s">
        <v>5059</v>
      </c>
      <c r="L95" s="144" t="s">
        <v>5305</v>
      </c>
      <c r="M95" s="144" t="s">
        <v>5046</v>
      </c>
      <c r="N95" s="145" t="s">
        <v>5044</v>
      </c>
      <c r="O95" s="145" t="s">
        <v>5081</v>
      </c>
      <c r="P95" s="145" t="s">
        <v>5059</v>
      </c>
      <c r="Q95" s="132"/>
      <c r="R95" s="146" t="s">
        <v>5047</v>
      </c>
      <c r="S95" s="133" t="s">
        <v>5063</v>
      </c>
      <c r="T95" s="133"/>
      <c r="U95" s="133" t="s">
        <v>5067</v>
      </c>
      <c r="V95" s="133" t="s">
        <v>5301</v>
      </c>
    </row>
    <row r="96" spans="1:22" ht="16" x14ac:dyDescent="0.2">
      <c r="A96" s="145" t="s">
        <v>390</v>
      </c>
      <c r="B96" s="145" t="s">
        <v>28</v>
      </c>
      <c r="C96" s="133" t="s">
        <v>393</v>
      </c>
      <c r="D96" s="140" t="s">
        <v>5040</v>
      </c>
      <c r="E96" s="133">
        <v>17267693</v>
      </c>
      <c r="F96" s="142"/>
      <c r="G96" s="133"/>
      <c r="H96" s="133"/>
      <c r="I96" s="133"/>
      <c r="J96" s="143" t="s">
        <v>5040</v>
      </c>
      <c r="K96" s="144" t="s">
        <v>5059</v>
      </c>
      <c r="L96" s="144" t="s">
        <v>5042</v>
      </c>
      <c r="M96" s="144" t="s">
        <v>5043</v>
      </c>
      <c r="N96" s="145" t="s">
        <v>5187</v>
      </c>
      <c r="O96" s="145" t="s">
        <v>5131</v>
      </c>
      <c r="P96" s="145" t="s">
        <v>5059</v>
      </c>
      <c r="Q96" s="132"/>
      <c r="R96" s="146" t="s">
        <v>5103</v>
      </c>
      <c r="S96" s="133" t="s">
        <v>5313</v>
      </c>
      <c r="T96" s="133" t="s">
        <v>5054</v>
      </c>
      <c r="U96" s="133"/>
      <c r="V96" s="133" t="s">
        <v>5314</v>
      </c>
    </row>
    <row r="97" spans="1:22" ht="16" x14ac:dyDescent="0.2">
      <c r="A97" s="145" t="s">
        <v>397</v>
      </c>
      <c r="B97" s="145" t="s">
        <v>34</v>
      </c>
      <c r="C97" s="133" t="s">
        <v>400</v>
      </c>
      <c r="D97" s="140" t="s">
        <v>5055</v>
      </c>
      <c r="E97" s="155">
        <v>22072788</v>
      </c>
      <c r="F97" s="142"/>
      <c r="G97" s="133"/>
      <c r="H97" s="133"/>
      <c r="I97" s="133"/>
      <c r="J97" s="143" t="s">
        <v>5055</v>
      </c>
      <c r="K97" s="144" t="s">
        <v>5041</v>
      </c>
      <c r="L97" s="144" t="s">
        <v>5315</v>
      </c>
      <c r="M97" s="144" t="s">
        <v>5046</v>
      </c>
      <c r="N97" s="145" t="s">
        <v>5044</v>
      </c>
      <c r="O97" s="145" t="s">
        <v>5052</v>
      </c>
      <c r="P97" s="145" t="s">
        <v>5059</v>
      </c>
      <c r="Q97" s="132"/>
      <c r="R97" s="149"/>
      <c r="S97" s="133" t="s">
        <v>5055</v>
      </c>
      <c r="T97" s="133"/>
      <c r="U97" s="133"/>
      <c r="V97" s="133" t="s">
        <v>5316</v>
      </c>
    </row>
    <row r="98" spans="1:22" ht="16" x14ac:dyDescent="0.2">
      <c r="A98" s="145" t="s">
        <v>401</v>
      </c>
      <c r="B98" s="145" t="s">
        <v>17</v>
      </c>
      <c r="C98" s="133" t="s">
        <v>404</v>
      </c>
      <c r="D98" s="140" t="s">
        <v>5055</v>
      </c>
      <c r="E98" s="155">
        <v>10064583</v>
      </c>
      <c r="F98" s="142"/>
      <c r="G98" s="133"/>
      <c r="H98" s="133"/>
      <c r="I98" s="133"/>
      <c r="J98" s="143" t="s">
        <v>5055</v>
      </c>
      <c r="K98" s="144" t="s">
        <v>5046</v>
      </c>
      <c r="L98" s="144" t="s">
        <v>5317</v>
      </c>
      <c r="M98" s="144" t="s">
        <v>5046</v>
      </c>
      <c r="N98" s="145" t="s">
        <v>5051</v>
      </c>
      <c r="O98" s="145" t="s">
        <v>5122</v>
      </c>
      <c r="P98" s="145" t="s">
        <v>5059</v>
      </c>
      <c r="Q98" s="132"/>
      <c r="R98" s="149"/>
      <c r="S98" s="133" t="s">
        <v>5318</v>
      </c>
      <c r="T98" s="133"/>
      <c r="U98" s="133"/>
      <c r="V98" s="133" t="s">
        <v>5319</v>
      </c>
    </row>
    <row r="99" spans="1:22" ht="16" x14ac:dyDescent="0.2">
      <c r="A99" s="145" t="s">
        <v>405</v>
      </c>
      <c r="B99" s="145" t="s">
        <v>17</v>
      </c>
      <c r="C99" s="133" t="s">
        <v>408</v>
      </c>
      <c r="D99" s="140" t="s">
        <v>5055</v>
      </c>
      <c r="E99" s="155">
        <v>11748279</v>
      </c>
      <c r="F99" s="142"/>
      <c r="G99" s="133"/>
      <c r="H99" s="133"/>
      <c r="I99" s="133"/>
      <c r="J99" s="143" t="s">
        <v>5055</v>
      </c>
      <c r="K99" s="144" t="s">
        <v>5046</v>
      </c>
      <c r="L99" s="144" t="s">
        <v>5080</v>
      </c>
      <c r="M99" s="144" t="s">
        <v>5059</v>
      </c>
      <c r="N99" s="145" t="s">
        <v>5044</v>
      </c>
      <c r="O99" s="145" t="s">
        <v>5320</v>
      </c>
      <c r="P99" s="145" t="s">
        <v>5046</v>
      </c>
      <c r="Q99" s="132"/>
      <c r="R99" s="146" t="s">
        <v>5053</v>
      </c>
      <c r="S99" s="133" t="s">
        <v>5321</v>
      </c>
      <c r="T99" s="133"/>
      <c r="U99" s="133"/>
      <c r="V99" s="133" t="s">
        <v>5322</v>
      </c>
    </row>
    <row r="100" spans="1:22" ht="16" x14ac:dyDescent="0.2">
      <c r="A100" s="145" t="s">
        <v>409</v>
      </c>
      <c r="B100" s="145" t="s">
        <v>17</v>
      </c>
      <c r="C100" s="133" t="s">
        <v>413</v>
      </c>
      <c r="D100" s="152" t="s">
        <v>5063</v>
      </c>
      <c r="E100" s="133">
        <v>10023074</v>
      </c>
      <c r="F100" s="142" t="s">
        <v>5062</v>
      </c>
      <c r="G100" s="133">
        <v>9915831</v>
      </c>
      <c r="H100" s="142" t="s">
        <v>5055</v>
      </c>
      <c r="I100" s="133">
        <v>19534784</v>
      </c>
      <c r="J100" s="143" t="s">
        <v>5323</v>
      </c>
      <c r="K100" s="144" t="s">
        <v>5059</v>
      </c>
      <c r="L100" s="144" t="s">
        <v>5324</v>
      </c>
      <c r="M100" s="144" t="s">
        <v>5059</v>
      </c>
      <c r="N100" s="145" t="s">
        <v>5051</v>
      </c>
      <c r="O100" s="145" t="s">
        <v>5045</v>
      </c>
      <c r="P100" s="145" t="s">
        <v>5059</v>
      </c>
      <c r="Q100" s="132"/>
      <c r="R100" s="146" t="s">
        <v>5047</v>
      </c>
      <c r="S100" s="133" t="s">
        <v>5325</v>
      </c>
      <c r="T100" s="133"/>
      <c r="U100" s="133"/>
      <c r="V100" s="133" t="s">
        <v>5319</v>
      </c>
    </row>
    <row r="101" spans="1:22" ht="16" x14ac:dyDescent="0.2">
      <c r="A101" s="145" t="s">
        <v>414</v>
      </c>
      <c r="B101" s="145" t="s">
        <v>17</v>
      </c>
      <c r="C101" s="133" t="s">
        <v>417</v>
      </c>
      <c r="D101" s="140" t="s">
        <v>5048</v>
      </c>
      <c r="E101" s="150">
        <v>11907027</v>
      </c>
      <c r="F101" s="142" t="s">
        <v>5326</v>
      </c>
      <c r="G101" s="150">
        <v>15157669</v>
      </c>
      <c r="H101" s="133"/>
      <c r="I101" s="133"/>
      <c r="J101" s="143" t="s">
        <v>5327</v>
      </c>
      <c r="K101" s="144" t="s">
        <v>5046</v>
      </c>
      <c r="L101" s="144" t="s">
        <v>5328</v>
      </c>
      <c r="M101" s="144" t="s">
        <v>5046</v>
      </c>
      <c r="N101" s="145" t="s">
        <v>5077</v>
      </c>
      <c r="O101" s="145"/>
      <c r="P101" s="145" t="s">
        <v>5043</v>
      </c>
      <c r="Q101" s="132"/>
      <c r="R101" s="146" t="s">
        <v>5053</v>
      </c>
      <c r="S101" s="133" t="s">
        <v>5329</v>
      </c>
      <c r="T101" s="133"/>
      <c r="U101" s="133"/>
      <c r="V101" s="133" t="s">
        <v>5330</v>
      </c>
    </row>
    <row r="102" spans="1:22" ht="16" x14ac:dyDescent="0.2">
      <c r="A102" s="145" t="s">
        <v>418</v>
      </c>
      <c r="B102" s="145" t="s">
        <v>17</v>
      </c>
      <c r="C102" s="133" t="s">
        <v>421</v>
      </c>
      <c r="D102" s="140" t="s">
        <v>5062</v>
      </c>
      <c r="E102" s="150">
        <v>25483302</v>
      </c>
      <c r="F102" s="142"/>
      <c r="G102" s="150"/>
      <c r="H102" s="133"/>
      <c r="I102" s="150"/>
      <c r="J102" s="143" t="s">
        <v>5062</v>
      </c>
      <c r="K102" s="144" t="s">
        <v>5059</v>
      </c>
      <c r="L102" s="144" t="s">
        <v>5331</v>
      </c>
      <c r="M102" s="144" t="s">
        <v>5046</v>
      </c>
      <c r="N102" s="145" t="s">
        <v>5077</v>
      </c>
      <c r="O102" s="145"/>
      <c r="P102" s="145" t="s">
        <v>5043</v>
      </c>
      <c r="Q102" s="132"/>
      <c r="R102" s="149"/>
      <c r="S102" s="133" t="s">
        <v>5332</v>
      </c>
      <c r="T102" s="133" t="s">
        <v>5054</v>
      </c>
      <c r="U102" s="133"/>
      <c r="V102" s="133" t="s">
        <v>5333</v>
      </c>
    </row>
    <row r="103" spans="1:22" ht="16" x14ac:dyDescent="0.2">
      <c r="A103" s="145" t="s">
        <v>422</v>
      </c>
      <c r="B103" s="145" t="s">
        <v>17</v>
      </c>
      <c r="C103" s="133" t="s">
        <v>425</v>
      </c>
      <c r="D103" s="140" t="s">
        <v>5095</v>
      </c>
      <c r="E103" s="133"/>
      <c r="F103" s="142"/>
      <c r="G103" s="133"/>
      <c r="H103" s="133"/>
      <c r="I103" s="133"/>
      <c r="J103" s="143" t="s">
        <v>5095</v>
      </c>
      <c r="K103" s="144" t="s">
        <v>5043</v>
      </c>
      <c r="L103" s="144" t="s">
        <v>5042</v>
      </c>
      <c r="M103" s="144" t="s">
        <v>5043</v>
      </c>
      <c r="N103" s="145" t="s">
        <v>5044</v>
      </c>
      <c r="O103" s="145" t="s">
        <v>5138</v>
      </c>
      <c r="P103" s="145" t="s">
        <v>5046</v>
      </c>
      <c r="Q103" s="132"/>
      <c r="R103" s="149"/>
      <c r="S103" s="133" t="s">
        <v>5173</v>
      </c>
      <c r="T103" s="133" t="s">
        <v>5054</v>
      </c>
      <c r="U103" s="133"/>
      <c r="V103" s="133" t="s">
        <v>5334</v>
      </c>
    </row>
    <row r="104" spans="1:22" ht="16" x14ac:dyDescent="0.2">
      <c r="A104" s="145" t="s">
        <v>426</v>
      </c>
      <c r="B104" s="145" t="s">
        <v>28</v>
      </c>
      <c r="C104" s="133" t="s">
        <v>429</v>
      </c>
      <c r="D104" s="140" t="s">
        <v>5086</v>
      </c>
      <c r="E104" s="157">
        <v>19828736</v>
      </c>
      <c r="F104" s="142"/>
      <c r="G104" s="133"/>
      <c r="H104" s="133"/>
      <c r="I104" s="133"/>
      <c r="J104" s="143" t="s">
        <v>5086</v>
      </c>
      <c r="K104" s="144" t="s">
        <v>5059</v>
      </c>
      <c r="L104" s="144" t="s">
        <v>5335</v>
      </c>
      <c r="M104" s="144" t="s">
        <v>5059</v>
      </c>
      <c r="N104" s="145" t="s">
        <v>5044</v>
      </c>
      <c r="O104" s="145" t="s">
        <v>5122</v>
      </c>
      <c r="P104" s="145" t="s">
        <v>5059</v>
      </c>
      <c r="Q104" s="132"/>
      <c r="R104" s="146" t="s">
        <v>5053</v>
      </c>
      <c r="S104" s="133" t="s">
        <v>5078</v>
      </c>
      <c r="T104" s="133"/>
      <c r="U104" s="133"/>
      <c r="V104" s="133" t="s">
        <v>5336</v>
      </c>
    </row>
    <row r="105" spans="1:22" ht="16" x14ac:dyDescent="0.2">
      <c r="A105" s="145" t="s">
        <v>430</v>
      </c>
      <c r="B105" s="145" t="s">
        <v>28</v>
      </c>
      <c r="C105" s="133" t="s">
        <v>433</v>
      </c>
      <c r="D105" s="140" t="s">
        <v>5063</v>
      </c>
      <c r="E105" s="157">
        <v>17314409</v>
      </c>
      <c r="F105" s="142"/>
      <c r="G105" s="133"/>
      <c r="H105" s="133"/>
      <c r="I105" s="133"/>
      <c r="J105" s="143" t="s">
        <v>5063</v>
      </c>
      <c r="K105" s="144" t="s">
        <v>5041</v>
      </c>
      <c r="L105" s="144" t="s">
        <v>5337</v>
      </c>
      <c r="M105" s="144" t="s">
        <v>5046</v>
      </c>
      <c r="N105" s="145" t="s">
        <v>5051</v>
      </c>
      <c r="O105" s="145" t="s">
        <v>5052</v>
      </c>
      <c r="P105" s="145" t="s">
        <v>5059</v>
      </c>
      <c r="Q105" s="132"/>
      <c r="R105" s="149"/>
      <c r="S105" s="133" t="s">
        <v>5078</v>
      </c>
      <c r="T105" s="133"/>
      <c r="U105" s="133"/>
      <c r="V105" s="133" t="s">
        <v>5090</v>
      </c>
    </row>
    <row r="106" spans="1:22" ht="16" x14ac:dyDescent="0.2">
      <c r="A106" s="145" t="s">
        <v>434</v>
      </c>
      <c r="B106" s="145" t="s">
        <v>17</v>
      </c>
      <c r="C106" s="133" t="s">
        <v>437</v>
      </c>
      <c r="D106" s="140" t="s">
        <v>5120</v>
      </c>
      <c r="E106" s="157">
        <v>11839749</v>
      </c>
      <c r="F106" s="142"/>
      <c r="G106" s="133"/>
      <c r="H106" s="133"/>
      <c r="I106" s="133"/>
      <c r="J106" s="143" t="s">
        <v>5120</v>
      </c>
      <c r="K106" s="144" t="s">
        <v>5046</v>
      </c>
      <c r="L106" s="144" t="s">
        <v>5338</v>
      </c>
      <c r="M106" s="144" t="s">
        <v>5046</v>
      </c>
      <c r="N106" s="145" t="s">
        <v>5044</v>
      </c>
      <c r="O106" s="145" t="s">
        <v>5339</v>
      </c>
      <c r="P106" s="145" t="s">
        <v>5046</v>
      </c>
      <c r="Q106" s="132"/>
      <c r="R106" s="146" t="s">
        <v>5047</v>
      </c>
      <c r="S106" s="133" t="s">
        <v>5192</v>
      </c>
      <c r="T106" s="133"/>
      <c r="U106" s="133"/>
      <c r="V106" s="133" t="s">
        <v>5340</v>
      </c>
    </row>
    <row r="107" spans="1:22" ht="16" x14ac:dyDescent="0.2">
      <c r="A107" s="145" t="s">
        <v>438</v>
      </c>
      <c r="B107" s="145" t="s">
        <v>17</v>
      </c>
      <c r="C107" s="133" t="s">
        <v>441</v>
      </c>
      <c r="D107" s="140" t="s">
        <v>5095</v>
      </c>
      <c r="E107" s="133"/>
      <c r="F107" s="142"/>
      <c r="G107" s="133"/>
      <c r="H107" s="133"/>
      <c r="I107" s="133"/>
      <c r="J107" s="143" t="s">
        <v>5095</v>
      </c>
      <c r="K107" s="144" t="s">
        <v>5043</v>
      </c>
      <c r="L107" s="144" t="s">
        <v>5341</v>
      </c>
      <c r="M107" s="144" t="s">
        <v>5046</v>
      </c>
      <c r="N107" s="145" t="s">
        <v>5109</v>
      </c>
      <c r="O107" s="145" t="s">
        <v>5138</v>
      </c>
      <c r="P107" s="145" t="s">
        <v>5046</v>
      </c>
      <c r="Q107" s="132"/>
      <c r="R107" s="149"/>
      <c r="S107" s="133" t="s">
        <v>5040</v>
      </c>
      <c r="T107" s="133"/>
      <c r="U107" s="133"/>
      <c r="V107" s="133" t="s">
        <v>5068</v>
      </c>
    </row>
    <row r="108" spans="1:22" ht="16" x14ac:dyDescent="0.2">
      <c r="A108" s="145" t="s">
        <v>442</v>
      </c>
      <c r="B108" s="145" t="s">
        <v>34</v>
      </c>
      <c r="C108" s="133" t="s">
        <v>445</v>
      </c>
      <c r="D108" s="140" t="s">
        <v>5342</v>
      </c>
      <c r="E108" s="155">
        <v>15353600</v>
      </c>
      <c r="F108" s="142" t="s">
        <v>5062</v>
      </c>
      <c r="G108" s="133">
        <v>15917292</v>
      </c>
      <c r="H108" s="133"/>
      <c r="I108" s="133"/>
      <c r="J108" s="143" t="s">
        <v>5342</v>
      </c>
      <c r="K108" s="144" t="s">
        <v>5046</v>
      </c>
      <c r="L108" s="144" t="s">
        <v>5343</v>
      </c>
      <c r="M108" s="144" t="s">
        <v>5046</v>
      </c>
      <c r="N108" s="145" t="s">
        <v>5044</v>
      </c>
      <c r="O108" s="145" t="s">
        <v>5344</v>
      </c>
      <c r="P108" s="145" t="s">
        <v>5059</v>
      </c>
      <c r="Q108" s="132"/>
      <c r="R108" s="149"/>
      <c r="S108" s="133" t="s">
        <v>5318</v>
      </c>
      <c r="T108" s="133"/>
      <c r="U108" s="133" t="s">
        <v>5067</v>
      </c>
      <c r="V108" s="133" t="s">
        <v>5345</v>
      </c>
    </row>
    <row r="109" spans="1:22" ht="16" x14ac:dyDescent="0.2">
      <c r="A109" s="145" t="s">
        <v>446</v>
      </c>
      <c r="B109" s="145" t="s">
        <v>28</v>
      </c>
      <c r="C109" s="133" t="s">
        <v>449</v>
      </c>
      <c r="D109" s="140" t="s">
        <v>5063</v>
      </c>
      <c r="E109" s="155">
        <v>12932438</v>
      </c>
      <c r="F109" s="142" t="s">
        <v>5055</v>
      </c>
      <c r="G109" s="133">
        <v>19481455</v>
      </c>
      <c r="H109" s="133"/>
      <c r="I109" s="133"/>
      <c r="J109" s="143" t="s">
        <v>5308</v>
      </c>
      <c r="K109" s="144" t="s">
        <v>5046</v>
      </c>
      <c r="L109" s="144" t="s">
        <v>5346</v>
      </c>
      <c r="M109" s="144" t="s">
        <v>5059</v>
      </c>
      <c r="N109" s="145" t="s">
        <v>5044</v>
      </c>
      <c r="O109" s="145" t="s">
        <v>5347</v>
      </c>
      <c r="P109" s="145" t="s">
        <v>5059</v>
      </c>
      <c r="Q109" s="132"/>
      <c r="R109" s="149"/>
      <c r="S109" s="133" t="s">
        <v>5063</v>
      </c>
      <c r="T109" s="133"/>
      <c r="U109" s="133"/>
      <c r="V109" s="133" t="s">
        <v>5348</v>
      </c>
    </row>
    <row r="110" spans="1:22" ht="16" x14ac:dyDescent="0.2">
      <c r="A110" s="145" t="s">
        <v>450</v>
      </c>
      <c r="B110" s="145" t="s">
        <v>583</v>
      </c>
      <c r="C110" s="133" t="s">
        <v>453</v>
      </c>
      <c r="D110" s="140" t="s">
        <v>5070</v>
      </c>
      <c r="E110" s="155">
        <v>10459020</v>
      </c>
      <c r="F110" s="142"/>
      <c r="G110" s="133"/>
      <c r="H110" s="133"/>
      <c r="I110" s="133"/>
      <c r="J110" s="143" t="s">
        <v>5070</v>
      </c>
      <c r="K110" s="144" t="s">
        <v>5041</v>
      </c>
      <c r="L110" s="144" t="s">
        <v>5042</v>
      </c>
      <c r="M110" s="144" t="s">
        <v>5043</v>
      </c>
      <c r="N110" s="145" t="s">
        <v>5044</v>
      </c>
      <c r="O110" s="145" t="s">
        <v>5052</v>
      </c>
      <c r="P110" s="145" t="s">
        <v>5059</v>
      </c>
      <c r="Q110" s="132"/>
      <c r="R110" s="149"/>
      <c r="S110" s="133" t="s">
        <v>5070</v>
      </c>
      <c r="T110" s="133"/>
      <c r="U110" s="133"/>
      <c r="V110" s="133" t="s">
        <v>5349</v>
      </c>
    </row>
    <row r="111" spans="1:22" ht="16" x14ac:dyDescent="0.2">
      <c r="A111" s="145" t="s">
        <v>454</v>
      </c>
      <c r="B111" s="145" t="s">
        <v>583</v>
      </c>
      <c r="C111" s="133" t="s">
        <v>457</v>
      </c>
      <c r="D111" s="140" t="s">
        <v>5095</v>
      </c>
      <c r="E111" s="133"/>
      <c r="F111" s="142"/>
      <c r="G111" s="133"/>
      <c r="H111" s="133"/>
      <c r="I111" s="133"/>
      <c r="J111" s="143" t="s">
        <v>5095</v>
      </c>
      <c r="K111" s="144" t="s">
        <v>5043</v>
      </c>
      <c r="L111" s="144" t="s">
        <v>5042</v>
      </c>
      <c r="M111" s="144" t="s">
        <v>5043</v>
      </c>
      <c r="N111" s="145" t="s">
        <v>5044</v>
      </c>
      <c r="O111" s="145" t="s">
        <v>5350</v>
      </c>
      <c r="P111" s="145" t="s">
        <v>5059</v>
      </c>
      <c r="Q111" s="132"/>
      <c r="R111" s="149"/>
      <c r="S111" s="133" t="s">
        <v>5351</v>
      </c>
      <c r="T111" s="133"/>
      <c r="U111" s="133" t="s">
        <v>5054</v>
      </c>
      <c r="V111" s="133" t="s">
        <v>5352</v>
      </c>
    </row>
    <row r="112" spans="1:22" ht="16" x14ac:dyDescent="0.2">
      <c r="A112" s="145" t="s">
        <v>458</v>
      </c>
      <c r="B112" s="145" t="s">
        <v>17</v>
      </c>
      <c r="C112" s="158" t="s">
        <v>461</v>
      </c>
      <c r="D112" s="140" t="s">
        <v>5095</v>
      </c>
      <c r="E112" s="133"/>
      <c r="F112" s="142"/>
      <c r="G112" s="133"/>
      <c r="H112" s="133"/>
      <c r="I112" s="133"/>
      <c r="J112" s="143" t="s">
        <v>5095</v>
      </c>
      <c r="K112" s="144" t="s">
        <v>5043</v>
      </c>
      <c r="L112" s="144" t="s">
        <v>5042</v>
      </c>
      <c r="M112" s="144" t="s">
        <v>5043</v>
      </c>
      <c r="N112" s="145" t="s">
        <v>5187</v>
      </c>
      <c r="O112" s="145" t="s">
        <v>5208</v>
      </c>
      <c r="P112" s="145" t="s">
        <v>5059</v>
      </c>
      <c r="Q112" s="132"/>
      <c r="R112" s="146" t="s">
        <v>5047</v>
      </c>
      <c r="S112" s="133" t="s">
        <v>5353</v>
      </c>
      <c r="T112" s="133" t="s">
        <v>5054</v>
      </c>
      <c r="U112" s="133"/>
      <c r="V112" s="133" t="s">
        <v>5354</v>
      </c>
    </row>
    <row r="113" spans="1:22" ht="16" x14ac:dyDescent="0.2">
      <c r="A113" s="145" t="s">
        <v>462</v>
      </c>
      <c r="B113" s="145" t="s">
        <v>17</v>
      </c>
      <c r="C113" s="133" t="s">
        <v>465</v>
      </c>
      <c r="D113" s="140" t="s">
        <v>5095</v>
      </c>
      <c r="E113" s="133"/>
      <c r="F113" s="142"/>
      <c r="G113" s="133"/>
      <c r="H113" s="133"/>
      <c r="I113" s="133"/>
      <c r="J113" s="143" t="s">
        <v>5095</v>
      </c>
      <c r="K113" s="144" t="s">
        <v>5043</v>
      </c>
      <c r="L113" s="144" t="s">
        <v>5042</v>
      </c>
      <c r="M113" s="144" t="s">
        <v>5043</v>
      </c>
      <c r="N113" s="145" t="s">
        <v>5044</v>
      </c>
      <c r="O113" s="145" t="s">
        <v>5045</v>
      </c>
      <c r="P113" s="145" t="s">
        <v>5059</v>
      </c>
      <c r="Q113" s="132"/>
      <c r="R113" s="146" t="s">
        <v>5053</v>
      </c>
      <c r="S113" s="133" t="s">
        <v>5063</v>
      </c>
      <c r="T113" s="133"/>
      <c r="U113" s="133"/>
      <c r="V113" s="133" t="s">
        <v>5355</v>
      </c>
    </row>
    <row r="114" spans="1:22" ht="16" x14ac:dyDescent="0.2">
      <c r="A114" s="145" t="s">
        <v>466</v>
      </c>
      <c r="B114" s="145" t="s">
        <v>17</v>
      </c>
      <c r="C114" s="133" t="s">
        <v>469</v>
      </c>
      <c r="D114" s="140" t="s">
        <v>5063</v>
      </c>
      <c r="E114" s="155">
        <v>27555588</v>
      </c>
      <c r="F114" s="142"/>
      <c r="G114" s="133"/>
      <c r="H114" s="133"/>
      <c r="I114" s="133"/>
      <c r="J114" s="143" t="s">
        <v>5063</v>
      </c>
      <c r="K114" s="144" t="s">
        <v>5041</v>
      </c>
      <c r="L114" s="144" t="s">
        <v>5042</v>
      </c>
      <c r="M114" s="144" t="s">
        <v>5043</v>
      </c>
      <c r="N114" s="145" t="s">
        <v>5051</v>
      </c>
      <c r="O114" s="145" t="s">
        <v>5356</v>
      </c>
      <c r="P114" s="145" t="s">
        <v>5046</v>
      </c>
      <c r="Q114" s="132"/>
      <c r="R114" s="149"/>
      <c r="S114" s="133" t="s">
        <v>5063</v>
      </c>
      <c r="T114" s="133" t="s">
        <v>5054</v>
      </c>
      <c r="U114" s="133"/>
      <c r="V114" s="133" t="s">
        <v>5357</v>
      </c>
    </row>
    <row r="115" spans="1:22" ht="16" x14ac:dyDescent="0.2">
      <c r="A115" s="145" t="s">
        <v>470</v>
      </c>
      <c r="B115" s="145" t="s">
        <v>17</v>
      </c>
      <c r="C115" s="133" t="s">
        <v>473</v>
      </c>
      <c r="D115" s="140" t="s">
        <v>5040</v>
      </c>
      <c r="E115" s="133">
        <v>23572525</v>
      </c>
      <c r="F115" s="142"/>
      <c r="G115" s="133"/>
      <c r="H115" s="133"/>
      <c r="I115" s="133"/>
      <c r="J115" s="143" t="s">
        <v>5040</v>
      </c>
      <c r="K115" s="144" t="s">
        <v>5041</v>
      </c>
      <c r="L115" s="144" t="s">
        <v>5042</v>
      </c>
      <c r="M115" s="144" t="s">
        <v>5043</v>
      </c>
      <c r="N115" s="145" t="s">
        <v>5044</v>
      </c>
      <c r="O115" s="145" t="s">
        <v>5150</v>
      </c>
      <c r="P115" s="145" t="s">
        <v>5059</v>
      </c>
      <c r="Q115" s="132"/>
      <c r="R115" s="149"/>
      <c r="S115" s="133" t="s">
        <v>5040</v>
      </c>
      <c r="T115" s="133"/>
      <c r="U115" s="133"/>
      <c r="V115" s="133"/>
    </row>
    <row r="116" spans="1:22" ht="16" x14ac:dyDescent="0.2">
      <c r="A116" s="145" t="s">
        <v>474</v>
      </c>
      <c r="B116" s="145" t="s">
        <v>17</v>
      </c>
      <c r="C116" s="133" t="s">
        <v>477</v>
      </c>
      <c r="D116" s="140" t="s">
        <v>5095</v>
      </c>
      <c r="E116" s="133"/>
      <c r="F116" s="142"/>
      <c r="G116" s="133"/>
      <c r="H116" s="133"/>
      <c r="I116" s="133"/>
      <c r="J116" s="143" t="s">
        <v>5095</v>
      </c>
      <c r="K116" s="144" t="s">
        <v>5043</v>
      </c>
      <c r="L116" s="144" t="s">
        <v>5042</v>
      </c>
      <c r="M116" s="144" t="s">
        <v>5043</v>
      </c>
      <c r="N116" s="145" t="s">
        <v>5044</v>
      </c>
      <c r="O116" s="145" t="s">
        <v>5208</v>
      </c>
      <c r="P116" s="145" t="s">
        <v>5059</v>
      </c>
      <c r="Q116" s="132"/>
      <c r="R116" s="149"/>
      <c r="S116" s="133" t="s">
        <v>5078</v>
      </c>
      <c r="T116" s="133" t="s">
        <v>5054</v>
      </c>
      <c r="U116" s="133" t="s">
        <v>5067</v>
      </c>
      <c r="V116" s="133" t="s">
        <v>5358</v>
      </c>
    </row>
    <row r="117" spans="1:22" ht="16" x14ac:dyDescent="0.2">
      <c r="A117" s="145" t="s">
        <v>478</v>
      </c>
      <c r="B117" s="145" t="s">
        <v>17</v>
      </c>
      <c r="C117" s="133" t="s">
        <v>481</v>
      </c>
      <c r="D117" s="152" t="s">
        <v>5048</v>
      </c>
      <c r="E117" s="133">
        <v>16467373</v>
      </c>
      <c r="F117" s="142" t="s">
        <v>5173</v>
      </c>
      <c r="G117" s="133">
        <v>21543326</v>
      </c>
      <c r="H117" s="133"/>
      <c r="I117" s="133"/>
      <c r="J117" s="143" t="s">
        <v>5173</v>
      </c>
      <c r="K117" s="144" t="s">
        <v>5046</v>
      </c>
      <c r="L117" s="144" t="s">
        <v>5359</v>
      </c>
      <c r="M117" s="144" t="s">
        <v>5046</v>
      </c>
      <c r="N117" s="145" t="s">
        <v>5044</v>
      </c>
      <c r="O117" s="145" t="s">
        <v>5092</v>
      </c>
      <c r="P117" s="145" t="s">
        <v>5059</v>
      </c>
      <c r="Q117" s="132"/>
      <c r="R117" s="146" t="s">
        <v>5047</v>
      </c>
      <c r="S117" s="133" t="s">
        <v>5086</v>
      </c>
      <c r="T117" s="133"/>
      <c r="U117" s="133"/>
      <c r="V117" s="133" t="s">
        <v>5360</v>
      </c>
    </row>
    <row r="118" spans="1:22" ht="16" x14ac:dyDescent="0.2">
      <c r="A118" s="145" t="s">
        <v>482</v>
      </c>
      <c r="B118" s="145" t="s">
        <v>17</v>
      </c>
      <c r="C118" s="133" t="s">
        <v>485</v>
      </c>
      <c r="D118" s="156" t="s">
        <v>5361</v>
      </c>
      <c r="E118" s="133">
        <v>16721066</v>
      </c>
      <c r="F118" s="142" t="s">
        <v>5063</v>
      </c>
      <c r="G118" s="133">
        <v>17881735</v>
      </c>
      <c r="H118" s="133"/>
      <c r="I118" s="150"/>
      <c r="J118" s="143" t="s">
        <v>5362</v>
      </c>
      <c r="K118" s="144" t="s">
        <v>5046</v>
      </c>
      <c r="L118" s="144" t="s">
        <v>5363</v>
      </c>
      <c r="M118" s="144" t="s">
        <v>5046</v>
      </c>
      <c r="N118" s="145" t="s">
        <v>5051</v>
      </c>
      <c r="O118" s="145" t="s">
        <v>5364</v>
      </c>
      <c r="P118" s="145" t="s">
        <v>5046</v>
      </c>
      <c r="Q118" s="132"/>
      <c r="R118" s="146" t="s">
        <v>5047</v>
      </c>
      <c r="S118" s="133" t="s">
        <v>5063</v>
      </c>
      <c r="T118" s="133"/>
      <c r="U118" s="133"/>
      <c r="V118" s="133" t="s">
        <v>5365</v>
      </c>
    </row>
    <row r="119" spans="1:22" ht="16" x14ac:dyDescent="0.2">
      <c r="A119" s="145" t="s">
        <v>486</v>
      </c>
      <c r="B119" s="145" t="s">
        <v>17</v>
      </c>
      <c r="C119" s="144" t="s">
        <v>489</v>
      </c>
      <c r="D119" s="140" t="s">
        <v>5095</v>
      </c>
      <c r="E119" s="133"/>
      <c r="F119" s="142"/>
      <c r="G119" s="133"/>
      <c r="H119" s="133"/>
      <c r="I119" s="133"/>
      <c r="J119" s="143" t="s">
        <v>5095</v>
      </c>
      <c r="K119" s="144" t="s">
        <v>5043</v>
      </c>
      <c r="L119" s="144" t="s">
        <v>5042</v>
      </c>
      <c r="M119" s="144" t="s">
        <v>5043</v>
      </c>
      <c r="N119" s="145" t="s">
        <v>5077</v>
      </c>
      <c r="O119" s="145"/>
      <c r="P119" s="145" t="s">
        <v>5043</v>
      </c>
      <c r="Q119" s="132"/>
      <c r="R119" s="146" t="s">
        <v>5047</v>
      </c>
      <c r="S119" s="133" t="s">
        <v>5055</v>
      </c>
      <c r="T119" s="133" t="s">
        <v>5054</v>
      </c>
      <c r="U119" s="133"/>
      <c r="V119" s="133"/>
    </row>
    <row r="120" spans="1:22" ht="16" x14ac:dyDescent="0.2">
      <c r="A120" s="145" t="s">
        <v>490</v>
      </c>
      <c r="B120" s="145" t="s">
        <v>17</v>
      </c>
      <c r="C120" s="133" t="s">
        <v>493</v>
      </c>
      <c r="D120" s="140" t="s">
        <v>5040</v>
      </c>
      <c r="E120" s="133">
        <v>17698854</v>
      </c>
      <c r="F120" s="142"/>
      <c r="G120" s="133"/>
      <c r="H120" s="133"/>
      <c r="I120" s="133"/>
      <c r="J120" s="143" t="s">
        <v>5040</v>
      </c>
      <c r="K120" s="144" t="s">
        <v>5041</v>
      </c>
      <c r="L120" s="144" t="s">
        <v>5366</v>
      </c>
      <c r="M120" s="144" t="s">
        <v>5041</v>
      </c>
      <c r="N120" s="145" t="s">
        <v>5051</v>
      </c>
      <c r="O120" s="145" t="s">
        <v>5367</v>
      </c>
      <c r="P120" s="145" t="s">
        <v>5046</v>
      </c>
      <c r="Q120" s="132"/>
      <c r="R120" s="149"/>
      <c r="S120" s="133" t="s">
        <v>5040</v>
      </c>
      <c r="T120" s="133" t="s">
        <v>5054</v>
      </c>
      <c r="U120" s="133"/>
      <c r="V120" s="133" t="s">
        <v>5368</v>
      </c>
    </row>
    <row r="121" spans="1:22" ht="16" x14ac:dyDescent="0.2">
      <c r="A121" s="145" t="s">
        <v>494</v>
      </c>
      <c r="B121" s="145" t="s">
        <v>17</v>
      </c>
      <c r="C121" s="133" t="s">
        <v>497</v>
      </c>
      <c r="D121" s="140" t="s">
        <v>5040</v>
      </c>
      <c r="E121" s="133">
        <v>15304343</v>
      </c>
      <c r="F121" s="142"/>
      <c r="G121" s="133"/>
      <c r="H121" s="133"/>
      <c r="I121" s="133"/>
      <c r="J121" s="143" t="s">
        <v>5040</v>
      </c>
      <c r="K121" s="144" t="s">
        <v>5041</v>
      </c>
      <c r="L121" s="144" t="s">
        <v>5042</v>
      </c>
      <c r="M121" s="144" t="s">
        <v>5043</v>
      </c>
      <c r="N121" s="145" t="s">
        <v>5044</v>
      </c>
      <c r="O121" s="145" t="s">
        <v>5369</v>
      </c>
      <c r="P121" s="145" t="s">
        <v>5059</v>
      </c>
      <c r="Q121" s="132"/>
      <c r="R121" s="149"/>
      <c r="S121" s="133" t="s">
        <v>5040</v>
      </c>
      <c r="T121" s="133"/>
      <c r="U121" s="133"/>
      <c r="V121" s="133" t="s">
        <v>5368</v>
      </c>
    </row>
    <row r="122" spans="1:22" ht="16" x14ac:dyDescent="0.2">
      <c r="A122" s="145" t="s">
        <v>498</v>
      </c>
      <c r="B122" s="145" t="s">
        <v>28</v>
      </c>
      <c r="C122" s="133" t="s">
        <v>501</v>
      </c>
      <c r="D122" s="156" t="s">
        <v>5370</v>
      </c>
      <c r="E122" s="133">
        <v>10979956</v>
      </c>
      <c r="F122" s="142"/>
      <c r="G122" s="133"/>
      <c r="H122" s="133"/>
      <c r="I122" s="133"/>
      <c r="J122" s="143" t="s">
        <v>5370</v>
      </c>
      <c r="K122" s="144" t="s">
        <v>5046</v>
      </c>
      <c r="L122" s="144" t="s">
        <v>5371</v>
      </c>
      <c r="M122" s="144" t="s">
        <v>5046</v>
      </c>
      <c r="N122" s="145" t="s">
        <v>5187</v>
      </c>
      <c r="O122" s="145" t="s">
        <v>5208</v>
      </c>
      <c r="P122" s="145" t="s">
        <v>5046</v>
      </c>
      <c r="Q122" s="132"/>
      <c r="R122" s="149"/>
      <c r="S122" s="133" t="s">
        <v>5192</v>
      </c>
      <c r="T122" s="133"/>
      <c r="U122" s="133" t="s">
        <v>5067</v>
      </c>
      <c r="V122" s="133" t="s">
        <v>5372</v>
      </c>
    </row>
    <row r="123" spans="1:22" ht="16" x14ac:dyDescent="0.2">
      <c r="A123" s="145" t="s">
        <v>502</v>
      </c>
      <c r="B123" s="145" t="s">
        <v>28</v>
      </c>
      <c r="C123" s="133" t="s">
        <v>505</v>
      </c>
      <c r="D123" s="140" t="s">
        <v>5373</v>
      </c>
      <c r="E123" s="133">
        <v>21822277</v>
      </c>
      <c r="F123" s="142" t="s">
        <v>5120</v>
      </c>
      <c r="G123" s="133">
        <v>22319010</v>
      </c>
      <c r="H123" s="133"/>
      <c r="I123" s="133"/>
      <c r="J123" s="143" t="s">
        <v>5374</v>
      </c>
      <c r="K123" s="144" t="s">
        <v>5059</v>
      </c>
      <c r="L123" s="144" t="s">
        <v>5375</v>
      </c>
      <c r="M123" s="144" t="s">
        <v>5059</v>
      </c>
      <c r="N123" s="145" t="s">
        <v>5044</v>
      </c>
      <c r="O123" s="145" t="s">
        <v>5376</v>
      </c>
      <c r="P123" s="145" t="s">
        <v>5046</v>
      </c>
      <c r="Q123" s="132"/>
      <c r="R123" s="146" t="s">
        <v>5047</v>
      </c>
      <c r="S123" s="133" t="s">
        <v>5040</v>
      </c>
      <c r="T123" s="133"/>
      <c r="U123" s="133"/>
      <c r="V123" s="133"/>
    </row>
    <row r="124" spans="1:22" ht="16" x14ac:dyDescent="0.2">
      <c r="A124" s="145" t="s">
        <v>506</v>
      </c>
      <c r="B124" s="145" t="s">
        <v>17</v>
      </c>
      <c r="C124" s="144" t="s">
        <v>509</v>
      </c>
      <c r="D124" s="140" t="s">
        <v>5111</v>
      </c>
      <c r="E124" s="133">
        <v>14749369</v>
      </c>
      <c r="F124" s="142" t="s">
        <v>5117</v>
      </c>
      <c r="G124" s="133">
        <v>16649990</v>
      </c>
      <c r="H124" s="133"/>
      <c r="I124" s="133"/>
      <c r="J124" s="143" t="s">
        <v>5377</v>
      </c>
      <c r="K124" s="144" t="s">
        <v>5059</v>
      </c>
      <c r="L124" s="144" t="s">
        <v>5042</v>
      </c>
      <c r="M124" s="144" t="s">
        <v>5043</v>
      </c>
      <c r="N124" s="145" t="s">
        <v>5051</v>
      </c>
      <c r="O124" s="145" t="s">
        <v>5350</v>
      </c>
      <c r="P124" s="145" t="s">
        <v>5059</v>
      </c>
      <c r="Q124" s="132"/>
      <c r="R124" s="146" t="s">
        <v>5053</v>
      </c>
      <c r="S124" s="133" t="s">
        <v>5040</v>
      </c>
      <c r="T124" s="133"/>
      <c r="U124" s="133"/>
      <c r="V124" s="133" t="s">
        <v>5269</v>
      </c>
    </row>
    <row r="125" spans="1:22" ht="16" x14ac:dyDescent="0.2">
      <c r="A125" s="145" t="s">
        <v>510</v>
      </c>
      <c r="B125" s="145" t="s">
        <v>17</v>
      </c>
      <c r="C125" s="159" t="s">
        <v>513</v>
      </c>
      <c r="D125" s="140" t="s">
        <v>5111</v>
      </c>
      <c r="E125" s="133">
        <v>14749369</v>
      </c>
      <c r="F125" s="142" t="s">
        <v>5040</v>
      </c>
      <c r="G125" s="133">
        <v>17923690</v>
      </c>
      <c r="H125" s="133"/>
      <c r="I125" s="133"/>
      <c r="J125" s="143" t="s">
        <v>5378</v>
      </c>
      <c r="K125" s="144" t="s">
        <v>5059</v>
      </c>
      <c r="L125" s="144" t="s">
        <v>5379</v>
      </c>
      <c r="M125" s="144" t="s">
        <v>5059</v>
      </c>
      <c r="N125" s="145" t="s">
        <v>5051</v>
      </c>
      <c r="O125" s="145" t="s">
        <v>5369</v>
      </c>
      <c r="P125" s="145" t="s">
        <v>5059</v>
      </c>
      <c r="Q125" s="132"/>
      <c r="R125" s="146" t="s">
        <v>5053</v>
      </c>
      <c r="S125" s="133" t="s">
        <v>5380</v>
      </c>
      <c r="T125" s="133"/>
      <c r="U125" s="133"/>
      <c r="V125" s="133" t="s">
        <v>5381</v>
      </c>
    </row>
    <row r="126" spans="1:22" ht="16" x14ac:dyDescent="0.2">
      <c r="A126" s="145" t="s">
        <v>514</v>
      </c>
      <c r="B126" s="145" t="s">
        <v>28</v>
      </c>
      <c r="C126" s="144" t="s">
        <v>517</v>
      </c>
      <c r="D126" s="152" t="s">
        <v>5055</v>
      </c>
      <c r="E126" s="133">
        <v>21658605</v>
      </c>
      <c r="F126" s="142" t="s">
        <v>5086</v>
      </c>
      <c r="G126" s="133">
        <v>22891260</v>
      </c>
      <c r="H126" s="133"/>
      <c r="I126" s="133"/>
      <c r="J126" s="143" t="s">
        <v>5382</v>
      </c>
      <c r="K126" s="144" t="s">
        <v>5059</v>
      </c>
      <c r="L126" s="144" t="s">
        <v>5383</v>
      </c>
      <c r="M126" s="144" t="s">
        <v>5059</v>
      </c>
      <c r="N126" s="145" t="s">
        <v>5044</v>
      </c>
      <c r="O126" s="145" t="s">
        <v>5052</v>
      </c>
      <c r="P126" s="145" t="s">
        <v>5059</v>
      </c>
      <c r="Q126" s="132"/>
      <c r="R126" s="149"/>
      <c r="S126" s="133" t="s">
        <v>5063</v>
      </c>
      <c r="T126" s="133" t="s">
        <v>5054</v>
      </c>
      <c r="U126" s="133"/>
      <c r="V126" s="133" t="s">
        <v>5384</v>
      </c>
    </row>
    <row r="127" spans="1:22" ht="16" x14ac:dyDescent="0.2">
      <c r="A127" s="145" t="s">
        <v>518</v>
      </c>
      <c r="B127" s="145" t="s">
        <v>17</v>
      </c>
      <c r="C127" s="133" t="s">
        <v>521</v>
      </c>
      <c r="D127" s="152" t="s">
        <v>5040</v>
      </c>
      <c r="E127" s="133"/>
      <c r="F127" s="142"/>
      <c r="G127" s="133"/>
      <c r="H127" s="133"/>
      <c r="I127" s="133"/>
      <c r="J127" s="143" t="s">
        <v>5040</v>
      </c>
      <c r="K127" s="144" t="s">
        <v>5059</v>
      </c>
      <c r="L127" s="144" t="s">
        <v>5042</v>
      </c>
      <c r="M127" s="144" t="s">
        <v>5043</v>
      </c>
      <c r="N127" s="145" t="s">
        <v>5109</v>
      </c>
      <c r="O127" s="145" t="s">
        <v>5385</v>
      </c>
      <c r="P127" s="145" t="s">
        <v>5059</v>
      </c>
      <c r="Q127" s="132" t="s">
        <v>5089</v>
      </c>
      <c r="R127" s="149"/>
      <c r="S127" s="133" t="s">
        <v>5386</v>
      </c>
      <c r="T127" s="133"/>
      <c r="U127" s="133" t="s">
        <v>5054</v>
      </c>
      <c r="V127" s="133" t="s">
        <v>5387</v>
      </c>
    </row>
    <row r="128" spans="1:22" ht="16" x14ac:dyDescent="0.2">
      <c r="A128" s="145" t="s">
        <v>522</v>
      </c>
      <c r="B128" s="145" t="s">
        <v>17</v>
      </c>
      <c r="C128" s="133" t="s">
        <v>524</v>
      </c>
      <c r="D128" s="140" t="s">
        <v>5095</v>
      </c>
      <c r="E128" s="133"/>
      <c r="F128" s="142"/>
      <c r="G128" s="133"/>
      <c r="H128" s="133"/>
      <c r="I128" s="133"/>
      <c r="J128" s="143" t="s">
        <v>5095</v>
      </c>
      <c r="K128" s="144" t="s">
        <v>5043</v>
      </c>
      <c r="L128" s="144" t="s">
        <v>5042</v>
      </c>
      <c r="M128" s="144" t="s">
        <v>5043</v>
      </c>
      <c r="N128" s="145" t="s">
        <v>5044</v>
      </c>
      <c r="O128" s="145" t="s">
        <v>5141</v>
      </c>
      <c r="P128" s="145" t="s">
        <v>5059</v>
      </c>
      <c r="Q128" s="132"/>
      <c r="R128" s="149"/>
      <c r="S128" s="133" t="s">
        <v>5386</v>
      </c>
      <c r="T128" s="133"/>
      <c r="U128" s="133" t="s">
        <v>5054</v>
      </c>
      <c r="V128" s="133" t="s">
        <v>5387</v>
      </c>
    </row>
    <row r="129" spans="1:22" ht="16" x14ac:dyDescent="0.2">
      <c r="A129" s="145" t="s">
        <v>525</v>
      </c>
      <c r="B129" s="145" t="s">
        <v>17</v>
      </c>
      <c r="C129" s="133" t="s">
        <v>528</v>
      </c>
      <c r="D129" s="140" t="s">
        <v>5048</v>
      </c>
      <c r="E129" s="133">
        <v>17599059</v>
      </c>
      <c r="F129" s="142" t="s">
        <v>5063</v>
      </c>
      <c r="G129" s="133">
        <v>19934221</v>
      </c>
      <c r="H129" s="142" t="s">
        <v>5040</v>
      </c>
      <c r="I129" s="133">
        <v>19525225</v>
      </c>
      <c r="J129" s="143" t="s">
        <v>5388</v>
      </c>
      <c r="K129" s="144" t="s">
        <v>5046</v>
      </c>
      <c r="L129" s="144" t="s">
        <v>5389</v>
      </c>
      <c r="M129" s="144" t="s">
        <v>5046</v>
      </c>
      <c r="N129" s="145" t="s">
        <v>5051</v>
      </c>
      <c r="O129" s="145" t="s">
        <v>5045</v>
      </c>
      <c r="P129" s="145" t="s">
        <v>5059</v>
      </c>
      <c r="Q129" s="132"/>
      <c r="R129" s="149"/>
      <c r="S129" s="133" t="s">
        <v>5286</v>
      </c>
      <c r="T129" s="133"/>
      <c r="U129" s="133"/>
      <c r="V129" s="133" t="s">
        <v>5340</v>
      </c>
    </row>
    <row r="130" spans="1:22" ht="16" x14ac:dyDescent="0.2">
      <c r="A130" s="145" t="s">
        <v>529</v>
      </c>
      <c r="B130" s="145" t="s">
        <v>28</v>
      </c>
      <c r="C130" s="133" t="s">
        <v>532</v>
      </c>
      <c r="D130" s="140" t="s">
        <v>5120</v>
      </c>
      <c r="E130" s="133">
        <v>17710530</v>
      </c>
      <c r="F130" s="133"/>
      <c r="G130" s="133"/>
      <c r="H130" s="133"/>
      <c r="I130" s="133"/>
      <c r="J130" s="143" t="s">
        <v>5120</v>
      </c>
      <c r="K130" s="144" t="s">
        <v>5059</v>
      </c>
      <c r="L130" s="144" t="s">
        <v>5042</v>
      </c>
      <c r="M130" s="144" t="s">
        <v>5043</v>
      </c>
      <c r="N130" s="145" t="s">
        <v>5044</v>
      </c>
      <c r="O130" s="145" t="s">
        <v>5390</v>
      </c>
      <c r="P130" s="145" t="s">
        <v>5059</v>
      </c>
      <c r="Q130" s="132"/>
      <c r="R130" s="149"/>
      <c r="S130" s="133" t="s">
        <v>5391</v>
      </c>
      <c r="T130" s="133"/>
      <c r="U130" s="133"/>
      <c r="V130" s="133" t="s">
        <v>5392</v>
      </c>
    </row>
    <row r="131" spans="1:22" ht="16" x14ac:dyDescent="0.2">
      <c r="A131" s="145" t="s">
        <v>533</v>
      </c>
      <c r="B131" s="145" t="s">
        <v>28</v>
      </c>
      <c r="C131" s="133" t="s">
        <v>536</v>
      </c>
      <c r="D131" s="140" t="s">
        <v>5120</v>
      </c>
      <c r="E131" s="133">
        <v>17710530</v>
      </c>
      <c r="F131" s="142" t="s">
        <v>5048</v>
      </c>
      <c r="G131" s="133">
        <v>20810653</v>
      </c>
      <c r="H131" s="133"/>
      <c r="I131" s="133"/>
      <c r="J131" s="143" t="s">
        <v>5393</v>
      </c>
      <c r="K131" s="144" t="s">
        <v>5046</v>
      </c>
      <c r="L131" s="144" t="s">
        <v>5394</v>
      </c>
      <c r="M131" s="144" t="s">
        <v>5046</v>
      </c>
      <c r="N131" s="145" t="s">
        <v>5051</v>
      </c>
      <c r="O131" s="145" t="s">
        <v>5045</v>
      </c>
      <c r="P131" s="145" t="s">
        <v>5059</v>
      </c>
      <c r="Q131" s="132"/>
      <c r="R131" s="149"/>
      <c r="S131" s="133" t="s">
        <v>5162</v>
      </c>
      <c r="T131" s="133" t="s">
        <v>5054</v>
      </c>
      <c r="U131" s="133"/>
      <c r="V131" s="133" t="s">
        <v>5395</v>
      </c>
    </row>
    <row r="132" spans="1:22" ht="16" x14ac:dyDescent="0.2">
      <c r="A132" s="145" t="s">
        <v>537</v>
      </c>
      <c r="B132" s="145" t="s">
        <v>28</v>
      </c>
      <c r="C132" s="133" t="s">
        <v>540</v>
      </c>
      <c r="D132" s="152" t="s">
        <v>5070</v>
      </c>
      <c r="E132" s="155">
        <v>22159416</v>
      </c>
      <c r="F132" s="142" t="s">
        <v>5120</v>
      </c>
      <c r="G132" s="133">
        <v>17710530</v>
      </c>
      <c r="H132" s="133"/>
      <c r="I132" s="133"/>
      <c r="J132" s="143" t="s">
        <v>5396</v>
      </c>
      <c r="K132" s="144" t="s">
        <v>5046</v>
      </c>
      <c r="L132" s="144" t="s">
        <v>5042</v>
      </c>
      <c r="M132" s="144" t="s">
        <v>5043</v>
      </c>
      <c r="N132" s="145" t="s">
        <v>5044</v>
      </c>
      <c r="O132" s="145" t="s">
        <v>5208</v>
      </c>
      <c r="P132" s="145" t="s">
        <v>5059</v>
      </c>
      <c r="Q132" s="132"/>
      <c r="R132" s="149"/>
      <c r="S132" s="133" t="s">
        <v>5202</v>
      </c>
      <c r="T132" s="133"/>
      <c r="U132" s="133" t="s">
        <v>5067</v>
      </c>
      <c r="V132" s="133" t="s">
        <v>5397</v>
      </c>
    </row>
    <row r="133" spans="1:22" ht="16" x14ac:dyDescent="0.2">
      <c r="A133" s="145" t="s">
        <v>541</v>
      </c>
      <c r="B133" s="145" t="s">
        <v>28</v>
      </c>
      <c r="C133" s="144" t="s">
        <v>544</v>
      </c>
      <c r="D133" s="140" t="s">
        <v>5070</v>
      </c>
      <c r="E133" s="155">
        <v>17976533</v>
      </c>
      <c r="F133" s="142" t="s">
        <v>5086</v>
      </c>
      <c r="G133" s="155">
        <v>23552697</v>
      </c>
      <c r="H133" s="142" t="s">
        <v>5055</v>
      </c>
      <c r="I133" s="155">
        <v>25673874</v>
      </c>
      <c r="J133" s="143" t="s">
        <v>5398</v>
      </c>
      <c r="K133" s="144" t="s">
        <v>5046</v>
      </c>
      <c r="L133" s="144" t="s">
        <v>5399</v>
      </c>
      <c r="M133" s="144" t="s">
        <v>5046</v>
      </c>
      <c r="N133" s="145" t="s">
        <v>5077</v>
      </c>
      <c r="O133" s="145"/>
      <c r="P133" s="145" t="s">
        <v>5043</v>
      </c>
      <c r="Q133" s="132"/>
      <c r="R133" s="146" t="s">
        <v>5047</v>
      </c>
      <c r="S133" s="133" t="s">
        <v>5202</v>
      </c>
      <c r="T133" s="133"/>
      <c r="U133" s="133"/>
      <c r="V133" s="133" t="s">
        <v>5400</v>
      </c>
    </row>
    <row r="134" spans="1:22" ht="16" x14ac:dyDescent="0.2">
      <c r="A134" s="145" t="s">
        <v>545</v>
      </c>
      <c r="B134" s="145" t="s">
        <v>28</v>
      </c>
      <c r="C134" s="133" t="s">
        <v>548</v>
      </c>
      <c r="D134" s="140" t="s">
        <v>5070</v>
      </c>
      <c r="E134" s="155">
        <v>19250640</v>
      </c>
      <c r="F134" s="142" t="s">
        <v>5373</v>
      </c>
      <c r="G134" s="155">
        <v>16364308</v>
      </c>
      <c r="H134" s="133"/>
      <c r="I134" s="155"/>
      <c r="J134" s="143" t="s">
        <v>5401</v>
      </c>
      <c r="K134" s="144" t="s">
        <v>5046</v>
      </c>
      <c r="L134" s="144" t="s">
        <v>5402</v>
      </c>
      <c r="M134" s="144" t="s">
        <v>5059</v>
      </c>
      <c r="N134" s="145" t="s">
        <v>5044</v>
      </c>
      <c r="O134" s="145" t="s">
        <v>5403</v>
      </c>
      <c r="P134" s="145" t="s">
        <v>5059</v>
      </c>
      <c r="Q134" s="132" t="s">
        <v>5139</v>
      </c>
      <c r="R134" s="146" t="s">
        <v>5047</v>
      </c>
      <c r="S134" s="133" t="s">
        <v>5202</v>
      </c>
      <c r="T134" s="133" t="s">
        <v>5054</v>
      </c>
      <c r="U134" s="133"/>
      <c r="V134" s="133" t="s">
        <v>5404</v>
      </c>
    </row>
    <row r="135" spans="1:22" ht="16" x14ac:dyDescent="0.2">
      <c r="A135" s="145" t="s">
        <v>549</v>
      </c>
      <c r="B135" s="145" t="s">
        <v>28</v>
      </c>
      <c r="C135" s="133" t="s">
        <v>552</v>
      </c>
      <c r="D135" s="140" t="s">
        <v>5095</v>
      </c>
      <c r="E135" s="133"/>
      <c r="F135" s="142"/>
      <c r="G135" s="133"/>
      <c r="H135" s="133"/>
      <c r="I135" s="133"/>
      <c r="J135" s="143" t="s">
        <v>5095</v>
      </c>
      <c r="K135" s="144" t="s">
        <v>5043</v>
      </c>
      <c r="L135" s="144" t="s">
        <v>5042</v>
      </c>
      <c r="M135" s="144" t="s">
        <v>5043</v>
      </c>
      <c r="N135" s="145" t="s">
        <v>5044</v>
      </c>
      <c r="O135" s="145" t="s">
        <v>5257</v>
      </c>
      <c r="P135" s="145" t="s">
        <v>5059</v>
      </c>
      <c r="Q135" s="132"/>
      <c r="R135" s="146" t="s">
        <v>5053</v>
      </c>
      <c r="S135" s="133" t="s">
        <v>5171</v>
      </c>
      <c r="T135" s="133"/>
      <c r="U135" s="133"/>
      <c r="V135" s="133" t="s">
        <v>5405</v>
      </c>
    </row>
    <row r="136" spans="1:22" ht="16" x14ac:dyDescent="0.2">
      <c r="A136" s="145" t="s">
        <v>553</v>
      </c>
      <c r="B136" s="145" t="s">
        <v>28</v>
      </c>
      <c r="C136" s="133" t="s">
        <v>556</v>
      </c>
      <c r="D136" s="140" t="s">
        <v>5095</v>
      </c>
      <c r="E136" s="133"/>
      <c r="F136" s="142"/>
      <c r="G136" s="133"/>
      <c r="H136" s="133"/>
      <c r="I136" s="133"/>
      <c r="J136" s="143" t="s">
        <v>5095</v>
      </c>
      <c r="K136" s="144" t="s">
        <v>5043</v>
      </c>
      <c r="L136" s="144" t="s">
        <v>5042</v>
      </c>
      <c r="M136" s="144" t="s">
        <v>5043</v>
      </c>
      <c r="N136" s="145" t="s">
        <v>5044</v>
      </c>
      <c r="O136" s="145" t="s">
        <v>5406</v>
      </c>
      <c r="P136" s="145" t="s">
        <v>5046</v>
      </c>
      <c r="Q136" s="132"/>
      <c r="R136" s="149"/>
      <c r="S136" s="133" t="s">
        <v>5157</v>
      </c>
      <c r="T136" s="133" t="s">
        <v>5067</v>
      </c>
      <c r="U136" s="133"/>
      <c r="V136" s="133" t="s">
        <v>5407</v>
      </c>
    </row>
    <row r="137" spans="1:22" ht="16" x14ac:dyDescent="0.2">
      <c r="A137" s="145" t="s">
        <v>557</v>
      </c>
      <c r="B137" s="145" t="s">
        <v>28</v>
      </c>
      <c r="C137" s="133" t="s">
        <v>560</v>
      </c>
      <c r="D137" s="140" t="s">
        <v>5095</v>
      </c>
      <c r="E137" s="133"/>
      <c r="F137" s="142"/>
      <c r="G137" s="133"/>
      <c r="H137" s="133"/>
      <c r="I137" s="133"/>
      <c r="J137" s="143" t="s">
        <v>5095</v>
      </c>
      <c r="K137" s="144" t="s">
        <v>5043</v>
      </c>
      <c r="L137" s="144" t="s">
        <v>5042</v>
      </c>
      <c r="M137" s="144" t="s">
        <v>5043</v>
      </c>
      <c r="N137" s="145" t="s">
        <v>5077</v>
      </c>
      <c r="O137" s="145"/>
      <c r="P137" s="145" t="s">
        <v>5043</v>
      </c>
      <c r="Q137" s="132"/>
      <c r="R137" s="146" t="s">
        <v>5047</v>
      </c>
      <c r="S137" s="133" t="s">
        <v>5040</v>
      </c>
      <c r="T137" s="133"/>
      <c r="U137" s="133"/>
      <c r="V137" s="133" t="s">
        <v>5408</v>
      </c>
    </row>
    <row r="138" spans="1:22" ht="16" x14ac:dyDescent="0.2">
      <c r="A138" s="145" t="s">
        <v>561</v>
      </c>
      <c r="B138" s="145" t="s">
        <v>17</v>
      </c>
      <c r="C138" s="133" t="s">
        <v>563</v>
      </c>
      <c r="D138" s="140" t="s">
        <v>5048</v>
      </c>
      <c r="E138" s="133">
        <v>9128250</v>
      </c>
      <c r="F138" s="142" t="s">
        <v>5070</v>
      </c>
      <c r="G138" s="155">
        <v>23071154</v>
      </c>
      <c r="H138" s="142" t="s">
        <v>5086</v>
      </c>
      <c r="I138" s="133">
        <v>18653465</v>
      </c>
      <c r="J138" s="143" t="s">
        <v>5409</v>
      </c>
      <c r="K138" s="144" t="s">
        <v>5046</v>
      </c>
      <c r="L138" s="144" t="s">
        <v>5410</v>
      </c>
      <c r="M138" s="144" t="s">
        <v>5046</v>
      </c>
      <c r="N138" s="145" t="s">
        <v>5051</v>
      </c>
      <c r="O138" s="145" t="s">
        <v>5411</v>
      </c>
      <c r="P138" s="145" t="s">
        <v>5046</v>
      </c>
      <c r="Q138" s="132" t="s">
        <v>5089</v>
      </c>
      <c r="R138" s="146" t="s">
        <v>5047</v>
      </c>
      <c r="S138" s="133" t="s">
        <v>5048</v>
      </c>
      <c r="T138" s="133"/>
      <c r="U138" s="133"/>
      <c r="V138" s="133" t="s">
        <v>5412</v>
      </c>
    </row>
    <row r="139" spans="1:22" ht="16" x14ac:dyDescent="0.2">
      <c r="A139" s="145" t="s">
        <v>564</v>
      </c>
      <c r="B139" s="145" t="s">
        <v>17</v>
      </c>
      <c r="C139" s="133" t="s">
        <v>567</v>
      </c>
      <c r="D139" s="140" t="s">
        <v>5048</v>
      </c>
      <c r="E139" s="133">
        <v>11707441</v>
      </c>
      <c r="F139" s="142"/>
      <c r="G139" s="133"/>
      <c r="H139" s="133"/>
      <c r="I139" s="133"/>
      <c r="J139" s="143" t="s">
        <v>5048</v>
      </c>
      <c r="K139" s="144" t="s">
        <v>5046</v>
      </c>
      <c r="L139" s="144" t="s">
        <v>5413</v>
      </c>
      <c r="M139" s="144" t="s">
        <v>5046</v>
      </c>
      <c r="N139" s="145" t="s">
        <v>5051</v>
      </c>
      <c r="O139" s="145" t="s">
        <v>5414</v>
      </c>
      <c r="P139" s="145" t="s">
        <v>5059</v>
      </c>
      <c r="Q139" s="132"/>
      <c r="R139" s="149"/>
      <c r="S139" s="133" t="s">
        <v>5415</v>
      </c>
      <c r="T139" s="133"/>
      <c r="U139" s="133"/>
      <c r="V139" s="133" t="s">
        <v>5416</v>
      </c>
    </row>
    <row r="140" spans="1:22" ht="16" x14ac:dyDescent="0.2">
      <c r="A140" s="145" t="s">
        <v>568</v>
      </c>
      <c r="B140" s="145" t="s">
        <v>17</v>
      </c>
      <c r="C140" s="133" t="s">
        <v>571</v>
      </c>
      <c r="D140" s="140" t="s">
        <v>5086</v>
      </c>
      <c r="E140" s="133">
        <v>21482718</v>
      </c>
      <c r="F140" s="142" t="s">
        <v>5048</v>
      </c>
      <c r="G140" s="133">
        <v>23177739</v>
      </c>
      <c r="H140" s="133"/>
      <c r="I140" s="133"/>
      <c r="J140" s="143" t="s">
        <v>5086</v>
      </c>
      <c r="K140" s="144" t="s">
        <v>5059</v>
      </c>
      <c r="L140" s="144" t="s">
        <v>5417</v>
      </c>
      <c r="M140" s="144" t="s">
        <v>5059</v>
      </c>
      <c r="N140" s="145" t="s">
        <v>5044</v>
      </c>
      <c r="O140" s="145" t="s">
        <v>5367</v>
      </c>
      <c r="P140" s="145" t="s">
        <v>5059</v>
      </c>
      <c r="Q140" s="132" t="s">
        <v>5089</v>
      </c>
      <c r="R140" s="149"/>
      <c r="S140" s="133" t="s">
        <v>5418</v>
      </c>
      <c r="T140" s="133" t="s">
        <v>5054</v>
      </c>
      <c r="U140" s="133"/>
      <c r="V140" s="133" t="s">
        <v>5419</v>
      </c>
    </row>
    <row r="141" spans="1:22" ht="16" x14ac:dyDescent="0.2">
      <c r="A141" s="145" t="s">
        <v>572</v>
      </c>
      <c r="B141" s="145" t="s">
        <v>17</v>
      </c>
      <c r="C141" s="133" t="s">
        <v>574</v>
      </c>
      <c r="D141" s="152" t="s">
        <v>5040</v>
      </c>
      <c r="E141" s="133">
        <v>10620604</v>
      </c>
      <c r="F141" s="142" t="s">
        <v>5070</v>
      </c>
      <c r="G141" s="133">
        <v>19207108</v>
      </c>
      <c r="H141" s="133"/>
      <c r="I141" s="133"/>
      <c r="J141" s="143" t="s">
        <v>5185</v>
      </c>
      <c r="K141" s="144" t="s">
        <v>5046</v>
      </c>
      <c r="L141" s="144" t="s">
        <v>5042</v>
      </c>
      <c r="M141" s="144" t="s">
        <v>5043</v>
      </c>
      <c r="N141" s="145" t="s">
        <v>5044</v>
      </c>
      <c r="O141" s="145" t="s">
        <v>5052</v>
      </c>
      <c r="P141" s="145" t="s">
        <v>5059</v>
      </c>
      <c r="Q141" s="132" t="s">
        <v>5089</v>
      </c>
      <c r="R141" s="146" t="s">
        <v>5103</v>
      </c>
      <c r="S141" s="133" t="s">
        <v>5202</v>
      </c>
      <c r="T141" s="133" t="s">
        <v>5054</v>
      </c>
      <c r="U141" s="133" t="s">
        <v>5067</v>
      </c>
      <c r="V141" s="133" t="s">
        <v>5420</v>
      </c>
    </row>
    <row r="142" spans="1:22" ht="16" x14ac:dyDescent="0.2">
      <c r="A142" s="145" t="s">
        <v>575</v>
      </c>
      <c r="B142" s="145" t="s">
        <v>17</v>
      </c>
      <c r="C142" s="133" t="s">
        <v>577</v>
      </c>
      <c r="D142" s="152" t="s">
        <v>5040</v>
      </c>
      <c r="E142" s="133">
        <v>15728722</v>
      </c>
      <c r="F142" s="142" t="s">
        <v>5070</v>
      </c>
      <c r="G142" s="133">
        <v>24858039</v>
      </c>
      <c r="H142" s="133"/>
      <c r="I142" s="133"/>
      <c r="J142" s="143" t="s">
        <v>5185</v>
      </c>
      <c r="K142" s="144" t="s">
        <v>5046</v>
      </c>
      <c r="L142" s="144" t="s">
        <v>5042</v>
      </c>
      <c r="M142" s="144" t="s">
        <v>5043</v>
      </c>
      <c r="N142" s="145" t="s">
        <v>5044</v>
      </c>
      <c r="O142" s="145" t="s">
        <v>5081</v>
      </c>
      <c r="P142" s="145" t="s">
        <v>5059</v>
      </c>
      <c r="Q142" s="132" t="s">
        <v>5089</v>
      </c>
      <c r="R142" s="149"/>
      <c r="S142" s="133" t="s">
        <v>5040</v>
      </c>
      <c r="T142" s="133"/>
      <c r="U142" s="133" t="s">
        <v>5067</v>
      </c>
      <c r="V142" s="133"/>
    </row>
    <row r="143" spans="1:22" ht="17" thickBot="1" x14ac:dyDescent="0.25">
      <c r="A143" s="160" t="s">
        <v>578</v>
      </c>
      <c r="B143" s="160" t="s">
        <v>17</v>
      </c>
      <c r="C143" s="161" t="s">
        <v>580</v>
      </c>
      <c r="D143" s="162" t="s">
        <v>5040</v>
      </c>
      <c r="E143" s="161">
        <v>15728722</v>
      </c>
      <c r="F143" s="161"/>
      <c r="G143" s="161"/>
      <c r="H143" s="161"/>
      <c r="I143" s="161"/>
      <c r="J143" s="163" t="s">
        <v>5040</v>
      </c>
      <c r="K143" s="164" t="s">
        <v>5059</v>
      </c>
      <c r="L143" s="164" t="s">
        <v>5042</v>
      </c>
      <c r="M143" s="165" t="s">
        <v>5043</v>
      </c>
      <c r="N143" s="166" t="s">
        <v>5077</v>
      </c>
      <c r="O143" s="166"/>
      <c r="P143" s="166" t="s">
        <v>5043</v>
      </c>
      <c r="Q143" s="167" t="s">
        <v>5089</v>
      </c>
      <c r="R143" s="168"/>
      <c r="S143" s="161" t="s">
        <v>5202</v>
      </c>
      <c r="T143" s="161" t="s">
        <v>5054</v>
      </c>
      <c r="U143" s="161" t="s">
        <v>5054</v>
      </c>
      <c r="V143" s="161" t="s">
        <v>5421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
  <sheetViews>
    <sheetView workbookViewId="0">
      <selection activeCell="P38" sqref="P38"/>
    </sheetView>
  </sheetViews>
  <sheetFormatPr baseColWidth="10" defaultColWidth="11.5" defaultRowHeight="15" x14ac:dyDescent="0.2"/>
  <sheetData>
    <row r="1" spans="1:17" ht="23" x14ac:dyDescent="0.2">
      <c r="A1" s="48" t="s">
        <v>5422</v>
      </c>
      <c r="B1" s="49"/>
      <c r="C1" s="49"/>
      <c r="D1" s="50"/>
      <c r="E1" s="50"/>
      <c r="F1" s="50"/>
      <c r="G1" s="50"/>
      <c r="H1" s="50"/>
      <c r="I1" s="50"/>
      <c r="J1" s="50"/>
      <c r="K1" s="50"/>
      <c r="L1" s="50"/>
      <c r="M1" s="50"/>
      <c r="N1" s="50"/>
      <c r="O1" s="50"/>
      <c r="P1" s="50"/>
      <c r="Q1" s="51"/>
    </row>
    <row r="2" spans="1:17" ht="16" x14ac:dyDescent="0.2">
      <c r="A2" s="53"/>
      <c r="B2" s="53"/>
      <c r="C2" s="54" t="s">
        <v>5423</v>
      </c>
      <c r="D2" s="54" t="s">
        <v>893</v>
      </c>
      <c r="E2" s="54"/>
      <c r="F2" s="54"/>
      <c r="G2" s="56" t="s">
        <v>5424</v>
      </c>
      <c r="H2" s="56"/>
      <c r="I2" s="56"/>
      <c r="J2" s="57"/>
      <c r="K2" s="57"/>
      <c r="L2" s="57"/>
      <c r="M2" s="57"/>
      <c r="N2" s="57"/>
      <c r="O2" s="57"/>
      <c r="P2" s="57"/>
      <c r="Q2" s="58" t="s">
        <v>5425</v>
      </c>
    </row>
    <row r="3" spans="1:17" ht="35" thickBot="1" x14ac:dyDescent="0.25">
      <c r="A3" s="57" t="s">
        <v>897</v>
      </c>
      <c r="B3" s="55" t="s">
        <v>898</v>
      </c>
      <c r="C3" s="54"/>
      <c r="D3" s="54"/>
      <c r="E3" s="54"/>
      <c r="F3" s="54"/>
      <c r="G3" s="61" t="s">
        <v>902</v>
      </c>
      <c r="H3" s="61"/>
      <c r="I3" s="61"/>
      <c r="J3" s="57"/>
      <c r="K3" s="57"/>
      <c r="L3" s="57"/>
      <c r="M3" s="57"/>
      <c r="N3" s="57"/>
      <c r="O3" s="57"/>
      <c r="P3" s="57"/>
      <c r="Q3" s="58"/>
    </row>
    <row r="4" spans="1:17" ht="32" x14ac:dyDescent="0.2">
      <c r="A4" s="53"/>
      <c r="B4" s="53"/>
      <c r="C4" s="53"/>
      <c r="D4" s="62" t="s">
        <v>903</v>
      </c>
      <c r="E4" s="63" t="s">
        <v>904</v>
      </c>
      <c r="F4" s="64" t="s">
        <v>905</v>
      </c>
      <c r="G4" s="70" t="s">
        <v>903</v>
      </c>
      <c r="H4" s="71" t="s">
        <v>904</v>
      </c>
      <c r="I4" s="72" t="s">
        <v>905</v>
      </c>
      <c r="J4" s="73" t="s">
        <v>903</v>
      </c>
      <c r="K4" s="65" t="s">
        <v>904</v>
      </c>
      <c r="L4" s="65" t="s">
        <v>905</v>
      </c>
      <c r="M4" s="65" t="s">
        <v>906</v>
      </c>
      <c r="N4" s="65" t="s">
        <v>907</v>
      </c>
      <c r="O4" s="65" t="s">
        <v>908</v>
      </c>
      <c r="P4" s="66" t="s">
        <v>909</v>
      </c>
      <c r="Q4" s="74"/>
    </row>
    <row r="5" spans="1:17" x14ac:dyDescent="0.2">
      <c r="A5" s="169" t="s">
        <v>61</v>
      </c>
      <c r="B5" s="76" t="s">
        <v>28</v>
      </c>
      <c r="C5" s="76" t="s">
        <v>904</v>
      </c>
      <c r="D5" s="102" t="s">
        <v>910</v>
      </c>
      <c r="E5" s="103" t="s">
        <v>911</v>
      </c>
      <c r="F5" s="104" t="s">
        <v>910</v>
      </c>
      <c r="G5" s="106" t="s">
        <v>910</v>
      </c>
      <c r="H5" s="50" t="s">
        <v>911</v>
      </c>
      <c r="I5" s="105" t="s">
        <v>911</v>
      </c>
      <c r="J5" s="105">
        <f t="shared" ref="J5:J23" si="0">IF(AND($G5="+",$H5&lt;&gt;"+",$I5&lt;&gt;"+"),1,0)</f>
        <v>0</v>
      </c>
      <c r="K5" s="105">
        <f t="shared" ref="K5:K23" si="1">IF(AND($G5&lt;&gt;"+",$H5="+",$I5&lt;&gt;"+"),1,0)</f>
        <v>0</v>
      </c>
      <c r="L5" s="105">
        <f t="shared" ref="L5:L23" si="2">IF(AND($G5&lt;&gt;"+",$H5&lt;&gt;"+",$I5="+"),1,0)</f>
        <v>0</v>
      </c>
      <c r="M5" s="105">
        <f t="shared" ref="M5:M23" si="3">IF(AND($G5="+",$H5="+",$I5&lt;&gt;"+"),1,0)</f>
        <v>0</v>
      </c>
      <c r="N5" s="105">
        <f t="shared" ref="N5:N23" si="4">IF(AND($G5="+",$H5&lt;&gt;"+",$I5="+"),1,0)</f>
        <v>0</v>
      </c>
      <c r="O5" s="105">
        <f t="shared" ref="O5:O23" si="5">IF(AND($G5&lt;&gt;"+",$H5="+",$I5="+"),1,0)</f>
        <v>1</v>
      </c>
      <c r="P5" s="105">
        <f t="shared" ref="P5:P23" si="6">IF(AND($G5="+",$H5="+",$I5="+"),1,0)</f>
        <v>0</v>
      </c>
      <c r="Q5" s="108"/>
    </row>
    <row r="6" spans="1:17" x14ac:dyDescent="0.2">
      <c r="A6" s="169" t="s">
        <v>78</v>
      </c>
      <c r="B6" s="76" t="s">
        <v>28</v>
      </c>
      <c r="C6" s="76" t="s">
        <v>904</v>
      </c>
      <c r="D6" s="102" t="s">
        <v>910</v>
      </c>
      <c r="E6" s="103" t="s">
        <v>911</v>
      </c>
      <c r="F6" s="104" t="s">
        <v>910</v>
      </c>
      <c r="G6" s="106" t="s">
        <v>910</v>
      </c>
      <c r="H6" s="50" t="s">
        <v>911</v>
      </c>
      <c r="I6" s="105" t="s">
        <v>910</v>
      </c>
      <c r="J6" s="105">
        <f t="shared" si="0"/>
        <v>0</v>
      </c>
      <c r="K6" s="105">
        <f t="shared" si="1"/>
        <v>1</v>
      </c>
      <c r="L6" s="105">
        <f t="shared" si="2"/>
        <v>0</v>
      </c>
      <c r="M6" s="105">
        <f t="shared" si="3"/>
        <v>0</v>
      </c>
      <c r="N6" s="105">
        <f t="shared" si="4"/>
        <v>0</v>
      </c>
      <c r="O6" s="105">
        <f t="shared" si="5"/>
        <v>0</v>
      </c>
      <c r="P6" s="105">
        <f t="shared" si="6"/>
        <v>0</v>
      </c>
      <c r="Q6" s="108"/>
    </row>
    <row r="7" spans="1:17" x14ac:dyDescent="0.2">
      <c r="A7" s="169" t="s">
        <v>106</v>
      </c>
      <c r="B7" s="76" t="s">
        <v>28</v>
      </c>
      <c r="C7" s="76" t="s">
        <v>904</v>
      </c>
      <c r="D7" s="102" t="s">
        <v>911</v>
      </c>
      <c r="E7" s="103" t="s">
        <v>911</v>
      </c>
      <c r="F7" s="104" t="s">
        <v>911</v>
      </c>
      <c r="G7" s="106" t="s">
        <v>910</v>
      </c>
      <c r="H7" s="50" t="s">
        <v>911</v>
      </c>
      <c r="I7" s="105" t="s">
        <v>914</v>
      </c>
      <c r="J7" s="105">
        <f t="shared" si="0"/>
        <v>0</v>
      </c>
      <c r="K7" s="105">
        <f t="shared" si="1"/>
        <v>1</v>
      </c>
      <c r="L7" s="105">
        <f t="shared" si="2"/>
        <v>0</v>
      </c>
      <c r="M7" s="105">
        <f t="shared" si="3"/>
        <v>0</v>
      </c>
      <c r="N7" s="105">
        <f t="shared" si="4"/>
        <v>0</v>
      </c>
      <c r="O7" s="105">
        <f t="shared" si="5"/>
        <v>0</v>
      </c>
      <c r="P7" s="105">
        <f t="shared" si="6"/>
        <v>0</v>
      </c>
      <c r="Q7" s="108"/>
    </row>
    <row r="8" spans="1:17" x14ac:dyDescent="0.2">
      <c r="A8" s="169" t="s">
        <v>142</v>
      </c>
      <c r="B8" s="76" t="s">
        <v>28</v>
      </c>
      <c r="C8" s="76" t="s">
        <v>904</v>
      </c>
      <c r="D8" s="102" t="s">
        <v>911</v>
      </c>
      <c r="E8" s="103" t="s">
        <v>911</v>
      </c>
      <c r="F8" s="104" t="s">
        <v>911</v>
      </c>
      <c r="G8" s="106" t="s">
        <v>910</v>
      </c>
      <c r="H8" s="50" t="s">
        <v>914</v>
      </c>
      <c r="I8" s="105" t="s">
        <v>911</v>
      </c>
      <c r="J8" s="105">
        <f t="shared" si="0"/>
        <v>0</v>
      </c>
      <c r="K8" s="105">
        <f t="shared" si="1"/>
        <v>0</v>
      </c>
      <c r="L8" s="105">
        <f t="shared" si="2"/>
        <v>1</v>
      </c>
      <c r="M8" s="105">
        <f t="shared" si="3"/>
        <v>0</v>
      </c>
      <c r="N8" s="105">
        <f t="shared" si="4"/>
        <v>0</v>
      </c>
      <c r="O8" s="105">
        <f t="shared" si="5"/>
        <v>0</v>
      </c>
      <c r="P8" s="105">
        <f t="shared" si="6"/>
        <v>0</v>
      </c>
      <c r="Q8" s="108"/>
    </row>
    <row r="9" spans="1:17" x14ac:dyDescent="0.2">
      <c r="A9" s="169" t="s">
        <v>162</v>
      </c>
      <c r="B9" s="76" t="s">
        <v>28</v>
      </c>
      <c r="C9" s="76" t="s">
        <v>904</v>
      </c>
      <c r="D9" s="102" t="s">
        <v>910</v>
      </c>
      <c r="E9" s="103" t="s">
        <v>911</v>
      </c>
      <c r="F9" s="104" t="s">
        <v>911</v>
      </c>
      <c r="G9" s="106" t="s">
        <v>910</v>
      </c>
      <c r="H9" s="50" t="s">
        <v>911</v>
      </c>
      <c r="I9" s="105" t="s">
        <v>911</v>
      </c>
      <c r="J9" s="105">
        <f t="shared" si="0"/>
        <v>0</v>
      </c>
      <c r="K9" s="105">
        <f t="shared" si="1"/>
        <v>0</v>
      </c>
      <c r="L9" s="105">
        <f t="shared" si="2"/>
        <v>0</v>
      </c>
      <c r="M9" s="105">
        <f t="shared" si="3"/>
        <v>0</v>
      </c>
      <c r="N9" s="105">
        <f t="shared" si="4"/>
        <v>0</v>
      </c>
      <c r="O9" s="105">
        <f t="shared" si="5"/>
        <v>1</v>
      </c>
      <c r="P9" s="105">
        <f t="shared" si="6"/>
        <v>0</v>
      </c>
      <c r="Q9" s="108"/>
    </row>
    <row r="10" spans="1:17" x14ac:dyDescent="0.2">
      <c r="A10" s="169" t="s">
        <v>277</v>
      </c>
      <c r="B10" s="76" t="s">
        <v>28</v>
      </c>
      <c r="C10" s="76" t="s">
        <v>904</v>
      </c>
      <c r="D10" s="102" t="s">
        <v>910</v>
      </c>
      <c r="E10" s="103" t="s">
        <v>911</v>
      </c>
      <c r="F10" s="104" t="s">
        <v>910</v>
      </c>
      <c r="G10" s="106" t="s">
        <v>910</v>
      </c>
      <c r="H10" s="50" t="s">
        <v>911</v>
      </c>
      <c r="I10" s="105" t="s">
        <v>910</v>
      </c>
      <c r="J10" s="105">
        <f t="shared" si="0"/>
        <v>0</v>
      </c>
      <c r="K10" s="105">
        <f t="shared" si="1"/>
        <v>1</v>
      </c>
      <c r="L10" s="105">
        <f t="shared" si="2"/>
        <v>0</v>
      </c>
      <c r="M10" s="105">
        <f t="shared" si="3"/>
        <v>0</v>
      </c>
      <c r="N10" s="105">
        <f t="shared" si="4"/>
        <v>0</v>
      </c>
      <c r="O10" s="105">
        <f t="shared" si="5"/>
        <v>0</v>
      </c>
      <c r="P10" s="105">
        <f t="shared" si="6"/>
        <v>0</v>
      </c>
      <c r="Q10" s="108"/>
    </row>
    <row r="11" spans="1:17" x14ac:dyDescent="0.2">
      <c r="A11" s="169" t="s">
        <v>529</v>
      </c>
      <c r="B11" s="76" t="s">
        <v>28</v>
      </c>
      <c r="C11" s="76" t="s">
        <v>904</v>
      </c>
      <c r="D11" s="102" t="s">
        <v>910</v>
      </c>
      <c r="E11" s="103" t="s">
        <v>911</v>
      </c>
      <c r="F11" s="104" t="s">
        <v>910</v>
      </c>
      <c r="G11" s="106" t="s">
        <v>914</v>
      </c>
      <c r="H11" s="50" t="s">
        <v>914</v>
      </c>
      <c r="I11" s="105" t="s">
        <v>914</v>
      </c>
      <c r="J11" s="105">
        <f t="shared" si="0"/>
        <v>0</v>
      </c>
      <c r="K11" s="105">
        <f t="shared" si="1"/>
        <v>0</v>
      </c>
      <c r="L11" s="105">
        <f t="shared" si="2"/>
        <v>0</v>
      </c>
      <c r="M11" s="105">
        <f t="shared" si="3"/>
        <v>0</v>
      </c>
      <c r="N11" s="105">
        <f t="shared" si="4"/>
        <v>0</v>
      </c>
      <c r="O11" s="105">
        <f t="shared" si="5"/>
        <v>0</v>
      </c>
      <c r="P11" s="105">
        <f t="shared" si="6"/>
        <v>0</v>
      </c>
      <c r="Q11" s="108"/>
    </row>
    <row r="12" spans="1:17" x14ac:dyDescent="0.2">
      <c r="A12" s="76" t="s">
        <v>537</v>
      </c>
      <c r="B12" s="76" t="s">
        <v>28</v>
      </c>
      <c r="C12" s="76" t="s">
        <v>5426</v>
      </c>
      <c r="D12" s="102" t="s">
        <v>910</v>
      </c>
      <c r="E12" s="103" t="s">
        <v>911</v>
      </c>
      <c r="F12" s="104" t="s">
        <v>910</v>
      </c>
      <c r="G12" s="106" t="s">
        <v>910</v>
      </c>
      <c r="H12" s="50" t="s">
        <v>911</v>
      </c>
      <c r="I12" s="105" t="s">
        <v>914</v>
      </c>
      <c r="J12" s="105">
        <f>IF(AND($G12="+",$H12&lt;&gt;"+",$I12&lt;&gt;"+"),1,0)</f>
        <v>0</v>
      </c>
      <c r="K12" s="105">
        <f>IF(AND($G12&lt;&gt;"+",$H12="+",$I12&lt;&gt;"+"),1,0)</f>
        <v>1</v>
      </c>
      <c r="L12" s="105">
        <f>IF(AND($G12&lt;&gt;"+",$H12&lt;&gt;"+",$I12="+"),1,0)</f>
        <v>0</v>
      </c>
      <c r="M12" s="105">
        <f>IF(AND($G12="+",$H12="+",$I12&lt;&gt;"+"),1,0)</f>
        <v>0</v>
      </c>
      <c r="N12" s="105">
        <f>IF(AND($G12="+",$H12&lt;&gt;"+",$I12="+"),1,0)</f>
        <v>0</v>
      </c>
      <c r="O12" s="105">
        <f>IF(AND($G12&lt;&gt;"+",$H12="+",$I12="+"),1,0)</f>
        <v>0</v>
      </c>
      <c r="P12" s="105">
        <f>IF(AND($G12="+",$H12="+",$I12="+"),1,0)</f>
        <v>0</v>
      </c>
      <c r="Q12" s="108" t="s">
        <v>5427</v>
      </c>
    </row>
    <row r="13" spans="1:17" x14ac:dyDescent="0.2">
      <c r="A13" s="169" t="s">
        <v>549</v>
      </c>
      <c r="B13" s="76" t="s">
        <v>28</v>
      </c>
      <c r="C13" s="76" t="s">
        <v>5426</v>
      </c>
      <c r="D13" s="102" t="s">
        <v>910</v>
      </c>
      <c r="E13" s="103" t="s">
        <v>910</v>
      </c>
      <c r="F13" s="104" t="s">
        <v>910</v>
      </c>
      <c r="G13" s="106" t="s">
        <v>914</v>
      </c>
      <c r="H13" s="50" t="s">
        <v>911</v>
      </c>
      <c r="I13" s="105" t="s">
        <v>911</v>
      </c>
      <c r="J13" s="105">
        <f t="shared" si="0"/>
        <v>0</v>
      </c>
      <c r="K13" s="105">
        <f t="shared" si="1"/>
        <v>0</v>
      </c>
      <c r="L13" s="105">
        <f t="shared" si="2"/>
        <v>0</v>
      </c>
      <c r="M13" s="105">
        <f t="shared" si="3"/>
        <v>0</v>
      </c>
      <c r="N13" s="105">
        <f t="shared" si="4"/>
        <v>0</v>
      </c>
      <c r="O13" s="105">
        <f t="shared" si="5"/>
        <v>1</v>
      </c>
      <c r="P13" s="105">
        <f t="shared" si="6"/>
        <v>0</v>
      </c>
      <c r="Q13" s="108" t="s">
        <v>5428</v>
      </c>
    </row>
    <row r="14" spans="1:17" x14ac:dyDescent="0.2">
      <c r="A14" s="169" t="s">
        <v>553</v>
      </c>
      <c r="B14" s="76" t="s">
        <v>28</v>
      </c>
      <c r="C14" s="76" t="s">
        <v>904</v>
      </c>
      <c r="D14" s="102" t="s">
        <v>910</v>
      </c>
      <c r="E14" s="103" t="s">
        <v>911</v>
      </c>
      <c r="F14" s="104" t="s">
        <v>910</v>
      </c>
      <c r="G14" s="106" t="s">
        <v>912</v>
      </c>
      <c r="H14" s="50" t="s">
        <v>912</v>
      </c>
      <c r="I14" s="105" t="s">
        <v>912</v>
      </c>
      <c r="J14" s="105">
        <f t="shared" si="0"/>
        <v>0</v>
      </c>
      <c r="K14" s="105">
        <f t="shared" si="1"/>
        <v>0</v>
      </c>
      <c r="L14" s="105">
        <f t="shared" si="2"/>
        <v>0</v>
      </c>
      <c r="M14" s="105">
        <f t="shared" si="3"/>
        <v>0</v>
      </c>
      <c r="N14" s="105">
        <f t="shared" si="4"/>
        <v>0</v>
      </c>
      <c r="O14" s="105">
        <f t="shared" si="5"/>
        <v>0</v>
      </c>
      <c r="P14" s="105">
        <f t="shared" si="6"/>
        <v>0</v>
      </c>
      <c r="Q14" s="108"/>
    </row>
    <row r="15" spans="1:17" x14ac:dyDescent="0.2">
      <c r="A15" s="169" t="s">
        <v>199</v>
      </c>
      <c r="B15" s="76" t="s">
        <v>17</v>
      </c>
      <c r="C15" s="76" t="s">
        <v>5429</v>
      </c>
      <c r="D15" s="102" t="s">
        <v>910</v>
      </c>
      <c r="E15" s="103" t="s">
        <v>910</v>
      </c>
      <c r="F15" s="104" t="s">
        <v>910</v>
      </c>
      <c r="G15" s="106" t="s">
        <v>910</v>
      </c>
      <c r="H15" s="50" t="s">
        <v>914</v>
      </c>
      <c r="I15" s="105" t="s">
        <v>914</v>
      </c>
      <c r="J15" s="105">
        <f t="shared" si="0"/>
        <v>0</v>
      </c>
      <c r="K15" s="105">
        <f t="shared" si="1"/>
        <v>0</v>
      </c>
      <c r="L15" s="105">
        <f t="shared" si="2"/>
        <v>0</v>
      </c>
      <c r="M15" s="105">
        <f t="shared" si="3"/>
        <v>0</v>
      </c>
      <c r="N15" s="105">
        <f t="shared" si="4"/>
        <v>0</v>
      </c>
      <c r="O15" s="105">
        <f t="shared" si="5"/>
        <v>0</v>
      </c>
      <c r="P15" s="105">
        <f t="shared" si="6"/>
        <v>0</v>
      </c>
      <c r="Q15" s="108" t="s">
        <v>5430</v>
      </c>
    </row>
    <row r="16" spans="1:17" x14ac:dyDescent="0.2">
      <c r="A16" s="169" t="s">
        <v>203</v>
      </c>
      <c r="B16" s="76" t="s">
        <v>17</v>
      </c>
      <c r="C16" s="76" t="s">
        <v>5426</v>
      </c>
      <c r="D16" s="102" t="s">
        <v>910</v>
      </c>
      <c r="E16" s="103" t="s">
        <v>910</v>
      </c>
      <c r="F16" s="104" t="s">
        <v>910</v>
      </c>
      <c r="G16" s="106" t="s">
        <v>912</v>
      </c>
      <c r="H16" s="50" t="s">
        <v>911</v>
      </c>
      <c r="I16" s="105" t="s">
        <v>911</v>
      </c>
      <c r="J16" s="105">
        <f t="shared" si="0"/>
        <v>0</v>
      </c>
      <c r="K16" s="105">
        <f t="shared" si="1"/>
        <v>0</v>
      </c>
      <c r="L16" s="105">
        <f t="shared" si="2"/>
        <v>0</v>
      </c>
      <c r="M16" s="105">
        <f t="shared" si="3"/>
        <v>0</v>
      </c>
      <c r="N16" s="105">
        <f t="shared" si="4"/>
        <v>0</v>
      </c>
      <c r="O16" s="105">
        <f t="shared" si="5"/>
        <v>1</v>
      </c>
      <c r="P16" s="105">
        <f t="shared" si="6"/>
        <v>0</v>
      </c>
      <c r="Q16" s="108" t="s">
        <v>5431</v>
      </c>
    </row>
    <row r="17" spans="1:17" x14ac:dyDescent="0.2">
      <c r="A17" s="169" t="s">
        <v>297</v>
      </c>
      <c r="B17" s="76" t="s">
        <v>17</v>
      </c>
      <c r="C17" s="76" t="s">
        <v>904</v>
      </c>
      <c r="D17" s="102" t="s">
        <v>910</v>
      </c>
      <c r="E17" s="103" t="s">
        <v>910</v>
      </c>
      <c r="F17" s="104" t="s">
        <v>910</v>
      </c>
      <c r="G17" s="106" t="s">
        <v>910</v>
      </c>
      <c r="H17" s="50" t="s">
        <v>911</v>
      </c>
      <c r="I17" s="105" t="s">
        <v>910</v>
      </c>
      <c r="J17" s="105">
        <f t="shared" si="0"/>
        <v>0</v>
      </c>
      <c r="K17" s="105">
        <f t="shared" si="1"/>
        <v>1</v>
      </c>
      <c r="L17" s="105">
        <f t="shared" si="2"/>
        <v>0</v>
      </c>
      <c r="M17" s="105">
        <f t="shared" si="3"/>
        <v>0</v>
      </c>
      <c r="N17" s="105">
        <f t="shared" si="4"/>
        <v>0</v>
      </c>
      <c r="O17" s="105">
        <f t="shared" si="5"/>
        <v>0</v>
      </c>
      <c r="P17" s="105">
        <f t="shared" si="6"/>
        <v>0</v>
      </c>
      <c r="Q17" s="108" t="s">
        <v>5432</v>
      </c>
    </row>
    <row r="18" spans="1:17" x14ac:dyDescent="0.2">
      <c r="A18" s="169" t="s">
        <v>306</v>
      </c>
      <c r="B18" s="76" t="s">
        <v>17</v>
      </c>
      <c r="C18" s="76" t="s">
        <v>904</v>
      </c>
      <c r="D18" s="102" t="s">
        <v>910</v>
      </c>
      <c r="E18" s="103" t="s">
        <v>911</v>
      </c>
      <c r="F18" s="104" t="s">
        <v>910</v>
      </c>
      <c r="G18" s="106" t="s">
        <v>910</v>
      </c>
      <c r="H18" s="50" t="s">
        <v>914</v>
      </c>
      <c r="I18" s="105" t="s">
        <v>910</v>
      </c>
      <c r="J18" s="105">
        <f t="shared" si="0"/>
        <v>0</v>
      </c>
      <c r="K18" s="105">
        <f t="shared" si="1"/>
        <v>0</v>
      </c>
      <c r="L18" s="105">
        <f t="shared" si="2"/>
        <v>0</v>
      </c>
      <c r="M18" s="105">
        <f t="shared" si="3"/>
        <v>0</v>
      </c>
      <c r="N18" s="105">
        <f t="shared" si="4"/>
        <v>0</v>
      </c>
      <c r="O18" s="105">
        <f t="shared" si="5"/>
        <v>0</v>
      </c>
      <c r="P18" s="105">
        <f t="shared" si="6"/>
        <v>0</v>
      </c>
      <c r="Q18" s="108"/>
    </row>
    <row r="19" spans="1:17" x14ac:dyDescent="0.2">
      <c r="A19" s="169" t="s">
        <v>314</v>
      </c>
      <c r="B19" s="76" t="s">
        <v>17</v>
      </c>
      <c r="C19" s="76" t="s">
        <v>5426</v>
      </c>
      <c r="D19" s="102" t="s">
        <v>910</v>
      </c>
      <c r="E19" s="103" t="s">
        <v>910</v>
      </c>
      <c r="F19" s="104" t="s">
        <v>910</v>
      </c>
      <c r="G19" s="106" t="s">
        <v>912</v>
      </c>
      <c r="H19" s="50" t="s">
        <v>914</v>
      </c>
      <c r="I19" s="105" t="s">
        <v>912</v>
      </c>
      <c r="J19" s="105">
        <f t="shared" si="0"/>
        <v>0</v>
      </c>
      <c r="K19" s="105">
        <f t="shared" si="1"/>
        <v>0</v>
      </c>
      <c r="L19" s="105">
        <f t="shared" si="2"/>
        <v>0</v>
      </c>
      <c r="M19" s="105">
        <f t="shared" si="3"/>
        <v>0</v>
      </c>
      <c r="N19" s="105">
        <f t="shared" si="4"/>
        <v>0</v>
      </c>
      <c r="O19" s="105">
        <f t="shared" si="5"/>
        <v>0</v>
      </c>
      <c r="P19" s="105">
        <f t="shared" si="6"/>
        <v>0</v>
      </c>
      <c r="Q19" s="108" t="s">
        <v>5432</v>
      </c>
    </row>
    <row r="20" spans="1:17" x14ac:dyDescent="0.2">
      <c r="A20" s="76" t="s">
        <v>362</v>
      </c>
      <c r="B20" s="76" t="s">
        <v>17</v>
      </c>
      <c r="C20" s="76" t="s">
        <v>5429</v>
      </c>
      <c r="D20" s="102" t="s">
        <v>910</v>
      </c>
      <c r="E20" s="103" t="s">
        <v>910</v>
      </c>
      <c r="F20" s="104" t="s">
        <v>910</v>
      </c>
      <c r="G20" s="106" t="s">
        <v>910</v>
      </c>
      <c r="H20" s="50" t="s">
        <v>914</v>
      </c>
      <c r="I20" s="105" t="s">
        <v>914</v>
      </c>
      <c r="J20" s="105">
        <f t="shared" si="0"/>
        <v>0</v>
      </c>
      <c r="K20" s="105">
        <f t="shared" si="1"/>
        <v>0</v>
      </c>
      <c r="L20" s="105">
        <f t="shared" si="2"/>
        <v>0</v>
      </c>
      <c r="M20" s="105">
        <f t="shared" si="3"/>
        <v>0</v>
      </c>
      <c r="N20" s="105">
        <f t="shared" si="4"/>
        <v>0</v>
      </c>
      <c r="O20" s="105">
        <f t="shared" si="5"/>
        <v>0</v>
      </c>
      <c r="P20" s="105">
        <f t="shared" si="6"/>
        <v>0</v>
      </c>
      <c r="Q20" s="108" t="s">
        <v>5433</v>
      </c>
    </row>
    <row r="21" spans="1:17" x14ac:dyDescent="0.2">
      <c r="A21" s="76" t="s">
        <v>409</v>
      </c>
      <c r="B21" s="76" t="s">
        <v>930</v>
      </c>
      <c r="C21" s="76" t="s">
        <v>5426</v>
      </c>
      <c r="D21" s="102" t="s">
        <v>910</v>
      </c>
      <c r="E21" s="103" t="s">
        <v>910</v>
      </c>
      <c r="F21" s="104" t="s">
        <v>910</v>
      </c>
      <c r="G21" s="106" t="s">
        <v>912</v>
      </c>
      <c r="H21" s="50" t="s">
        <v>911</v>
      </c>
      <c r="I21" s="105" t="s">
        <v>910</v>
      </c>
      <c r="J21" s="105">
        <f t="shared" si="0"/>
        <v>0</v>
      </c>
      <c r="K21" s="105">
        <f t="shared" si="1"/>
        <v>1</v>
      </c>
      <c r="L21" s="105">
        <f t="shared" si="2"/>
        <v>0</v>
      </c>
      <c r="M21" s="105">
        <f t="shared" si="3"/>
        <v>0</v>
      </c>
      <c r="N21" s="105">
        <f t="shared" si="4"/>
        <v>0</v>
      </c>
      <c r="O21" s="105">
        <f t="shared" si="5"/>
        <v>0</v>
      </c>
      <c r="P21" s="105">
        <f t="shared" si="6"/>
        <v>0</v>
      </c>
      <c r="Q21" s="108" t="s">
        <v>5434</v>
      </c>
    </row>
    <row r="22" spans="1:17" x14ac:dyDescent="0.2">
      <c r="A22" s="76" t="s">
        <v>518</v>
      </c>
      <c r="B22" s="76" t="s">
        <v>17</v>
      </c>
      <c r="C22" s="76" t="s">
        <v>5426</v>
      </c>
      <c r="D22" s="102" t="s">
        <v>910</v>
      </c>
      <c r="E22" s="103" t="s">
        <v>910</v>
      </c>
      <c r="F22" s="104" t="s">
        <v>910</v>
      </c>
      <c r="G22" s="106" t="s">
        <v>912</v>
      </c>
      <c r="H22" s="50" t="s">
        <v>911</v>
      </c>
      <c r="I22" s="105" t="s">
        <v>914</v>
      </c>
      <c r="J22" s="105">
        <f t="shared" si="0"/>
        <v>0</v>
      </c>
      <c r="K22" s="105">
        <f t="shared" si="1"/>
        <v>1</v>
      </c>
      <c r="L22" s="105">
        <f t="shared" si="2"/>
        <v>0</v>
      </c>
      <c r="M22" s="105">
        <f t="shared" si="3"/>
        <v>0</v>
      </c>
      <c r="N22" s="105">
        <f t="shared" si="4"/>
        <v>0</v>
      </c>
      <c r="O22" s="105">
        <f t="shared" si="5"/>
        <v>0</v>
      </c>
      <c r="P22" s="105">
        <f t="shared" si="6"/>
        <v>0</v>
      </c>
      <c r="Q22" s="108" t="s">
        <v>5435</v>
      </c>
    </row>
    <row r="23" spans="1:17" x14ac:dyDescent="0.2">
      <c r="A23" s="76" t="s">
        <v>568</v>
      </c>
      <c r="B23" s="76" t="s">
        <v>930</v>
      </c>
      <c r="C23" s="76" t="s">
        <v>5426</v>
      </c>
      <c r="D23" s="102" t="s">
        <v>910</v>
      </c>
      <c r="E23" s="103" t="s">
        <v>911</v>
      </c>
      <c r="F23" s="104" t="s">
        <v>910</v>
      </c>
      <c r="G23" s="106" t="s">
        <v>911</v>
      </c>
      <c r="H23" s="50" t="s">
        <v>911</v>
      </c>
      <c r="I23" s="105" t="s">
        <v>912</v>
      </c>
      <c r="J23" s="105">
        <f t="shared" si="0"/>
        <v>0</v>
      </c>
      <c r="K23" s="105">
        <f t="shared" si="1"/>
        <v>0</v>
      </c>
      <c r="L23" s="105">
        <f t="shared" si="2"/>
        <v>0</v>
      </c>
      <c r="M23" s="105">
        <f t="shared" si="3"/>
        <v>1</v>
      </c>
      <c r="N23" s="105">
        <f t="shared" si="4"/>
        <v>0</v>
      </c>
      <c r="O23" s="105">
        <f t="shared" si="5"/>
        <v>0</v>
      </c>
      <c r="P23" s="105">
        <f t="shared" si="6"/>
        <v>0</v>
      </c>
      <c r="Q23" s="108" t="s">
        <v>5436</v>
      </c>
    </row>
  </sheetData>
  <mergeCells count="5">
    <mergeCell ref="C2:C3"/>
    <mergeCell ref="D2:F3"/>
    <mergeCell ref="G2:I2"/>
    <mergeCell ref="Q2:Q3"/>
    <mergeCell ref="G3:I3"/>
  </mergeCells>
  <conditionalFormatting sqref="G5:P23">
    <cfRule type="expression" dxfId="0" priority="1">
      <formula>OR(#REF!="+",#REF!="-")</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Supplementary Table 1</vt:lpstr>
      <vt:lpstr>Supplementary Table 2</vt:lpstr>
      <vt:lpstr>Supplementary Table 3</vt:lpstr>
      <vt:lpstr>Supplementary Table 4</vt:lpstr>
      <vt:lpstr>Supplementary 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orocks</dc:creator>
  <cp:lastModifiedBy>Evangelia Petsalaki</cp:lastModifiedBy>
  <dcterms:created xsi:type="dcterms:W3CDTF">2018-05-12T15:08:02Z</dcterms:created>
  <dcterms:modified xsi:type="dcterms:W3CDTF">2019-12-30T13:55:38Z</dcterms:modified>
</cp:coreProperties>
</file>